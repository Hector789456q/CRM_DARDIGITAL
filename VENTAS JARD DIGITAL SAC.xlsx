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enat\Desktop\JARD DIGITAL\"/>
    </mc:Choice>
  </mc:AlternateContent>
  <xr:revisionPtr revIDLastSave="0" documentId="13_ncr:1_{7CCC1BB0-7018-4554-8BC1-F55785747EBD}" xr6:coauthVersionLast="47" xr6:coauthVersionMax="47" xr10:uidLastSave="{00000000-0000-0000-0000-000000000000}"/>
  <bookViews>
    <workbookView xWindow="-108" yWindow="-108" windowWidth="23256" windowHeight="13896" tabRatio="595" firstSheet="1" activeTab="1" xr2:uid="{00000000-000D-0000-FFFF-FFFF00000000}"/>
  </bookViews>
  <sheets>
    <sheet name="OBSERVACIÓN" sheetId="7" state="hidden" r:id="rId1"/>
    <sheet name="BASE DE VENTAS" sheetId="2" r:id="rId2"/>
    <sheet name="EJECUCION" sheetId="8" r:id="rId3"/>
    <sheet name="VENTAS PERDIDAS" sheetId="6" r:id="rId4"/>
  </sheets>
  <definedNames>
    <definedName name="_xlnm._FilterDatabase" localSheetId="1" hidden="1">'BASE DE VENTAS'!$A$1:$AB$11</definedName>
    <definedName name="_xlnm._FilterDatabase" localSheetId="2" hidden="1">EJECUCION!$A$1:$H$23</definedName>
    <definedName name="_xlnm._FilterDatabase" localSheetId="3" hidden="1">'VENTAS PERDIDAS'!$A$1:$S$1302</definedName>
    <definedName name="Z_E6E7F0C3_0611_48EA_A1C7_82104D591517_.wvu.FilterData" localSheetId="1" hidden="1">'BASE DE VENTAS'!$A$1:$Z$11</definedName>
  </definedNames>
  <calcPr calcId="191029"/>
  <customWorkbookViews>
    <customWorkbookView name="Filtro 1" guid="{E6E7F0C3-0611-48EA-A1C7-82104D59151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6" i="2" l="1"/>
  <c r="X7" i="2"/>
  <c r="X8" i="2"/>
  <c r="X9" i="2"/>
  <c r="X10" i="2"/>
  <c r="X11" i="2"/>
  <c r="I11" i="2" l="1"/>
  <c r="I10" i="2"/>
  <c r="I9" i="2"/>
  <c r="I8" i="2"/>
  <c r="I7" i="2"/>
  <c r="I6" i="2"/>
  <c r="I5" i="2"/>
  <c r="I4" i="2"/>
  <c r="I3" i="2"/>
  <c r="I2" i="2"/>
  <c r="Y11" i="2" l="1"/>
  <c r="Y10" i="2"/>
  <c r="Y9" i="2"/>
  <c r="Y8" i="2"/>
  <c r="Y7" i="2"/>
  <c r="Y6" i="2"/>
  <c r="Y5" i="2"/>
  <c r="X5" i="2"/>
  <c r="Y4" i="2"/>
  <c r="X4" i="2"/>
  <c r="Y3" i="2"/>
  <c r="X3" i="2"/>
  <c r="T11" i="2"/>
  <c r="T10" i="2"/>
  <c r="T9" i="2"/>
  <c r="T8" i="2"/>
  <c r="T7" i="2"/>
  <c r="T6" i="2"/>
  <c r="T5" i="2"/>
  <c r="T4" i="2"/>
  <c r="T3" i="2"/>
  <c r="U11" i="2"/>
  <c r="U10" i="2"/>
  <c r="U9" i="2"/>
  <c r="U8" i="2"/>
  <c r="U7" i="2"/>
  <c r="U6" i="2"/>
  <c r="U5" i="2"/>
  <c r="U4" i="2"/>
  <c r="U3" i="2"/>
  <c r="A3" i="2"/>
  <c r="A4" i="2" s="1"/>
  <c r="A5" i="2" s="1"/>
  <c r="A6" i="2" s="1"/>
  <c r="A7" i="2" s="1"/>
  <c r="A8" i="2" s="1"/>
  <c r="A9" i="2" s="1"/>
  <c r="A10" i="2" s="1"/>
  <c r="A11" i="2" s="1"/>
  <c r="H663" i="6" l="1"/>
  <c r="T619" i="6" l="1"/>
  <c r="S619" i="6"/>
  <c r="H619" i="6"/>
  <c r="S506" i="6" l="1"/>
  <c r="H506" i="6"/>
  <c r="S382" i="6"/>
  <c r="H382" i="6"/>
  <c r="S381" i="6"/>
  <c r="H381" i="6"/>
  <c r="S380" i="6"/>
  <c r="H380" i="6"/>
  <c r="S379" i="6"/>
  <c r="H379" i="6"/>
  <c r="S378" i="6"/>
  <c r="H378" i="6"/>
  <c r="S377" i="6"/>
  <c r="H377" i="6"/>
  <c r="S376" i="6"/>
  <c r="S375" i="6"/>
  <c r="H375" i="6"/>
  <c r="S374" i="6"/>
  <c r="H374" i="6"/>
  <c r="S373" i="6"/>
  <c r="S372" i="6"/>
  <c r="H372" i="6"/>
  <c r="S371" i="6"/>
  <c r="H371" i="6"/>
  <c r="S370" i="6"/>
  <c r="H370" i="6"/>
  <c r="S369" i="6"/>
  <c r="H369" i="6"/>
  <c r="S368" i="6"/>
  <c r="H368" i="6"/>
  <c r="S367" i="6"/>
  <c r="H367" i="6"/>
  <c r="S366" i="6"/>
  <c r="H366" i="6"/>
  <c r="S365" i="6"/>
  <c r="H365" i="6"/>
  <c r="S364" i="6"/>
  <c r="H364" i="6"/>
  <c r="S363" i="6"/>
  <c r="H363" i="6"/>
  <c r="S362" i="6"/>
  <c r="H362" i="6"/>
  <c r="S361" i="6"/>
  <c r="H361" i="6"/>
  <c r="S360" i="6"/>
  <c r="H360" i="6"/>
  <c r="S359" i="6"/>
  <c r="H359" i="6"/>
  <c r="S358" i="6"/>
  <c r="H358" i="6"/>
  <c r="S357" i="6"/>
  <c r="H357" i="6"/>
  <c r="S356" i="6"/>
  <c r="H356" i="6"/>
  <c r="S355" i="6"/>
  <c r="H355" i="6"/>
  <c r="S354" i="6"/>
  <c r="H354" i="6"/>
  <c r="S353" i="6" l="1"/>
  <c r="H353" i="6"/>
  <c r="S352" i="6"/>
  <c r="H352" i="6"/>
  <c r="S351" i="6"/>
  <c r="H351" i="6"/>
  <c r="S350" i="6"/>
  <c r="S349" i="6"/>
  <c r="H349" i="6"/>
  <c r="S348" i="6"/>
  <c r="H348" i="6"/>
  <c r="S347" i="6"/>
  <c r="H347" i="6"/>
  <c r="S346" i="6"/>
  <c r="H346" i="6"/>
  <c r="S345" i="6"/>
  <c r="H345" i="6"/>
  <c r="S344" i="6"/>
  <c r="H344" i="6"/>
  <c r="S343" i="6"/>
  <c r="H343" i="6"/>
  <c r="S342" i="6"/>
  <c r="H342" i="6"/>
  <c r="S341" i="6"/>
  <c r="H341" i="6"/>
  <c r="S340" i="6"/>
  <c r="H340" i="6"/>
  <c r="S339" i="6"/>
  <c r="H339" i="6"/>
  <c r="S338" i="6"/>
  <c r="H338" i="6"/>
  <c r="S337" i="6"/>
  <c r="H337" i="6"/>
  <c r="S336" i="6"/>
  <c r="H336" i="6"/>
  <c r="S335" i="6"/>
  <c r="H335" i="6"/>
  <c r="S334" i="6"/>
  <c r="H334" i="6"/>
  <c r="S333" i="6"/>
  <c r="H333" i="6"/>
  <c r="S332" i="6"/>
  <c r="H332" i="6"/>
  <c r="S331" i="6"/>
  <c r="H331" i="6"/>
  <c r="S330" i="6"/>
  <c r="H330" i="6"/>
  <c r="S329" i="6"/>
  <c r="H329" i="6"/>
  <c r="S328" i="6"/>
  <c r="H328" i="6"/>
  <c r="S327" i="6"/>
  <c r="H327" i="6"/>
  <c r="S326" i="6"/>
  <c r="H326" i="6"/>
  <c r="S325" i="6"/>
  <c r="H325" i="6"/>
  <c r="S324" i="6"/>
  <c r="H324" i="6"/>
  <c r="S323" i="6"/>
  <c r="H323" i="6"/>
  <c r="S322" i="6"/>
  <c r="H322" i="6"/>
  <c r="S321" i="6"/>
  <c r="S320" i="6"/>
  <c r="H320" i="6"/>
  <c r="S319" i="6"/>
  <c r="H319" i="6"/>
  <c r="S318" i="6"/>
  <c r="H318" i="6"/>
  <c r="S317" i="6"/>
  <c r="H317" i="6"/>
  <c r="S316" i="6"/>
  <c r="H316" i="6"/>
  <c r="S315" i="6"/>
  <c r="H315" i="6"/>
  <c r="S314" i="6"/>
  <c r="H314" i="6"/>
  <c r="S313" i="6"/>
  <c r="H313" i="6"/>
  <c r="S312" i="6"/>
  <c r="H312" i="6"/>
  <c r="S311" i="6"/>
  <c r="H311" i="6"/>
  <c r="H310" i="6"/>
  <c r="S309" i="6"/>
  <c r="H309" i="6"/>
  <c r="S308" i="6"/>
  <c r="H308" i="6"/>
  <c r="S307" i="6"/>
  <c r="H307" i="6"/>
  <c r="S306" i="6"/>
  <c r="H306" i="6"/>
  <c r="S305" i="6"/>
  <c r="H305" i="6"/>
  <c r="S304" i="6"/>
  <c r="H304" i="6"/>
  <c r="S303" i="6"/>
  <c r="H303" i="6"/>
  <c r="S302" i="6"/>
  <c r="H302" i="6"/>
  <c r="S301" i="6"/>
  <c r="H301" i="6"/>
  <c r="S300" i="6"/>
  <c r="H300" i="6"/>
  <c r="S299" i="6"/>
  <c r="H299" i="6"/>
  <c r="S298" i="6"/>
  <c r="H298" i="6"/>
  <c r="S297" i="6"/>
  <c r="H297" i="6"/>
  <c r="S296" i="6" l="1"/>
  <c r="H296" i="6"/>
  <c r="S295" i="6"/>
  <c r="H295" i="6"/>
  <c r="S294" i="6"/>
  <c r="H294" i="6"/>
  <c r="H293" i="6" l="1"/>
  <c r="S292" i="6" l="1"/>
  <c r="H292" i="6"/>
  <c r="S291" i="6" l="1"/>
  <c r="H291" i="6"/>
  <c r="S290" i="6"/>
  <c r="H290" i="6"/>
  <c r="S289" i="6"/>
  <c r="H289" i="6"/>
  <c r="S288" i="6" l="1"/>
  <c r="H288" i="6"/>
  <c r="S287" i="6"/>
  <c r="H287" i="6"/>
  <c r="S286" i="6"/>
  <c r="H286" i="6"/>
  <c r="S285" i="6"/>
  <c r="H285" i="6"/>
  <c r="S284" i="6"/>
  <c r="S283" i="6"/>
  <c r="H283" i="6"/>
  <c r="S282" i="6"/>
  <c r="H282" i="6"/>
  <c r="S281" i="6"/>
  <c r="H281" i="6"/>
  <c r="S280" i="6"/>
  <c r="H280" i="6"/>
  <c r="S279" i="6"/>
  <c r="H279" i="6"/>
  <c r="S278" i="6"/>
  <c r="H278" i="6"/>
  <c r="S277" i="6"/>
  <c r="H277" i="6"/>
  <c r="S276" i="6"/>
  <c r="H276" i="6"/>
  <c r="S275" i="6" l="1"/>
  <c r="H275" i="6"/>
  <c r="S274" i="6"/>
  <c r="H274" i="6"/>
  <c r="S273" i="6"/>
  <c r="H273" i="6"/>
  <c r="S272" i="6"/>
  <c r="H272" i="6"/>
  <c r="S271" i="6"/>
  <c r="H271" i="6"/>
  <c r="S270" i="6"/>
  <c r="H270" i="6"/>
  <c r="S269" i="6" l="1"/>
  <c r="H269" i="6"/>
  <c r="S268" i="6"/>
  <c r="H268" i="6"/>
  <c r="S267" i="6"/>
  <c r="H267" i="6"/>
  <c r="S266" i="6"/>
  <c r="H266" i="6"/>
  <c r="S265" i="6"/>
  <c r="H265" i="6"/>
  <c r="S264" i="6"/>
  <c r="H264" i="6"/>
  <c r="S263" i="6"/>
  <c r="S261" i="6"/>
  <c r="S260" i="6"/>
  <c r="S259" i="6"/>
  <c r="S258" i="6"/>
  <c r="S257" i="6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A403" i="6" s="1"/>
  <c r="A404" i="6" s="1"/>
  <c r="A405" i="6" s="1"/>
  <c r="A406" i="6" s="1"/>
  <c r="A407" i="6" s="1"/>
  <c r="A408" i="6" s="1"/>
  <c r="A409" i="6" s="1"/>
  <c r="A410" i="6" s="1"/>
  <c r="A411" i="6" s="1"/>
  <c r="A412" i="6" s="1"/>
  <c r="A413" i="6" s="1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S256" i="6"/>
  <c r="S255" i="6"/>
  <c r="S254" i="6"/>
  <c r="S253" i="6"/>
  <c r="S252" i="6"/>
  <c r="S251" i="6"/>
  <c r="S250" i="6"/>
  <c r="S249" i="6"/>
  <c r="S248" i="6"/>
  <c r="S247" i="6"/>
  <c r="S246" i="6"/>
  <c r="S245" i="6"/>
  <c r="S244" i="6"/>
  <c r="S243" i="6"/>
  <c r="S242" i="6"/>
  <c r="S241" i="6"/>
  <c r="S240" i="6"/>
  <c r="S239" i="6"/>
  <c r="S238" i="6"/>
  <c r="S237" i="6"/>
  <c r="S236" i="6"/>
  <c r="S235" i="6"/>
  <c r="S234" i="6"/>
  <c r="S233" i="6"/>
  <c r="S232" i="6"/>
  <c r="S231" i="6"/>
  <c r="S230" i="6"/>
  <c r="S229" i="6"/>
  <c r="S228" i="6"/>
  <c r="S227" i="6"/>
  <c r="S226" i="6"/>
  <c r="S225" i="6"/>
  <c r="S224" i="6"/>
  <c r="S223" i="6"/>
  <c r="S222" i="6"/>
  <c r="S221" i="6"/>
  <c r="S220" i="6"/>
  <c r="S219" i="6"/>
  <c r="S218" i="6"/>
  <c r="S217" i="6"/>
  <c r="S216" i="6"/>
  <c r="S215" i="6"/>
  <c r="S214" i="6"/>
  <c r="S213" i="6"/>
  <c r="S212" i="6"/>
  <c r="S211" i="6"/>
  <c r="S210" i="6"/>
  <c r="S209" i="6"/>
  <c r="S208" i="6"/>
  <c r="S207" i="6"/>
  <c r="S206" i="6"/>
  <c r="S205" i="6"/>
  <c r="S204" i="6"/>
  <c r="S203" i="6"/>
  <c r="S202" i="6"/>
  <c r="S201" i="6"/>
  <c r="S200" i="6"/>
  <c r="S199" i="6"/>
  <c r="S198" i="6"/>
  <c r="S197" i="6"/>
  <c r="S196" i="6"/>
  <c r="S195" i="6"/>
  <c r="S194" i="6"/>
  <c r="S193" i="6"/>
  <c r="S192" i="6"/>
  <c r="S191" i="6"/>
  <c r="S190" i="6"/>
  <c r="S189" i="6"/>
  <c r="S188" i="6"/>
  <c r="S187" i="6"/>
  <c r="S186" i="6"/>
  <c r="S185" i="6"/>
  <c r="S184" i="6"/>
  <c r="S183" i="6"/>
  <c r="S181" i="6"/>
  <c r="S180" i="6"/>
  <c r="S179" i="6"/>
  <c r="S178" i="6"/>
  <c r="S177" i="6"/>
  <c r="S176" i="6"/>
  <c r="S175" i="6"/>
  <c r="S174" i="6"/>
  <c r="S173" i="6"/>
  <c r="S172" i="6"/>
  <c r="S171" i="6"/>
  <c r="S170" i="6"/>
  <c r="S169" i="6"/>
  <c r="S168" i="6"/>
  <c r="S167" i="6"/>
  <c r="S166" i="6"/>
  <c r="S165" i="6"/>
  <c r="S164" i="6"/>
  <c r="S163" i="6"/>
  <c r="S162" i="6"/>
  <c r="S161" i="6"/>
  <c r="S160" i="6"/>
  <c r="S159" i="6"/>
  <c r="S158" i="6"/>
  <c r="S157" i="6"/>
  <c r="S156" i="6"/>
  <c r="S155" i="6"/>
  <c r="S154" i="6"/>
  <c r="S153" i="6"/>
  <c r="S152" i="6"/>
  <c r="S151" i="6"/>
  <c r="S150" i="6"/>
  <c r="S149" i="6"/>
  <c r="S148" i="6"/>
  <c r="S147" i="6"/>
  <c r="S146" i="6"/>
  <c r="S145" i="6"/>
  <c r="S144" i="6"/>
  <c r="S143" i="6"/>
  <c r="S142" i="6"/>
  <c r="S141" i="6"/>
  <c r="S140" i="6"/>
  <c r="S139" i="6"/>
  <c r="S138" i="6"/>
  <c r="S137" i="6"/>
  <c r="S136" i="6"/>
  <c r="S135" i="6"/>
  <c r="S134" i="6"/>
  <c r="S133" i="6"/>
  <c r="S132" i="6"/>
  <c r="S131" i="6"/>
  <c r="S130" i="6"/>
  <c r="S129" i="6"/>
  <c r="S127" i="6"/>
  <c r="S126" i="6"/>
  <c r="S125" i="6"/>
  <c r="S124" i="6"/>
  <c r="S123" i="6"/>
  <c r="S122" i="6"/>
  <c r="S121" i="6"/>
  <c r="S120" i="6"/>
  <c r="S119" i="6"/>
  <c r="S118" i="6"/>
  <c r="S117" i="6"/>
  <c r="S116" i="6"/>
  <c r="S115" i="6"/>
  <c r="S114" i="6"/>
  <c r="S113" i="6"/>
  <c r="S112" i="6"/>
  <c r="S111" i="6"/>
  <c r="S110" i="6"/>
  <c r="S109" i="6"/>
  <c r="S108" i="6"/>
  <c r="S107" i="6"/>
  <c r="S106" i="6"/>
  <c r="S105" i="6"/>
  <c r="S104" i="6"/>
  <c r="S103" i="6"/>
  <c r="S102" i="6"/>
  <c r="S101" i="6"/>
  <c r="S100" i="6"/>
  <c r="S99" i="6"/>
  <c r="S98" i="6"/>
  <c r="S97" i="6"/>
  <c r="S96" i="6"/>
  <c r="S95" i="6"/>
  <c r="S94" i="6"/>
  <c r="S93" i="6"/>
  <c r="S92" i="6"/>
  <c r="S91" i="6"/>
  <c r="S90" i="6"/>
  <c r="S89" i="6"/>
  <c r="S88" i="6"/>
  <c r="S87" i="6"/>
  <c r="S86" i="6"/>
  <c r="S85" i="6"/>
  <c r="S84" i="6"/>
  <c r="S83" i="6"/>
  <c r="S82" i="6"/>
  <c r="S81" i="6"/>
  <c r="S80" i="6"/>
  <c r="S79" i="6"/>
  <c r="S78" i="6"/>
  <c r="S77" i="6"/>
  <c r="S76" i="6"/>
  <c r="S75" i="6"/>
  <c r="S74" i="6"/>
  <c r="S73" i="6"/>
  <c r="S72" i="6"/>
  <c r="S71" i="6"/>
  <c r="S70" i="6"/>
  <c r="S69" i="6"/>
  <c r="S68" i="6"/>
  <c r="S67" i="6"/>
  <c r="S66" i="6"/>
  <c r="S65" i="6"/>
  <c r="S64" i="6"/>
  <c r="S63" i="6"/>
  <c r="S62" i="6"/>
  <c r="S61" i="6"/>
  <c r="S60" i="6"/>
  <c r="S59" i="6"/>
  <c r="S58" i="6"/>
  <c r="S57" i="6"/>
  <c r="S56" i="6"/>
  <c r="S55" i="6"/>
  <c r="S54" i="6"/>
  <c r="S53" i="6"/>
  <c r="S52" i="6"/>
  <c r="S51" i="6"/>
  <c r="S50" i="6"/>
  <c r="S49" i="6"/>
  <c r="S48" i="6"/>
  <c r="S47" i="6"/>
  <c r="S46" i="6"/>
  <c r="S45" i="6"/>
  <c r="S44" i="6"/>
  <c r="S43" i="6"/>
  <c r="S42" i="6"/>
  <c r="S41" i="6"/>
  <c r="S40" i="6"/>
  <c r="S39" i="6"/>
  <c r="S38" i="6"/>
  <c r="S37" i="6"/>
  <c r="S36" i="6"/>
  <c r="S35" i="6"/>
  <c r="S34" i="6"/>
  <c r="S33" i="6"/>
  <c r="S32" i="6"/>
  <c r="S31" i="6"/>
  <c r="S30" i="6"/>
  <c r="S29" i="6"/>
  <c r="S28" i="6"/>
  <c r="S27" i="6"/>
  <c r="S26" i="6"/>
  <c r="S25" i="6"/>
  <c r="S24" i="6"/>
  <c r="S23" i="6"/>
  <c r="S22" i="6"/>
  <c r="S21" i="6"/>
  <c r="S20" i="6"/>
  <c r="S19" i="6"/>
  <c r="S18" i="6"/>
  <c r="S17" i="6"/>
  <c r="S16" i="6"/>
  <c r="S15" i="6"/>
  <c r="S14" i="6"/>
  <c r="S13" i="6"/>
  <c r="S12" i="6"/>
  <c r="S11" i="6"/>
  <c r="S10" i="6"/>
  <c r="S9" i="6"/>
  <c r="S8" i="6"/>
  <c r="S7" i="6"/>
  <c r="S6" i="6"/>
  <c r="S5" i="6"/>
  <c r="S4" i="6"/>
  <c r="S3" i="6"/>
  <c r="S2" i="6"/>
  <c r="Y2" i="2"/>
  <c r="X2" i="2"/>
  <c r="U2" i="2"/>
  <c r="T2" i="2"/>
  <c r="A446" i="6" l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l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l="1"/>
  <c r="A480" i="6" s="1"/>
  <c r="A481" i="6" s="1"/>
  <c r="A482" i="6" s="1"/>
  <c r="A483" i="6" s="1"/>
  <c r="A484" i="6" s="1"/>
  <c r="A485" i="6" l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l="1"/>
  <c r="A511" i="6" s="1"/>
  <c r="A512" i="6" s="1"/>
  <c r="A513" i="6" l="1"/>
  <c r="A514" i="6" s="1"/>
  <c r="A515" i="6" s="1"/>
  <c r="A516" i="6" l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l="1"/>
  <c r="A535" i="6" s="1"/>
  <c r="A536" i="6" s="1"/>
  <c r="A537" i="6" l="1"/>
  <c r="A538" i="6" s="1"/>
  <c r="A539" i="6" s="1"/>
  <c r="A540" i="6" s="1"/>
  <c r="A541" i="6" s="1"/>
  <c r="A542" i="6" s="1"/>
  <c r="A543" i="6" s="1"/>
  <c r="A544" i="6" l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A1155" i="6" s="1"/>
  <c r="A1156" i="6" s="1"/>
  <c r="A1157" i="6" s="1"/>
  <c r="A1158" i="6" s="1"/>
  <c r="A1159" i="6" s="1"/>
  <c r="A1160" i="6" s="1"/>
  <c r="A1161" i="6" s="1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A1218" i="6" s="1"/>
  <c r="A1219" i="6" s="1"/>
  <c r="A1220" i="6" s="1"/>
  <c r="A1221" i="6" s="1"/>
  <c r="A1222" i="6" s="1"/>
  <c r="A1223" i="6" s="1"/>
  <c r="A1224" i="6" s="1"/>
  <c r="A1225" i="6" s="1"/>
  <c r="A1226" i="6" s="1"/>
  <c r="A1227" i="6" s="1"/>
  <c r="A1228" i="6" s="1"/>
  <c r="A1229" i="6" s="1"/>
  <c r="A1230" i="6" s="1"/>
  <c r="A1231" i="6" s="1"/>
  <c r="A1232" i="6" s="1"/>
  <c r="A1233" i="6" s="1"/>
  <c r="A1234" i="6" s="1"/>
  <c r="A1235" i="6" s="1"/>
  <c r="A1236" i="6" s="1"/>
  <c r="A1237" i="6" s="1"/>
  <c r="A1238" i="6" s="1"/>
  <c r="A1239" i="6" s="1"/>
  <c r="A1240" i="6" s="1"/>
  <c r="A1241" i="6" s="1"/>
  <c r="A1242" i="6" s="1"/>
  <c r="A1243" i="6" s="1"/>
  <c r="A1244" i="6" s="1"/>
  <c r="A1245" i="6" s="1"/>
  <c r="A1246" i="6" s="1"/>
  <c r="A1247" i="6" s="1"/>
  <c r="A1248" i="6" s="1"/>
  <c r="A1249" i="6" s="1"/>
  <c r="A1250" i="6" l="1"/>
  <c r="A1251" i="6" s="1"/>
  <c r="A1252" i="6" s="1"/>
  <c r="A1253" i="6" s="1"/>
  <c r="A1254" i="6" s="1"/>
  <c r="A1255" i="6" s="1"/>
  <c r="A1256" i="6" s="1"/>
  <c r="A1257" i="6" s="1"/>
  <c r="A1258" i="6" s="1"/>
  <c r="A1259" i="6" s="1"/>
</calcChain>
</file>

<file path=xl/sharedStrings.xml><?xml version="1.0" encoding="utf-8"?>
<sst xmlns="http://schemas.openxmlformats.org/spreadsheetml/2006/main" count="7516" uniqueCount="1164">
  <si>
    <t xml:space="preserve"> </t>
  </si>
  <si>
    <t>ITEM</t>
  </si>
  <si>
    <t>DNI/RUC</t>
  </si>
  <si>
    <t>CLIENTE</t>
  </si>
  <si>
    <t>SEC</t>
  </si>
  <si>
    <t>SOT</t>
  </si>
  <si>
    <t>COMENT.</t>
  </si>
  <si>
    <t>EST.SOT</t>
  </si>
  <si>
    <t>EST.AUDIO</t>
  </si>
  <si>
    <t>SUBIDA</t>
  </si>
  <si>
    <t>ASESOR</t>
  </si>
  <si>
    <t>MES</t>
  </si>
  <si>
    <t>MES INST.</t>
  </si>
  <si>
    <t>CELULAR</t>
  </si>
  <si>
    <t>AÑO</t>
  </si>
  <si>
    <t>AÑO INST.</t>
  </si>
  <si>
    <t>-</t>
  </si>
  <si>
    <t>Atendida</t>
  </si>
  <si>
    <t>Conforme</t>
  </si>
  <si>
    <t>Lenin Chaname</t>
  </si>
  <si>
    <t>H54092674</t>
  </si>
  <si>
    <t>Cynthia Puican</t>
  </si>
  <si>
    <t>H54102710</t>
  </si>
  <si>
    <t>Observado</t>
  </si>
  <si>
    <t>H54114535</t>
  </si>
  <si>
    <t>Carla Mío</t>
  </si>
  <si>
    <t>H54122149</t>
  </si>
  <si>
    <t>H54123687</t>
  </si>
  <si>
    <t>Nicolle Chimoy</t>
  </si>
  <si>
    <t>H54136323</t>
  </si>
  <si>
    <t>H54144298</t>
  </si>
  <si>
    <t>H54139718</t>
  </si>
  <si>
    <t>H54085634</t>
  </si>
  <si>
    <t>H54158898</t>
  </si>
  <si>
    <t>Elizabeth Chapoñan</t>
  </si>
  <si>
    <t>JHAIR EMANUEL LLONTOP RELUZ</t>
  </si>
  <si>
    <t>ANGIE LISETH VEGA VASQUEZ</t>
  </si>
  <si>
    <t>EDER ALEXANDER PADILLA AVALOS</t>
  </si>
  <si>
    <t>AIDEE CRISTINA PEREZ CRUZ</t>
  </si>
  <si>
    <t>Yadira Vega</t>
  </si>
  <si>
    <t>JONATHAN PARI HANCO</t>
  </si>
  <si>
    <t xml:space="preserve">SHEYLA NAIROBY BACA DEL AGUILA </t>
  </si>
  <si>
    <t>MARIO FERNANDO LLANOS ROJAS</t>
  </si>
  <si>
    <t>ZULEMA MARTHA ÑAUPA SUCARI</t>
  </si>
  <si>
    <t>RAUL VASQUEZ TORREZ</t>
  </si>
  <si>
    <t xml:space="preserve">LILY YANE VASQUEZ VASQUEZ </t>
  </si>
  <si>
    <t>BRAYAN JOSSUE RIOJAS LOYOLA</t>
  </si>
  <si>
    <t>JACK KEVIN MIRANDA LUNA</t>
  </si>
  <si>
    <t xml:space="preserve">RONALDO RENATO MANAY CORONADO </t>
  </si>
  <si>
    <t>Deivy Coronado</t>
  </si>
  <si>
    <t>Shelvy Vega</t>
  </si>
  <si>
    <t>Ethel Quispe</t>
  </si>
  <si>
    <t>Elam Davila</t>
  </si>
  <si>
    <t>Grace Vasquez</t>
  </si>
  <si>
    <t>Jeaneth Ventura</t>
  </si>
  <si>
    <t>Alejandro Vega</t>
  </si>
  <si>
    <t>KAREN VANESSA CECILIA BAUTISTA ROCA</t>
  </si>
  <si>
    <t>Reasignación</t>
  </si>
  <si>
    <t>Angelo Ramirez</t>
  </si>
  <si>
    <t>En ejecución</t>
  </si>
  <si>
    <t xml:space="preserve">OLGA MARISOL CHAPOÑAN BANCES </t>
  </si>
  <si>
    <t>JOSE LUIS ARCE LANOYRE</t>
  </si>
  <si>
    <t>SIXTO GERMAN RAMOS COAQUIRA</t>
  </si>
  <si>
    <t>KATHERINE FABIOLA MENDOZA YAÑEZ</t>
  </si>
  <si>
    <t>Rechazada</t>
  </si>
  <si>
    <t>SHIRLEY WENDY PAUCAR AGUI</t>
  </si>
  <si>
    <t>CECILIA REYES CALVAY</t>
  </si>
  <si>
    <t>LUZ VICTORIA PEREZ DE CUEVA</t>
  </si>
  <si>
    <t>FRANKLIN HUANCA CASTRO</t>
  </si>
  <si>
    <t>Cristobal Vega</t>
  </si>
  <si>
    <t>LAURA KATIA CESPEDES CANDIOTTI</t>
  </si>
  <si>
    <t>KAROLAY NIEVES CHAMBI PORTILLA</t>
  </si>
  <si>
    <t>IRMA VALERIA PEZO SINUIRI</t>
  </si>
  <si>
    <t>Tania Abad</t>
  </si>
  <si>
    <t>DAVID ERNESTO NUÑEZ SALAS</t>
  </si>
  <si>
    <t>JOSE ANTONIO LAYME MAMANI</t>
  </si>
  <si>
    <t>CLAUDIA SANCHEZ RODRIGUEZ</t>
  </si>
  <si>
    <t>JONAS ELVIS PAREDES CAMPOS</t>
  </si>
  <si>
    <t>VICTOR RAUL CARRANZA HURTADO</t>
  </si>
  <si>
    <t>JESSICA PAOLA NOLE TERAN</t>
  </si>
  <si>
    <t>FECH INST</t>
  </si>
  <si>
    <t>DNI</t>
  </si>
  <si>
    <t>ESTADO SOT</t>
  </si>
  <si>
    <t>ESTADO AUDIO</t>
  </si>
  <si>
    <t>AUDIO</t>
  </si>
  <si>
    <t>SUPERVISOR</t>
  </si>
  <si>
    <t>FCH VENTA</t>
  </si>
  <si>
    <t>MARIA ALEJANDRINA PAZ ABANTO</t>
  </si>
  <si>
    <t>Jennifer López</t>
  </si>
  <si>
    <t>BERTHA CHAVEZ SULLON</t>
  </si>
  <si>
    <t>Flavia Zuloeta</t>
  </si>
  <si>
    <t>VICTOR ROMAN ESCOBAR LARRIVIERE</t>
  </si>
  <si>
    <t>Yoselin Guevara</t>
  </si>
  <si>
    <t>KELLY IRINA CABRERA SANCHEZ</t>
  </si>
  <si>
    <t xml:space="preserve">JHEIMY DEL MILAGRO ROJAS GASTELO </t>
  </si>
  <si>
    <t>CAMILA YAMILEHT MENDOZA DELGADO</t>
  </si>
  <si>
    <t>Andy Aurazo</t>
  </si>
  <si>
    <t>EXON AYMAR CRUZ ROMERO</t>
  </si>
  <si>
    <t>CRISTOFERH PAUL SILVA ENRRIQUEZ</t>
  </si>
  <si>
    <t>JAKELINE STEFANY GALAN FIESTAS</t>
  </si>
  <si>
    <t>ROSA VICTORIA BALLENA GAMARRA</t>
  </si>
  <si>
    <t>ANDY JHAMIL AURAZO CARHUATANTA</t>
  </si>
  <si>
    <t>ANGIE LUZ MENDOZA GUERRERO</t>
  </si>
  <si>
    <t>SEGUNDO MANUEL SALAZAR VERA</t>
  </si>
  <si>
    <t>JORGE LUIS NORIEGA VARGAS</t>
  </si>
  <si>
    <t>JULIO CESAR LOZADA VEINTIMILLA</t>
  </si>
  <si>
    <t>CHANCAFE ÑIQUEN CESAR AUGUSTO</t>
  </si>
  <si>
    <t>JORGE ENRIQUE ZAPATA DIOS</t>
  </si>
  <si>
    <t>JEREMY YADIRA VEGA VASQUEZ</t>
  </si>
  <si>
    <t>MARIA NIEVES SANCHEZ MEJIA</t>
  </si>
  <si>
    <t>SUSANA ISMELDA GORDILLO PESCORAN</t>
  </si>
  <si>
    <t>GUILLERMINA ANGELICA VILLALOBOS CASTILLO</t>
  </si>
  <si>
    <t>ROSA YSABEL CHAMORRO ASCENCIO</t>
  </si>
  <si>
    <t>LUIS ALBERTO RISCO FERNANDEZ</t>
  </si>
  <si>
    <t>CESAR JESUS BRIONES MILLONES</t>
  </si>
  <si>
    <t>KELY YOHANA ZAMORA MEZA</t>
  </si>
  <si>
    <t>MARIA GREGORIA MINO CARDENAS</t>
  </si>
  <si>
    <t>NATHALY DEL PILAR PEREZ ODAR</t>
  </si>
  <si>
    <t>GIULIANA SILVIA GARCIA CORDOVA</t>
  </si>
  <si>
    <t>RAUL SEGUNDO HERNANDEZ VASQUEZ</t>
  </si>
  <si>
    <t>DEICY MARIBEL PORTALATINO MELENDEZ</t>
  </si>
  <si>
    <r>
      <rPr>
        <sz val="10"/>
        <color rgb="FF000000"/>
        <rFont val="Arial"/>
        <family val="2"/>
      </rPr>
      <t>Carla Mío</t>
    </r>
  </si>
  <si>
    <t>CALZADOS RB MODA BRASIL E.I.R.L.</t>
  </si>
  <si>
    <t>Blanca Chapoñan</t>
  </si>
  <si>
    <t>ENRIQUE MALDONADO MENDOZA</t>
  </si>
  <si>
    <t>DEIVIS DANIEL MANAYAY GALLO</t>
  </si>
  <si>
    <t>GRUPO ATLAY PERU SAC</t>
  </si>
  <si>
    <t>EDUARDO ROBERTO REYES ALARCON</t>
  </si>
  <si>
    <t>PASCUALA MAS PUERTA VDA DE SOTERO</t>
  </si>
  <si>
    <t>POOL GIANCARLO BRONCANO GONZALES</t>
  </si>
  <si>
    <t>LEONARDO YAIR GARCIA PULACHE</t>
  </si>
  <si>
    <t>YULISSA GASCO ROJAS</t>
  </si>
  <si>
    <t>MISAEL CALEB PUICON PUSMA</t>
  </si>
  <si>
    <t xml:space="preserve">DANTY JAVIER MORALES SILOPU </t>
  </si>
  <si>
    <t xml:space="preserve">DIANA CRISTINA RUIZ SANCHEZ </t>
  </si>
  <si>
    <t>JESUS EDWIN MAMANI ORTIGOZO</t>
  </si>
  <si>
    <t>MARICELA KATLERIN DE LA CRUZ TUCTO</t>
  </si>
  <si>
    <t>ROMARIO ALBERTO BALDARRAGO PILCO</t>
  </si>
  <si>
    <t>DANIEL ROBERTO MEDINA PARIONA</t>
  </si>
  <si>
    <t xml:space="preserve">FERNANDO MARTIN MANDROS OLARTE </t>
  </si>
  <si>
    <t>ERNESTO POZO NAVARRO</t>
  </si>
  <si>
    <t>MARTIN AUGUSTO CELSO BAMONDE SILVA</t>
  </si>
  <si>
    <t>EDWIN VASQUEZ PALOMINO</t>
  </si>
  <si>
    <t>WALTER OLAYA CORDOVA</t>
  </si>
  <si>
    <t>EDWARD PÉREZ NARVAEZ</t>
  </si>
  <si>
    <t>MARK ARCE HUAYTA</t>
  </si>
  <si>
    <t>EDWIN WILLIAM CHUQUIZUTA ZAMORA</t>
  </si>
  <si>
    <t>GARCIA GIRON LIZ ANGELA</t>
  </si>
  <si>
    <t>SUSANA MARILU ECHEVARRIA ESTEBAN</t>
  </si>
  <si>
    <t xml:space="preserve">ENRIQUE MENDOZA MALDONADO </t>
  </si>
  <si>
    <t>ABEL LAURENTE ORE</t>
  </si>
  <si>
    <t>NO DESEA</t>
  </si>
  <si>
    <t>ALFRED STEFANO BAZAN MENDOZA</t>
  </si>
  <si>
    <t>ANA CECILIA CAMPOS LLONTOP</t>
  </si>
  <si>
    <t xml:space="preserve">FABRICIO DANIEL RAMOS YAURI </t>
  </si>
  <si>
    <t>ANTONIO ROSALES SEVILLANO</t>
  </si>
  <si>
    <t>EDUARDO JUAN LUIS ORTIZ FLORES</t>
  </si>
  <si>
    <t>CARLOS OBREGON HUAMAN</t>
  </si>
  <si>
    <t>NERY CARMEN DAMIAN MALDONADO</t>
  </si>
  <si>
    <t>WILFREDO VEGA FERNANDEZ</t>
  </si>
  <si>
    <t>EFRAIN SEBASTIAN CONSTANTINO NINACONDOR</t>
  </si>
  <si>
    <t>JOSE MARTIN DEL AGUILA PEREZ</t>
  </si>
  <si>
    <t xml:space="preserve">ROSAS MIGUEL GUEVARA GUITIERREZ </t>
  </si>
  <si>
    <t>ELOY RONAL TINTAYA VILLALBA</t>
  </si>
  <si>
    <t>CESAR AUGUSTO RAMIREZ TRUJILLO</t>
  </si>
  <si>
    <t>FALTA DE CONTACTO</t>
  </si>
  <si>
    <t xml:space="preserve"> FRANCISCO GRACIANO NATIVIDAD MINAYA</t>
  </si>
  <si>
    <t>AMER CHRISTIANS URUCHI MAMANI</t>
  </si>
  <si>
    <t>ITALY TORRE SANTA CRUZ</t>
  </si>
  <si>
    <t>NIcolle Chimoy</t>
  </si>
  <si>
    <t>BRANDO LEE CAMPOS RUJEL</t>
  </si>
  <si>
    <t>JUAN CARLOS VALENCIA LOPEZ</t>
  </si>
  <si>
    <t>SHERIDAN GREY ANGELES ARROYO</t>
  </si>
  <si>
    <t>INES PATRICIA AGUAYO GONZÁLES</t>
  </si>
  <si>
    <t>ALEXANDRA LESSLY HUAMAN TIMANA</t>
  </si>
  <si>
    <t>Ricardo Banda</t>
  </si>
  <si>
    <t>ANTHONY JAIR PEZO LARREA</t>
  </si>
  <si>
    <t>NATALIA PAOLA TORRES PANTOJA</t>
  </si>
  <si>
    <t>ANDY DARWIN LEON BERNABE</t>
  </si>
  <si>
    <t>KARLA LUCIANA PEREZ VASQUEZ</t>
  </si>
  <si>
    <t>CESAR ALFONSO ALVA FALCON</t>
  </si>
  <si>
    <t>10058772-1</t>
  </si>
  <si>
    <t>TIMOTEO HUAMAN CCOCHACHI</t>
  </si>
  <si>
    <t xml:space="preserve">MARIA TORRES UGAZ </t>
  </si>
  <si>
    <t>RICARDO ESTEVAN BANDA HUAMAN</t>
  </si>
  <si>
    <t>LISHA CAROLINA PALMA TALAVERA</t>
  </si>
  <si>
    <t>ANTONIO LUIS PIMENTEL Y FLORES</t>
  </si>
  <si>
    <t>HERMES SEGUNDO FELIX PEREDA</t>
  </si>
  <si>
    <t>COLUNCHE IDROGO SANTOS ANIBAL</t>
  </si>
  <si>
    <t>CARMEN ROSA INGA ESPINOZA</t>
  </si>
  <si>
    <t>YESSENIA STEFANIE CONDOR ROBLES</t>
  </si>
  <si>
    <t>BRUNA ADELMA JARA IDME</t>
  </si>
  <si>
    <t>NORMA ROGELIA OLAECHEA SIGUAS</t>
  </si>
  <si>
    <t>ANDRES ZEVALLOS APAZA</t>
  </si>
  <si>
    <t>ALQUIS ALDINO  SERIN LAGUNA</t>
  </si>
  <si>
    <t>AMALIA ISABEL INGA FLORES</t>
  </si>
  <si>
    <t>RODRIGO TOLMOS BUSTAMANTE</t>
  </si>
  <si>
    <t>SOT 11:30</t>
  </si>
  <si>
    <t>SHIRLEY BECERRA MIRANDA</t>
  </si>
  <si>
    <t>SOT 6:35</t>
  </si>
  <si>
    <t>FT. MESA</t>
  </si>
  <si>
    <t xml:space="preserve">MAGALLY IRIS MORENO HUERTA </t>
  </si>
  <si>
    <t>EDGAR ENRIQUE CHAVEZ MOZO</t>
  </si>
  <si>
    <t>MARTIN MARIO FLORES RAMOS</t>
  </si>
  <si>
    <t>SANDRA PANCCA QUISPE</t>
  </si>
  <si>
    <t xml:space="preserve">RICARDO ESTEVAN BANDA HUAMAN </t>
  </si>
  <si>
    <t>GUSTAVO BENITO DE LA CRUZ VILCA</t>
  </si>
  <si>
    <t>JUVENAL COLQUE CAYRO</t>
  </si>
  <si>
    <t>VERONICA LISET PINEDO BRIONES</t>
  </si>
  <si>
    <t>MARILU GARAY SOBERON</t>
  </si>
  <si>
    <t>FT. CAMPO</t>
  </si>
  <si>
    <t>LENIN OSCAR CALSINA CONDORI</t>
  </si>
  <si>
    <t>F.T CAMPO</t>
  </si>
  <si>
    <t>HERMES PEREDA ARIAS</t>
  </si>
  <si>
    <t>ALEXANDRA JASMIN SARAZA FLORES</t>
  </si>
  <si>
    <t>MIGUEL ANGEL ESQUIVEL CORDOVA</t>
  </si>
  <si>
    <t>ROGER VLADIMIR ABAD CHOQUEHUANCA</t>
  </si>
  <si>
    <t>KAROL ANGELICA MORON FLORES</t>
  </si>
  <si>
    <t>EDWIN SEMPERTEGUI CORONADO</t>
  </si>
  <si>
    <t>DENNIS VALENCIA ANCAJIMA</t>
  </si>
  <si>
    <t>LEONARDO RUBEN CRUZ CORNEJO</t>
  </si>
  <si>
    <t>LUIS ALEXANDER TERRANOVA ALEJOS</t>
  </si>
  <si>
    <t>FERNANDO GUSSEPPE MURGA MARQUEZ</t>
  </si>
  <si>
    <t>INGRID ESTEFANY GOMEZ ZAPATA</t>
  </si>
  <si>
    <t xml:space="preserve">KELWIN CHAMOLI QUINTANA   </t>
  </si>
  <si>
    <t>WARREN CARDENAS YUMBATO</t>
  </si>
  <si>
    <t>JORGE ARMANDO NUÑEZ BUSTAMANTE</t>
  </si>
  <si>
    <t>ERIBERTO AGAPITO SEBASTIAN LEON</t>
  </si>
  <si>
    <t>MARIA DEL PILAR ALVARADO OBLITAS</t>
  </si>
  <si>
    <t>CELINA SOTO GOMEZ</t>
  </si>
  <si>
    <t>IRIS JANET ZEÑA ATACHAGUA</t>
  </si>
  <si>
    <t>RODERIK TORRES MARIN</t>
  </si>
  <si>
    <t xml:space="preserve">DAYSSI ASTRIT CHARRY CONDOR </t>
  </si>
  <si>
    <t>EDGAR GUSTAVO DELGADO CUBAS</t>
  </si>
  <si>
    <t xml:space="preserve">JUAN DANIEL CESPEDES HERNANDEZ </t>
  </si>
  <si>
    <t>JOSE JUAN LEYTON AYALA</t>
  </si>
  <si>
    <t>SUSY CATHERINE ACUÑA CHERO</t>
  </si>
  <si>
    <t>CECILIA ELENA RONCAL SATTUI</t>
  </si>
  <si>
    <t>RICARDO ALFREDO RONCAL SATTUI</t>
  </si>
  <si>
    <t>DIANA ELIZABETH LLAMOCTANTA PALMA</t>
  </si>
  <si>
    <t>JOSE GREGORIO JARA VARGAS</t>
  </si>
  <si>
    <t>JUAN MANUEL LLONTOP SAYAVERDI</t>
  </si>
  <si>
    <t>SEGUNDO BENJAMIN CHIROQUE SIGNOL</t>
  </si>
  <si>
    <t>ELARD FRANSKY MARRUFFO ABANTO</t>
  </si>
  <si>
    <t xml:space="preserve">PEDRO ORESTES TABOADA BANCES </t>
  </si>
  <si>
    <t>RONALD CELESTINO VENTOCILLA GONZALES</t>
  </si>
  <si>
    <t>GLADYS CRUZADO HERNANDEZ</t>
  </si>
  <si>
    <t xml:space="preserve">MIRSA MARLID SAUCEDO BARAHONA    </t>
  </si>
  <si>
    <t>ELVER FLAVIO CASTILLO MONTALVAN</t>
  </si>
  <si>
    <t>LUZ VICTORIA HUANCAS VEGA</t>
  </si>
  <si>
    <t>DEISY ROSITA PANTA PAZOS</t>
  </si>
  <si>
    <t>ZOILA EDELMIRA CAPUENA VELA</t>
  </si>
  <si>
    <t>AXEL ALEXANDRE PÙERTAS SALAZAR</t>
  </si>
  <si>
    <t>JOSE MIGUEL LORA PERALTA</t>
  </si>
  <si>
    <t>LUCIANA ANGELES GUERRA</t>
  </si>
  <si>
    <t>MARIA DORIS TAPIA MARRUFO</t>
  </si>
  <si>
    <t>YAJAIRA SOLEDAD PAZ GAMBOA</t>
  </si>
  <si>
    <t xml:space="preserve">LEONIDAS ELISEO EUNOFRE CORNELIO  </t>
  </si>
  <si>
    <t xml:space="preserve">CRISTOBAL JESUS ARAUJO VASQUEZ </t>
  </si>
  <si>
    <t>VICTOR JOSE URQUIZO SANCHEZ</t>
  </si>
  <si>
    <t>BERTHA ELIZABETH VILLANUEVA HUAMAN</t>
  </si>
  <si>
    <t>BETTY ELIZABET FARROÑAN MONTALVO</t>
  </si>
  <si>
    <t>EDUEN ROSEL ESTELA ZAMORA</t>
  </si>
  <si>
    <t xml:space="preserve">SALVADOR WALLENSTEIN PIEDRA PEREZ </t>
  </si>
  <si>
    <t xml:space="preserve">HAZEL ARACELI ESTELA BARDALES    </t>
  </si>
  <si>
    <t>MONICA TANIA MERCHAN BELTRAN</t>
  </si>
  <si>
    <t>GILMER ATALAYA OLIVARES</t>
  </si>
  <si>
    <t>MARDONIO RODRIGUEZ ÑAUPA</t>
  </si>
  <si>
    <t>EDITH LEONAR HUACCHA FERNANDEZ</t>
  </si>
  <si>
    <t>ERICK JHOAN JAMANCA ALVAREZ</t>
  </si>
  <si>
    <t>MAYRA LIZBETH TUNQUE LOPEZ</t>
  </si>
  <si>
    <t>MARGARITA JANNETH ARISMENDIZ OLAYA</t>
  </si>
  <si>
    <t>EDGAR ROBERTO PEREZ LUJAN</t>
  </si>
  <si>
    <t xml:space="preserve">JOSE FRANCISCO ALVARADO DAVIS </t>
  </si>
  <si>
    <t>SEBASTIANA CHICLLA SEGUNDO</t>
  </si>
  <si>
    <t>JOSUE DANIEL SANTISTEBAN SANDOVAL</t>
  </si>
  <si>
    <t>SUSANA MARIBEL OLIVA TARRILLO</t>
  </si>
  <si>
    <t>LUCIA GARCIA NEYRA</t>
  </si>
  <si>
    <t>REYNERIO TARRILLO SANCHEZ</t>
  </si>
  <si>
    <t>ENRIQUE GUERRERO TORRES</t>
  </si>
  <si>
    <t>WILLIAM HEBERT GARGUREVICH RAZURI</t>
  </si>
  <si>
    <t>JUSTO PASTOR TELLO PARDO</t>
  </si>
  <si>
    <t xml:space="preserve">MARTHA LISBET SAUCEDO VASQUEZ </t>
  </si>
  <si>
    <t>FABRICIO ALEXANDERZON AYAY HUAMAN</t>
  </si>
  <si>
    <t>SUSANA FILOMINA CANAZA ZAMATA</t>
  </si>
  <si>
    <t xml:space="preserve">LILI CONSUELO LINGAN VASQUEZ </t>
  </si>
  <si>
    <t xml:space="preserve">PATRICIA DEL PILAR ROSALES TELLO </t>
  </si>
  <si>
    <t>DANITZA ELVIRA ALOR UZURIAGA</t>
  </si>
  <si>
    <t xml:space="preserve">ELITA APOSTOL DELGADO </t>
  </si>
  <si>
    <t>PATRICIA CELIA SALDAÑA RUBIANE</t>
  </si>
  <si>
    <t xml:space="preserve">JENRY EDUARD BRAVO HUAMAN </t>
  </si>
  <si>
    <t>WILMER CESAR ENRIQUE CUEVA RUESTA</t>
  </si>
  <si>
    <t xml:space="preserve">CELIA ROJAS HUAROC </t>
  </si>
  <si>
    <t>VIOLETA PEREZ BECERRA</t>
  </si>
  <si>
    <t>ERMOGENES CULQUI BARDALES</t>
  </si>
  <si>
    <t>MARIO CHAMBI HANCCO</t>
  </si>
  <si>
    <t>ELSA ESTHER MENDOZA TERNERO</t>
  </si>
  <si>
    <t>GUILLERMO JEFFERSON PAREDES SANTANA</t>
  </si>
  <si>
    <t>LEYLA SARITA SANCHEZ CHINCHAY</t>
  </si>
  <si>
    <t>CARMEN MELCHOR PAEZ</t>
  </si>
  <si>
    <t xml:space="preserve">MAYRA LIZBETH TUNQUE LOPEZ </t>
  </si>
  <si>
    <t>HERMES AGUSTIN PAREDES LAZARO</t>
  </si>
  <si>
    <t>LUIS MIGUEL CUBAS RUIZ</t>
  </si>
  <si>
    <t xml:space="preserve">MARIO ALEXANDER TORBISCO ANTAY </t>
  </si>
  <si>
    <t>JENNY CRIST TORRES MENESES</t>
  </si>
  <si>
    <t>DEYSI LUZ GOMEZ BRAVO</t>
  </si>
  <si>
    <t>IRMA GENOVEVA ATAGUA CONTRERAS</t>
  </si>
  <si>
    <t xml:space="preserve">RITA MELANIA HERRERA RAMOS </t>
  </si>
  <si>
    <t>YERIK JOSHUA ALONSO SALIZAR</t>
  </si>
  <si>
    <t>YEROLL ANDREE LAMA VEGA</t>
  </si>
  <si>
    <t>BERTHA TORIBIA ORCOAPAZA ACHATA</t>
  </si>
  <si>
    <t>LESLIE FIORELLA POTENCIANO CUADROS</t>
  </si>
  <si>
    <t>JIMMY FRANZ ROSAS CHACON</t>
  </si>
  <si>
    <t>NICKY DANIEL VEREAU BENITES</t>
  </si>
  <si>
    <t>JOSE MANUEL BENITES CIPRA</t>
  </si>
  <si>
    <t>LADY JULIANA OLIVA GARCIA</t>
  </si>
  <si>
    <t>NICOLAS GABRIEL BALLON ZAPATA</t>
  </si>
  <si>
    <t>CESAR CHARCA QUISPE</t>
  </si>
  <si>
    <t>EFRAIN YILVER VASQUEZ GARCIA</t>
  </si>
  <si>
    <t xml:space="preserve">RUTH HEIDI LOZANO DEL AGUILA </t>
  </si>
  <si>
    <t xml:space="preserve">YENIFER ESTEFANI CHICLAYO PAREDES </t>
  </si>
  <si>
    <t>JESUS ARTURO PALOMINO DIAZ</t>
  </si>
  <si>
    <t>ANGELICA EUNICE DAVILA ASALDE</t>
  </si>
  <si>
    <t>ANGELICA EUNICE DAVILA ASALDE 2</t>
  </si>
  <si>
    <t>OBSERVACIÓN SOT</t>
  </si>
  <si>
    <t>FECHA</t>
  </si>
  <si>
    <t>NÚMERO</t>
  </si>
  <si>
    <t>FACTUR.</t>
  </si>
  <si>
    <t>OBSERVACIÓN AUDIO</t>
  </si>
  <si>
    <t>PAGOS</t>
  </si>
  <si>
    <t>ü</t>
  </si>
  <si>
    <t>TECN.</t>
  </si>
  <si>
    <t>PLAN</t>
  </si>
  <si>
    <t>FTTH</t>
  </si>
  <si>
    <t>HFC</t>
  </si>
  <si>
    <t>INTERNET 150MB</t>
  </si>
  <si>
    <t>150 MB TV AVANZADO PRO</t>
  </si>
  <si>
    <t>400 MB TV AVANZADO PRO</t>
  </si>
  <si>
    <t>300 MB TV AVANZADO PRO</t>
  </si>
  <si>
    <t>INTERNET 300MB</t>
  </si>
  <si>
    <t>FTTH EMP DIG 300MB</t>
  </si>
  <si>
    <t>FTTH EMP DIG 150MB TV AVANZADO PRO</t>
  </si>
  <si>
    <t>FTTH EMP DIG 150MB</t>
  </si>
  <si>
    <t>150 MB TELEFONIA 5000</t>
  </si>
  <si>
    <t>HFC EMP DIG 300MB</t>
  </si>
  <si>
    <t>FTTH EMP DIG 150MB TELEFONIA 1000</t>
  </si>
  <si>
    <t>FTTH EMP DIG 150MB TV AVANZADO</t>
  </si>
  <si>
    <t>HFC EMP DIG 150MB TELEFONIA 1000</t>
  </si>
  <si>
    <t>FTTH EMP DIG 300MB TV AVANZADO</t>
  </si>
  <si>
    <t>HFC EMP DIG 150MB</t>
  </si>
  <si>
    <t>HFC EMP DIG 150MB HDTV AVANZADO</t>
  </si>
  <si>
    <t>300 MB CLARO TV AVANZADO</t>
  </si>
  <si>
    <t>150 MB TELEFONIA 1000</t>
  </si>
  <si>
    <t>150 MB CLARO TV AVANZADO</t>
  </si>
  <si>
    <t>150 MB HD TV AVANZADO</t>
  </si>
  <si>
    <t>INTERNET 400MB</t>
  </si>
  <si>
    <t>150 MB CLARO TV AVANZADO 1000</t>
  </si>
  <si>
    <t>300 MB HD TV AVANZADO 1000</t>
  </si>
  <si>
    <t>400 MB TELEFONIA 1000</t>
  </si>
  <si>
    <t>300 MB TELEFONIA 1000</t>
  </si>
  <si>
    <t>400 MB HD TV AVANZADO</t>
  </si>
  <si>
    <t>ALFREDO MUÑOZ ARRIOLA</t>
  </si>
  <si>
    <t>JAVIER PAZ TORIBIO</t>
  </si>
  <si>
    <t>NIEVES FLOR DE MARI VENEGAS FLORES</t>
  </si>
  <si>
    <t>GEORGE LUIS MEJIA SULCA 2</t>
  </si>
  <si>
    <t>MARIA SHELLY BOCANEGRA RODRIGUEZ</t>
  </si>
  <si>
    <t>CONFE ROBERTO ARRASCUE SILVA</t>
  </si>
  <si>
    <t>JOSE DEL CARMEN GUERRERO GARCIA</t>
  </si>
  <si>
    <t>infraestructura</t>
  </si>
  <si>
    <t>duplicidad</t>
  </si>
  <si>
    <t>DIA DE INSTALACION</t>
  </si>
  <si>
    <t>contacto</t>
  </si>
  <si>
    <t>fraude</t>
  </si>
  <si>
    <t>no desea</t>
  </si>
  <si>
    <t>SCORE</t>
  </si>
  <si>
    <t xml:space="preserve">ENRIQUE RAMOS LUNA </t>
  </si>
  <si>
    <t>LILIANA ROSALIA TORRICO CASTILLO DE MATOS</t>
  </si>
  <si>
    <t>INTERNET 1000MB</t>
  </si>
  <si>
    <t xml:space="preserve"> facilidades </t>
  </si>
  <si>
    <t>MIGUEL ANGEL LOAYZA PACHECO</t>
  </si>
  <si>
    <t>KATTY ADELINA DEL AGUILA RAMIREZ</t>
  </si>
  <si>
    <t>VANESSA FATIMA AGOSTINELLI ALVAREZ DE RENQUIFO</t>
  </si>
  <si>
    <t>150 MB TV AVANZADO PRO 5000</t>
  </si>
  <si>
    <t>FTTH EMP DIG 300MB TV AVANZADO PRO</t>
  </si>
  <si>
    <t>facilidades</t>
  </si>
  <si>
    <t>TEODOBERTO MEDINA AGUILAR</t>
  </si>
  <si>
    <t>DILMAN SALOMON CORNEJO SANCHEZ</t>
  </si>
  <si>
    <t>VIVIAN GRACE VICE OTERO</t>
  </si>
  <si>
    <t>NORA ROMAN DOMINGUEZ</t>
  </si>
  <si>
    <t>HFC EMP DIG 150MB TELEFONIA 5000</t>
  </si>
  <si>
    <t>TEC.</t>
  </si>
  <si>
    <t>C.FIJO</t>
  </si>
  <si>
    <t>DEPARTAMENTO</t>
  </si>
  <si>
    <t>LAMBAYEQUE</t>
  </si>
  <si>
    <t>ANCASH</t>
  </si>
  <si>
    <t>PIURA</t>
  </si>
  <si>
    <t>LA LIBERTAD</t>
  </si>
  <si>
    <t>LIMA</t>
  </si>
  <si>
    <t>JUNIN</t>
  </si>
  <si>
    <t>ICA</t>
  </si>
  <si>
    <t>CAJAMARCA</t>
  </si>
  <si>
    <t>TACNA</t>
  </si>
  <si>
    <t>AREQUIPA</t>
  </si>
  <si>
    <t>HUANUCO</t>
  </si>
  <si>
    <t>PUNO</t>
  </si>
  <si>
    <t>UCAYALI</t>
  </si>
  <si>
    <t>SAN MARTIN</t>
  </si>
  <si>
    <t>AYACUCHO</t>
  </si>
  <si>
    <t>CUSCO</t>
  </si>
  <si>
    <t>MOQUEGUA</t>
  </si>
  <si>
    <t>PASCO</t>
  </si>
  <si>
    <t>KAREN LISET CAMACHO ROSALES</t>
  </si>
  <si>
    <t>46088013 - 2</t>
  </si>
  <si>
    <t>DIEGO SEBASTIAN CASTILLO PINTADO</t>
  </si>
  <si>
    <t>300 MB TELEFONIA 5000</t>
  </si>
  <si>
    <t>MARIO LEONCIO RUMAY HUACCHA</t>
  </si>
  <si>
    <t>edificio no liberado</t>
  </si>
  <si>
    <t>mal ingreso de direccion</t>
  </si>
  <si>
    <t>factibilidad</t>
  </si>
  <si>
    <t xml:space="preserve">CESAREO WALTER JAUREGUI AGUILAR </t>
  </si>
  <si>
    <t>fast</t>
  </si>
  <si>
    <t>DIEGO ALONSO SAMANEZ BERLANGA</t>
  </si>
  <si>
    <t>MANUEL NORBERTO NEYRA MONTAÑA</t>
  </si>
  <si>
    <t>VANESA ELIZABETH SAAVEDRA POLO</t>
  </si>
  <si>
    <t>Yamile Paz</t>
  </si>
  <si>
    <t>300 MB TV AVANZADO PRO 5000</t>
  </si>
  <si>
    <t>CALLAO</t>
  </si>
  <si>
    <t>Miguel Alcantara</t>
  </si>
  <si>
    <t>ALBERTICO FILIBERTO DIAZ GALVEZ</t>
  </si>
  <si>
    <t>infraestrcutura</t>
  </si>
  <si>
    <t>CARMEN ROSA CHANG VDA DE INGUNZA</t>
  </si>
  <si>
    <t>RAUL TIÑA FLORES</t>
  </si>
  <si>
    <t xml:space="preserve">EDGARD CUBAS ROMERO </t>
  </si>
  <si>
    <t>RUTH EMILY TERRONES BENAVIDEZ</t>
  </si>
  <si>
    <t>red saturada</t>
  </si>
  <si>
    <t>SANDRO PRECIADO ALVAREZ</t>
  </si>
  <si>
    <t xml:space="preserve"> JORGE LUIS SANTOS ASTO</t>
  </si>
  <si>
    <t>ELIZABETH CONSUELO HUAMANI PILLACA</t>
  </si>
  <si>
    <t xml:space="preserve">JOSE ALBERTO ALVARADO INGA </t>
  </si>
  <si>
    <t>LUIS MASAO TORRES CHINEN</t>
  </si>
  <si>
    <t>EUGENIO VERASTEGUI FERNANDEZ</t>
  </si>
  <si>
    <t>CARDENAS ENRRIQUEZ PERCY</t>
  </si>
  <si>
    <t>JOSE LUIS VASQUEZ CARTAS</t>
  </si>
  <si>
    <t>fat saturado</t>
  </si>
  <si>
    <t>facilidades técnicas</t>
  </si>
  <si>
    <t>f.t cliente</t>
  </si>
  <si>
    <t xml:space="preserve"> CLAUDIA CONSUELO PADUA BANDA</t>
  </si>
  <si>
    <t xml:space="preserve">300 MB TELEFONIA 5000 </t>
  </si>
  <si>
    <t>JORGE LUIS SANTOS ASTO</t>
  </si>
  <si>
    <t>cobertura</t>
  </si>
  <si>
    <t xml:space="preserve">FTTH EMP DIG 300MB TV AVANZADO PRO </t>
  </si>
  <si>
    <t>fast saturado</t>
  </si>
  <si>
    <t>SUPERV</t>
  </si>
  <si>
    <t>JANETH FRANCIS AGUILAR VELASQUEZ</t>
  </si>
  <si>
    <t>RAFAEL DANIEL CARBAJAL DIAZ</t>
  </si>
  <si>
    <t xml:space="preserve">DIEGO FABRIZIO VASQUEZ LOPEZ </t>
  </si>
  <si>
    <t xml:space="preserve">150 MB TELEFONIA 5000 </t>
  </si>
  <si>
    <t xml:space="preserve">MARCELINO DIAS FASABI </t>
  </si>
  <si>
    <t>NESTOR ENRIQUE RUIZ TORRES</t>
  </si>
  <si>
    <t>HAYDEE ALEJANDRINA PRUDENCIO ALEGRIA</t>
  </si>
  <si>
    <t>MARTINA ZARATE GOZME</t>
  </si>
  <si>
    <t>EDGAR CASTILLO CASTILLO</t>
  </si>
  <si>
    <t>red daturada</t>
  </si>
  <si>
    <t>BRAYAN SMITH SANCHEZ CACHO</t>
  </si>
  <si>
    <t>JOHNNY WILFREDO GAMARRA BARTUREN</t>
  </si>
  <si>
    <t>sot con error</t>
  </si>
  <si>
    <t xml:space="preserve">MANUEL CHAPOÑAN SANTAMARIA </t>
  </si>
  <si>
    <t>15665344 - 1</t>
  </si>
  <si>
    <t>tap excede</t>
  </si>
  <si>
    <t xml:space="preserve">BERTHA NAVARRO DE BOULANGGER </t>
  </si>
  <si>
    <t>FTTH EMP DIG 150MB TELEFONIA 5000</t>
  </si>
  <si>
    <t>viaje</t>
  </si>
  <si>
    <t>NANCY BETHY PORTOCARRERO LOPEZ</t>
  </si>
  <si>
    <t>FELIS RAUL PEREZ ROMERO</t>
  </si>
  <si>
    <t>DOMINICK JESUS SANTA CRUZ CENTURION</t>
  </si>
  <si>
    <t>mala oferta</t>
  </si>
  <si>
    <t>QUELI NOEMI FLORES GUAYAN</t>
  </si>
  <si>
    <t>72385010 - 1</t>
  </si>
  <si>
    <t>sot con errores</t>
  </si>
  <si>
    <t>Erwing Quesquen</t>
  </si>
  <si>
    <t xml:space="preserve">CHRISTOPHER JACKSON LA ROSA MORENO  </t>
  </si>
  <si>
    <t>OSCAR RICARDO PACHECO PANDURO</t>
  </si>
  <si>
    <t>RUTH THALIA PACCO ZARATE</t>
  </si>
  <si>
    <t>direccion errada</t>
  </si>
  <si>
    <t>limite de visita</t>
  </si>
  <si>
    <t>JOSE GABRIEL SANCHEZ RAMOS</t>
  </si>
  <si>
    <t xml:space="preserve">GERARDO MONER RAMIREZ ESPADA   </t>
  </si>
  <si>
    <t>YESSICA YENI ROQUE GOMEZ</t>
  </si>
  <si>
    <t>titular errado</t>
  </si>
  <si>
    <t>HUGO DELGADO FIGUEROA</t>
  </si>
  <si>
    <t>EMIGIDIO OSWALDO TACUCHE CALERO</t>
  </si>
  <si>
    <t xml:space="preserve">RONALD PERCY PELAEZ VARGAS </t>
  </si>
  <si>
    <t xml:space="preserve">MARHIA DEL CARMMEN GLORIA SALAZAR DE LA CRUZ </t>
  </si>
  <si>
    <t xml:space="preserve">KEVIN OMAR AUQUI CHUCAS </t>
  </si>
  <si>
    <t>HFC EMP DIG 300MB TV AVANZADO PRO</t>
  </si>
  <si>
    <t>WILDER RAUL MEDINA FLORES</t>
  </si>
  <si>
    <t>subsanada</t>
  </si>
  <si>
    <t>DORIS ELVIRA DANTAS PORTOCARRERO</t>
  </si>
  <si>
    <t>JULIO CESAR VALQUI ROMERO</t>
  </si>
  <si>
    <t>LIDIA DIAZ FERNANDEZ</t>
  </si>
  <si>
    <t xml:space="preserve"> OTINIANO CASTILLO ROSARIO ANIBAL</t>
  </si>
  <si>
    <t xml:space="preserve">HILDEBRANDO MARIO FLORES CHINCHA </t>
  </si>
  <si>
    <t>ft cliente</t>
  </si>
  <si>
    <t>VALLEJOS GUEVARA JUAN FRANCISCO</t>
  </si>
  <si>
    <t>FTTH EMP DIG 300MB TV AVANZADO PRO 5000</t>
  </si>
  <si>
    <t>ANDREA NOVOA VDA DE RAMIREZ</t>
  </si>
  <si>
    <t>CLOTILDE ESPINOZA MONTOYA DE BALUARTE</t>
  </si>
  <si>
    <t>RONELL ALEXANDER AGUILAR ALFARO</t>
  </si>
  <si>
    <t xml:space="preserve">LUIS ENRIQUE MEDRANO RAGGIO </t>
  </si>
  <si>
    <t xml:space="preserve">CESAR AUGUSTO VALVERDE CONTRERAS </t>
  </si>
  <si>
    <t>MILAGROS NATALI MATENCIO ZARATE</t>
  </si>
  <si>
    <t xml:space="preserve"> MIRIAM ELIZABETH CARVALLO ALBARRACIN</t>
  </si>
  <si>
    <t>DIEGO GERSON FLORES SOTIL</t>
  </si>
  <si>
    <t>ANGELA LORENA LARREA CUEVA</t>
  </si>
  <si>
    <t>CARLOS PIERRE VARGAS DUAREZ</t>
  </si>
  <si>
    <t>WILDER ARMANDO SOLANO ARRUE</t>
  </si>
  <si>
    <t xml:space="preserve">LILIANA MAGALY GARAY TEJADA </t>
  </si>
  <si>
    <t>JOHAN DAVID RIVERO MEDINA</t>
  </si>
  <si>
    <t>Evelyn Effio</t>
  </si>
  <si>
    <t>ft. Cliente</t>
  </si>
  <si>
    <t>ANDERSON LEONEL YOVERA IMAN</t>
  </si>
  <si>
    <t>no contacto</t>
  </si>
  <si>
    <t xml:space="preserve">AURELIA ANAMPA ROBLES </t>
  </si>
  <si>
    <t>YAJAHIDI YAQUELIN PINEDO MARQUINA</t>
  </si>
  <si>
    <t xml:space="preserve">Luz Guevara </t>
  </si>
  <si>
    <t>IVET LISETH LUDEÑA CESPEDES</t>
  </si>
  <si>
    <t>LUIS ALBERTO ALONZO HUAMAN PERALTA</t>
  </si>
  <si>
    <t>YUBELDI GARAY CENIZARIO</t>
  </si>
  <si>
    <t>mala  oferta</t>
  </si>
  <si>
    <t>falta de contacto</t>
  </si>
  <si>
    <t xml:space="preserve">CESAR AUGUSTO NAVARRO TERREL </t>
  </si>
  <si>
    <t>reag. Automatico</t>
  </si>
  <si>
    <t>RAUL EDMUNDO GARATE BONIFAZ</t>
  </si>
  <si>
    <t>800 MB TV AVANZADO PRO</t>
  </si>
  <si>
    <t>MELANY STHEFANY CHAVEZ VICTORION</t>
  </si>
  <si>
    <t>reag.automatico</t>
  </si>
  <si>
    <t>YANETH TARAZONA CRUZ</t>
  </si>
  <si>
    <t>M</t>
  </si>
  <si>
    <t>F</t>
  </si>
  <si>
    <t>NOEMI NORA VILCA TACUCHE</t>
  </si>
  <si>
    <t>CLARA ROSA ESTELA PEREZ</t>
  </si>
  <si>
    <t>ft.campo</t>
  </si>
  <si>
    <t xml:space="preserve"> JORGE BANDA PEREZ </t>
  </si>
  <si>
    <t xml:space="preserve">WILLIAM ANTONY BRENIS TORRES </t>
  </si>
  <si>
    <t>GIULIANA GHEDERT HUERTA CUTIRE</t>
  </si>
  <si>
    <t>RUDY CASAVERDE AROTAYPE</t>
  </si>
  <si>
    <t xml:space="preserve">JHON BRAYAN CHOZO HUAMAN </t>
  </si>
  <si>
    <t xml:space="preserve">YANIRY YESENIA DIESTRA HUALLPA  </t>
  </si>
  <si>
    <t>LUPE LARI TABOADA ESPINO</t>
  </si>
  <si>
    <t>campo</t>
  </si>
  <si>
    <t>oferta</t>
  </si>
  <si>
    <t>LADY DIANA GARCIA TAVARA</t>
  </si>
  <si>
    <t>WILSON ANTHONY LAZO TAPIA</t>
  </si>
  <si>
    <t>TARCILA TEOLINDA PEÑA VILLALTA</t>
  </si>
  <si>
    <t>ft mesa</t>
  </si>
  <si>
    <t>MARIA FERNANDA PALACIOS ZUÑIGA</t>
  </si>
  <si>
    <t>GRUPO ENTHEOS S.A.C.</t>
  </si>
  <si>
    <t>FTTH EMP DIG 400MB TV AVANZADO PRO</t>
  </si>
  <si>
    <t>MARIA ISABEL RAMOS PERCA</t>
  </si>
  <si>
    <t>equipos</t>
  </si>
  <si>
    <t>NESTOR UBALDO MARTINEZ PEÑA</t>
  </si>
  <si>
    <t>JUAN ESPIRITU SANCHEZ</t>
  </si>
  <si>
    <t>BRYAN SILVA NARVA</t>
  </si>
  <si>
    <t>CLAUDIA YANIRE GUTIERREZ MARIÑOS</t>
  </si>
  <si>
    <t xml:space="preserve">SEBASTIAN LUCAS CARDICH CASTILLO </t>
  </si>
  <si>
    <t>DANIEL JESUS HUACHO LAZO</t>
  </si>
  <si>
    <t>INTERNET 800MB</t>
  </si>
  <si>
    <t>TERESA MILUSHKA CAJAHUARINGA PAZ</t>
  </si>
  <si>
    <t>MANUEL SOSTENES ECHEVARRIA ALVAN</t>
  </si>
  <si>
    <t>KETER AENDEL PAUCAR CANDUELAS</t>
  </si>
  <si>
    <t>MANUEL EBERTH SANDOVAL SARANGO</t>
  </si>
  <si>
    <t>BRAHMS JOSEPH YARLEQUE DULANTO</t>
  </si>
  <si>
    <t xml:space="preserve">FTTH EMP DIG 150MB </t>
  </si>
  <si>
    <t>MELODY AMAO PEÑA</t>
  </si>
  <si>
    <t>FELIPE MANUEL SANDOVAL BARDALES</t>
  </si>
  <si>
    <t>ANICETA ZEGARRA CRUZ</t>
  </si>
  <si>
    <t xml:space="preserve"> LORENA EDITH TERRONES BENAVIDEZ </t>
  </si>
  <si>
    <t>70402340-1</t>
  </si>
  <si>
    <t>FTTH EMP DIG 300MB TV ESTANDAR PRO</t>
  </si>
  <si>
    <t>mudanza</t>
  </si>
  <si>
    <t>plano no liberado</t>
  </si>
  <si>
    <t>SANDRO ALFREDO ABREGU ESPINAL</t>
  </si>
  <si>
    <t>MERCEDES DEL ROSARIO PASCO TIMANA</t>
  </si>
  <si>
    <t>requiere super</t>
  </si>
  <si>
    <t xml:space="preserve">FTTH EMP DIG 800MB TV ESTANDAR PRO </t>
  </si>
  <si>
    <t xml:space="preserve">HFC EMP DIG 300MB TV ESTANDAR PRO </t>
  </si>
  <si>
    <t>FTTH EMP DIG 150MB TV ESTANDAR PRO</t>
  </si>
  <si>
    <t>WALTER MARQUINA VERASTEGUI</t>
  </si>
  <si>
    <t>KIARA MAYTE SOTO QUISPE</t>
  </si>
  <si>
    <t>LUZMILA ALICIA PAUCAR GAVILAN DE TOPALAYA</t>
  </si>
  <si>
    <t>ARMANDO VILLANUEVA MERCADO</t>
  </si>
  <si>
    <t>300 MB TV ESTANDAR PRO 5000</t>
  </si>
  <si>
    <t>INFOSERVICIOS DIGITAL EIRL</t>
  </si>
  <si>
    <t>NILSON DARWIN GARCIA JUAREZ</t>
  </si>
  <si>
    <t>pm3</t>
  </si>
  <si>
    <t>ROSSANA MARIELA ZACARIAS BUIZA</t>
  </si>
  <si>
    <t>DANI'S DANIEL ESPINOZA ZACARIAS</t>
  </si>
  <si>
    <t>ERIC EMERSON FERNANDEZ DAVILA</t>
  </si>
  <si>
    <t>CANDY NOELIA MADRID ROMERO</t>
  </si>
  <si>
    <t>JOSE ALEJANDRO REUPO BRAVO</t>
  </si>
  <si>
    <t>SABINA MARCELINA OCHOA RODRIGUEZ</t>
  </si>
  <si>
    <t>GUILLERMO JESUS EGOAVIL ROMERO</t>
  </si>
  <si>
    <t>ft. Mesa</t>
  </si>
  <si>
    <t>eificio no liberado</t>
  </si>
  <si>
    <t>ft.cliente</t>
  </si>
  <si>
    <t>EDSON ALEXANDER SANCHEZ CUBAS</t>
  </si>
  <si>
    <t>JUNIOR GUSTAVO AGUILAR HUACASI</t>
  </si>
  <si>
    <t>WILFREDO BOULANGGER URBINA</t>
  </si>
  <si>
    <t>ANDRES BUSTAMANTE CANDIA</t>
  </si>
  <si>
    <t>150 MB TV ESTANDAR PRO</t>
  </si>
  <si>
    <t xml:space="preserve"> JOSE ALEJANDRO REUPO BRAVO</t>
  </si>
  <si>
    <t>Juan Ydrogo</t>
  </si>
  <si>
    <t>ft campo</t>
  </si>
  <si>
    <t>SANDRO OSWALDO AMORIN GARCIA</t>
  </si>
  <si>
    <t>GLADYS VILLALOBOS AYALA</t>
  </si>
  <si>
    <t>MARIA BETH LEON ROSALES</t>
  </si>
  <si>
    <t>JOSEPH DANIEL RUIZ MADERO</t>
  </si>
  <si>
    <t>NICOLLE DEL ROSARIO CHIMOY MIO</t>
  </si>
  <si>
    <t>HUGO QUIÑONES MENDOZA</t>
  </si>
  <si>
    <t>EDWIN ALEJANDRO AURAZO HERNANDEZ</t>
  </si>
  <si>
    <t>URSULA SALAR CARRASCO</t>
  </si>
  <si>
    <t>NELLY FRANCIA CCALLO CUEVA</t>
  </si>
  <si>
    <t xml:space="preserve">MIRTHA JULIA NICOLA AQUIJE PINEDA </t>
  </si>
  <si>
    <t>MAGDALENA CORDOVA FELIZ</t>
  </si>
  <si>
    <t>400 MB TV ESTANDAR PRO 5000</t>
  </si>
  <si>
    <t>CLAUDIA MILAGROS SUSANIBAR ARREDONDO</t>
  </si>
  <si>
    <t>ft. Campo</t>
  </si>
  <si>
    <t xml:space="preserve">CARLOS EUSTAQUIO ESPINOZA CERDA </t>
  </si>
  <si>
    <t>NELIDA GUEVERA LLATAS</t>
  </si>
  <si>
    <t xml:space="preserve"> MARTIN ASENCIO LOPEZ</t>
  </si>
  <si>
    <t>reasignacion</t>
  </si>
  <si>
    <t>HENRRY RAUL SHIMABUKO TAIRA</t>
  </si>
  <si>
    <t>YOLANDA MEDINA NUÑEZ</t>
  </si>
  <si>
    <t>SARA LUISA JURADO SANCHEZ</t>
  </si>
  <si>
    <t>ft.mesa</t>
  </si>
  <si>
    <t>300 MB TV ESTANDAR PRO</t>
  </si>
  <si>
    <t>JUAN JESUS CRISOSTOMO AGUILAR</t>
  </si>
  <si>
    <t>ELISA PAIPAY CANDELA</t>
  </si>
  <si>
    <t>JORGE ELIAS LOAYZA SAUCEDO</t>
  </si>
  <si>
    <t>MARIA NEVADO DE CHAPOÑAN</t>
  </si>
  <si>
    <t>MARBER CARLOS OCTAVIO RODRIGUEZ SALOME</t>
  </si>
  <si>
    <t>800 MB TELEFONIA 5000</t>
  </si>
  <si>
    <t>ABELARDO AGUADO QUISPE</t>
  </si>
  <si>
    <t>URSULA ALEJANDRA MOSCOSO VIDAL</t>
  </si>
  <si>
    <t>EUSEBIA DIAZ PORTAL</t>
  </si>
  <si>
    <t>HAROLD ANTHONY CISNEROS LUIS</t>
  </si>
  <si>
    <t xml:space="preserve">WALTER MONTENEGRO NEVADO </t>
  </si>
  <si>
    <t>VICTOR MIGUEL DELGADO CASTAÑEDA</t>
  </si>
  <si>
    <t>MAXIMO CESAR DIAZ GUEVARA</t>
  </si>
  <si>
    <t>CCALLO CUEVA NELLY FRANCIA</t>
  </si>
  <si>
    <t xml:space="preserve"> PABLO MATIAS ACEVEDO</t>
  </si>
  <si>
    <t>KEYS MASTER E.I.R.L.</t>
  </si>
  <si>
    <t xml:space="preserve">MIGUEL ORLANDO TORRES CALLE </t>
  </si>
  <si>
    <t>JESUS PAUCAR ORDAYA</t>
  </si>
  <si>
    <t>mal ingreso direc</t>
  </si>
  <si>
    <t>VICTOR HUGO RAMIREZ MUÑOZ</t>
  </si>
  <si>
    <t>NICOLE SARAI FLORES LEON</t>
  </si>
  <si>
    <t>DORIS ANGELICA PONCE GONZALES</t>
  </si>
  <si>
    <t>ORLANDO MOISES PIZARRO ESTEBAN</t>
  </si>
  <si>
    <t>HANZ JOEL VILCAPOMA VIRRUETA</t>
  </si>
  <si>
    <t>MAGNITA DEL MILAGRO CENTURION GIL</t>
  </si>
  <si>
    <t>MARIA YOLANDA ANTON GASTULO</t>
  </si>
  <si>
    <t>July Llontop</t>
  </si>
  <si>
    <t>mudanza o viaje</t>
  </si>
  <si>
    <t>VICTOR QUISPE BARZOLA</t>
  </si>
  <si>
    <t>HFC EMP DIG 300MB TV ESTANDAR PRO</t>
  </si>
  <si>
    <t>NATHALI VIVIANA VARGAS AGUILAR</t>
  </si>
  <si>
    <t>FLOR PATRICIA VASQUEZ CUBAS</t>
  </si>
  <si>
    <t>GIANCARLO JAVIER RODRIGUEZ CANO</t>
  </si>
  <si>
    <t>CHRISTOPHER JESUS QUISPE MERE</t>
  </si>
  <si>
    <t xml:space="preserve">HFC EMP DIG 150MB TV ESTANDAR PRO </t>
  </si>
  <si>
    <t>Franco Gastulo</t>
  </si>
  <si>
    <t xml:space="preserve">JORGE MILTON RODRIGUEZ YUPANQUI </t>
  </si>
  <si>
    <t>LUIS ANGEL CAMPOS LUCANO</t>
  </si>
  <si>
    <t>DOMITILA PEREZ TRUJILLO</t>
  </si>
  <si>
    <t>EUSEBIO QUISPE ARIZA</t>
  </si>
  <si>
    <t xml:space="preserve">JAVIER EDUARDO NEGRO SEMINARIO </t>
  </si>
  <si>
    <t>LUZ CRISTINA UCHOFEN VALLADOLID</t>
  </si>
  <si>
    <t>JUAN DAVID BECERRA ILLA</t>
  </si>
  <si>
    <t>MARIAFERNANDA MILACHAY CHUNA</t>
  </si>
  <si>
    <t>300 MB CLARO TV ESTANDAR PRO 5000</t>
  </si>
  <si>
    <t>mala direccion</t>
  </si>
  <si>
    <t>CIRO JAIME ARTEAGA LIZARRAGA</t>
  </si>
  <si>
    <t xml:space="preserve">JIMMY EDWIN TORRES CHANAME </t>
  </si>
  <si>
    <t>dni invalido</t>
  </si>
  <si>
    <t>JESUS BALMES PAULO HENRIQUEZ</t>
  </si>
  <si>
    <t xml:space="preserve">JOSE UDILBERTO MEMBRILLO ROJAS </t>
  </si>
  <si>
    <t>Genesis Galindez</t>
  </si>
  <si>
    <t xml:space="preserve">LUZ ENITH VALLES SALAS </t>
  </si>
  <si>
    <t>CLAUDIA MIRELI TABOADA CASTILLO</t>
  </si>
  <si>
    <t>ANTONIO ARMANDO GONZALES DEL VALLE VASQUEZ</t>
  </si>
  <si>
    <t>Mary Cardenas</t>
  </si>
  <si>
    <t>YONY CESAR CUBA VIVANCO</t>
  </si>
  <si>
    <t>KEVIN JOSE HUAMAN VARGAS</t>
  </si>
  <si>
    <t>MELVA RUTH POLO BARDALES</t>
  </si>
  <si>
    <t>RIVALDO VILLA CHASNAMOTE</t>
  </si>
  <si>
    <t>ERICKA LISSETH MARIN MINCHAN</t>
  </si>
  <si>
    <t>MANUEL HUAMANI VIVANCO</t>
  </si>
  <si>
    <t>HUGO FERNANDO BECERRA HERRERA</t>
  </si>
  <si>
    <t>150 MB CLARO TV ESTANDAR PRO 5000</t>
  </si>
  <si>
    <t xml:space="preserve">WALTER CESAR CONDOR HUAMAN </t>
  </si>
  <si>
    <t>SUPERV1</t>
  </si>
  <si>
    <t xml:space="preserve">MIGUEL ANGEL DE LA CRUZ ALBERCA </t>
  </si>
  <si>
    <t>SILVIA HAYDEE QUINTANA LUNA</t>
  </si>
  <si>
    <t xml:space="preserve">FTTH EMP 150MB TV ESTANDAR PRO </t>
  </si>
  <si>
    <t>JACKELINE IVONNE YARLEQUE LOZANO</t>
  </si>
  <si>
    <t>SERGIO RONAL INCA VILCA</t>
  </si>
  <si>
    <t xml:space="preserve">CARLOS MANUEL RODRIGUEZ PALOMINO </t>
  </si>
  <si>
    <t>MARCO WALTHER ALANOCCA APAZA</t>
  </si>
  <si>
    <t>MILAGRITOS DEL PILAR VILLANUEVA CARHUANAMBO</t>
  </si>
  <si>
    <t xml:space="preserve">ANGEL CESAR LOVON CACERES </t>
  </si>
  <si>
    <t>FELIX ALBERTO MEJIA SOTO</t>
  </si>
  <si>
    <t xml:space="preserve">ROSARIO DEL PILAR GONZALES SALDAÑA </t>
  </si>
  <si>
    <t xml:space="preserve">RAUL AURELIO MARTINEZ HUAMAN </t>
  </si>
  <si>
    <t>THIAGO RODRIGO AZCARATE LAYNES</t>
  </si>
  <si>
    <t xml:space="preserve">FELIPE AQUILES LOBATON ALCANTARA </t>
  </si>
  <si>
    <t xml:space="preserve">CRISTHIAN MILLER GRANDEZ AGUIRRE </t>
  </si>
  <si>
    <t xml:space="preserve">GREYS GARCIA ASPAJO </t>
  </si>
  <si>
    <t>PIERRE ELIUD ANTONIO PISCO RODRIGUEZ</t>
  </si>
  <si>
    <t>Alexis Arroyo</t>
  </si>
  <si>
    <t>EFRAYN PAREDES RODRIGUEZ</t>
  </si>
  <si>
    <t>WILLIAN GIOVANNI MORALES HENOSTROZA</t>
  </si>
  <si>
    <t>ANGELINA CONTRERAS RUIZ</t>
  </si>
  <si>
    <t xml:space="preserve">JORGE CARLOS GUEVARA CAMPOS </t>
  </si>
  <si>
    <t>400 MB TELEFONIA 5000</t>
  </si>
  <si>
    <t>Yamile Depaz</t>
  </si>
  <si>
    <t xml:space="preserve">MARILU YALLE MENDOZA </t>
  </si>
  <si>
    <t xml:space="preserve">LUIS OLIVARES ZEVALLOS </t>
  </si>
  <si>
    <t xml:space="preserve">MAURO GERMAN HERNANDEZ PASACHE </t>
  </si>
  <si>
    <t>JUAN JULIO GUTIERREZ VIDAL</t>
  </si>
  <si>
    <t>KATHERINE NICOLL CARHUAPOMA GARCIA</t>
  </si>
  <si>
    <t>72806964 - 1</t>
  </si>
  <si>
    <t xml:space="preserve">JOSE ALEXANDER ALVARADO CUNYA </t>
  </si>
  <si>
    <t>ALBERTO VALDERA FARROÑAN</t>
  </si>
  <si>
    <t xml:space="preserve"> CATHERINE CORINA CRUZ CARDENAS</t>
  </si>
  <si>
    <t xml:space="preserve">ELIAS ALBERTO ALONSO CHAVEZ </t>
  </si>
  <si>
    <t xml:space="preserve">IVONNE SANCHEZ AREVALO </t>
  </si>
  <si>
    <t xml:space="preserve">RONALD MIGUEL BUENDIA MANTURANO </t>
  </si>
  <si>
    <t>VIOLETA DE LOS ANGELES PAIBA SIALER</t>
  </si>
  <si>
    <t>PABLO CESAR YACSAHUACHI ARRAIZA</t>
  </si>
  <si>
    <t xml:space="preserve">JESUS ORLANDO FARFAN SUMIRE </t>
  </si>
  <si>
    <t>ASO CULTURAL EDUCATIVA ABRAHAM LINCON</t>
  </si>
  <si>
    <t>fats saturado</t>
  </si>
  <si>
    <t>DANICSA EVELYN TORRES JUAREZ</t>
  </si>
  <si>
    <t xml:space="preserve">ANGEL MARIO MARTINEZ TORRES </t>
  </si>
  <si>
    <t>LUCILA BARBARA GARCIA TORRES</t>
  </si>
  <si>
    <t>ROMAN SULLON GIRON</t>
  </si>
  <si>
    <t>Jerson Becerra</t>
  </si>
  <si>
    <t>LUIS MIGUEL AVALOS LOPEZ</t>
  </si>
  <si>
    <t>DOMITILA MANANITA MANUYAMA VDA DE TUESTA</t>
  </si>
  <si>
    <t>CÉSAR JONY RODRÍGUEZ PERICHE</t>
  </si>
  <si>
    <t>WALTER CANAZA PACO</t>
  </si>
  <si>
    <t>INOCENTA CABALLERO NIETO</t>
  </si>
  <si>
    <t xml:space="preserve">CARLOS LEONARDO BALBOA ALVA </t>
  </si>
  <si>
    <t xml:space="preserve">KLEBER JUSEPE ORTEGA ORTEGA  </t>
  </si>
  <si>
    <t>mudanza viaje</t>
  </si>
  <si>
    <t>GRIMALDO ROMERO MONTERO</t>
  </si>
  <si>
    <t>ROJAS LOPEZ ELMAYEN</t>
  </si>
  <si>
    <t>72806964-1</t>
  </si>
  <si>
    <t>COMEN</t>
  </si>
  <si>
    <t xml:space="preserve">JUAN ESTEBAN ROSAS TORRES </t>
  </si>
  <si>
    <t xml:space="preserve">BILLY ANTHONIO POLO BERMUDEZ </t>
  </si>
  <si>
    <t>ANGIE NICOLE ANGULO MEZA</t>
  </si>
  <si>
    <t>DOMINGO ALEJANDRO GONZALES</t>
  </si>
  <si>
    <t> 97187073</t>
  </si>
  <si>
    <t>MARIA ELENA CABANILLAS ASTOLPICO</t>
  </si>
  <si>
    <t>200 MB TELEFONIA 5000</t>
  </si>
  <si>
    <t>excede visita</t>
  </si>
  <si>
    <t>ADELA KATERINE ORTEGA PALACIOS</t>
  </si>
  <si>
    <t>INTERNET 200MB</t>
  </si>
  <si>
    <t>Merlyn Bravo</t>
  </si>
  <si>
    <t>Jhurico Garcia</t>
  </si>
  <si>
    <t xml:space="preserve">ASCENSIO TAKEUCHI MARIA DEL ROSARIO </t>
  </si>
  <si>
    <t xml:space="preserve">LOPEZ TANTAQUILLA DORIS </t>
  </si>
  <si>
    <t>400 MB CLARO TV ESTANDAR PRO 5000</t>
  </si>
  <si>
    <t>FREDY SALAZAR ESPINOZA</t>
  </si>
  <si>
    <t>ausente en campo</t>
  </si>
  <si>
    <t>ELEUTERIO SANCHEZ TARRILLO</t>
  </si>
  <si>
    <t>MARIA JOSE PERALTA PEÑA</t>
  </si>
  <si>
    <t>200 MB TV AVANZADO PRO</t>
  </si>
  <si>
    <t>CHANG PONCE CARLOS MANUEL</t>
  </si>
  <si>
    <t>PARDES FLORES ROSALI</t>
  </si>
  <si>
    <t>ARIATNA DEL PILAR CHAMBI REJAS</t>
  </si>
  <si>
    <t>GARCIA COLLANTES BENJAMIN EDILBERTO</t>
  </si>
  <si>
    <t xml:space="preserve">PILCO APOALAYA ENRIQUE </t>
  </si>
  <si>
    <t>JOAQUIN OSWALDO MACO MIO</t>
  </si>
  <si>
    <t>nro equivocado</t>
  </si>
  <si>
    <t xml:space="preserve">WILMAN HENRY BAUTISTA SAENZ </t>
  </si>
  <si>
    <t xml:space="preserve">SEGUNDO DEMETRIO PASTOR CERNA </t>
  </si>
  <si>
    <t>VILLANUEVA DE PAICO CELVINA EMERIDA</t>
  </si>
  <si>
    <t>KEVIN JUAREZ CAMACHO</t>
  </si>
  <si>
    <t xml:space="preserve">ARCE CHOCANO LINO ANTONIO </t>
  </si>
  <si>
    <t>JUKY PAOLA VEGA BALDEON</t>
  </si>
  <si>
    <t>ERWIN HERLIMBER YABARRENA HERRERA</t>
  </si>
  <si>
    <t>SOTO BEDRIÑANA SANDRA</t>
  </si>
  <si>
    <t>CARLOS ORLANDO SORIANO MONTEZA</t>
  </si>
  <si>
    <t>antiftraude</t>
  </si>
  <si>
    <t>BRACAMONTE MOSTAJO JAENETT CRISTINA</t>
  </si>
  <si>
    <t xml:space="preserve">CARLOS PERCY PONCE AJROTA </t>
  </si>
  <si>
    <t>cambio titular</t>
  </si>
  <si>
    <t>CHAMBI MAMANI GLICERIO</t>
  </si>
  <si>
    <t>JULIO CESAR SANCHEZ CASTRO</t>
  </si>
  <si>
    <t xml:space="preserve">CESAR FERNANDO ROSADO ARIAS </t>
  </si>
  <si>
    <t>HUANQUI RAMOS DE OBANDO MARY JESENIA</t>
  </si>
  <si>
    <t>sobreagendamiento</t>
  </si>
  <si>
    <t>RISCO BONILLLA DE ALEGRÌA CLAUDIA ERIKA</t>
  </si>
  <si>
    <t>LOPEZ CHAMPION ROSIO ISABEL</t>
  </si>
  <si>
    <t>FLORES CARRION PEDRO GONZALO</t>
  </si>
  <si>
    <t>VLADIMIR ANGEL VIVEROS HERRERA</t>
  </si>
  <si>
    <t xml:space="preserve">ABEL HUAREJARSE ECHEVARRIA </t>
  </si>
  <si>
    <t>falta de contecto</t>
  </si>
  <si>
    <t>JUAN CARLOS MOLLINEDO CERVANTES</t>
  </si>
  <si>
    <t>GARDENIA CELESTE AGUILA BEJAR</t>
  </si>
  <si>
    <t>DANY SONIA BOLAÑOS ZAVALA</t>
  </si>
  <si>
    <t>MARIA SISTINA VASQUEZ ARRIBASPLATA DE VILLACHICA</t>
  </si>
  <si>
    <t>AIDA GACELLA ALTAMIRANO DELGADO</t>
  </si>
  <si>
    <t>falta de contaco</t>
  </si>
  <si>
    <t>PEÑA GUTARRA RONALD PEDRO ALBERTO</t>
  </si>
  <si>
    <t>GILBERTO TORRES VALENCIA</t>
  </si>
  <si>
    <t>FERNANDO DE JESUS GROSS MELO</t>
  </si>
  <si>
    <t>YULI RAMIREZ SOLANO</t>
  </si>
  <si>
    <t xml:space="preserve">WAGNER DELGADO MEREGILDO </t>
  </si>
  <si>
    <t>Antonio Valladares</t>
  </si>
  <si>
    <t>ORTECHO HONORES ROLANDO ELIAS</t>
  </si>
  <si>
    <t>MACHADO DAMIAN ANTONIA</t>
  </si>
  <si>
    <t>ABDON ALAGON CHICLLA</t>
  </si>
  <si>
    <t xml:space="preserve">CARLOS ALBERTO CUTIPA MELENDREZ </t>
  </si>
  <si>
    <t>JHON ELISEO CHINO TITO</t>
  </si>
  <si>
    <t>ROBERT FRANKLIN COTRINA LEZAMA</t>
  </si>
  <si>
    <t>NUÑEZ CABANILLAS JORGE LUIS</t>
  </si>
  <si>
    <t>CCOPACONDARI MAMANI HECTOR ANDRES</t>
  </si>
  <si>
    <t>STEPHANY MASSIELL BARBARAN VILCATOMA</t>
  </si>
  <si>
    <t>DANIEL ALONSO REYNOSO LLUNCOR</t>
  </si>
  <si>
    <t>Alisson Zapata</t>
  </si>
  <si>
    <t>BRANDON RENAN BARRANTES ALANYA</t>
  </si>
  <si>
    <t>CORCUERA GONZALES ROSA FLOR</t>
  </si>
  <si>
    <t xml:space="preserve">DIANA YSABEL SAAVEDRA DELGADO </t>
  </si>
  <si>
    <t>MACALOPU VALLE IRVING LUIS</t>
  </si>
  <si>
    <t xml:space="preserve"> RIOS ORBEGOSO GLADYS</t>
  </si>
  <si>
    <t>MONICA CAROLINA HUERTAS CALIZAYA</t>
  </si>
  <si>
    <t>JUAN CARLOS MELGAR AYALA</t>
  </si>
  <si>
    <t>ANTONIO FERRAND TANGÜIS</t>
  </si>
  <si>
    <t xml:space="preserve">CINTHYA URSULA CHACON PUMA </t>
  </si>
  <si>
    <t>MIRIAM GRACIELA GUTIERREZ CASANOVA</t>
  </si>
  <si>
    <t>MAXIMO PACO SOLORZANO LAVADO</t>
  </si>
  <si>
    <t xml:space="preserve">CANELO JIMENEZ JUAN JESUS </t>
  </si>
  <si>
    <t>YENI MAGALI SIGUEÑAS BARBOZA</t>
  </si>
  <si>
    <t>CARLA GERALDIN MIO FASABI</t>
  </si>
  <si>
    <t>DIANA CLAUDIA ZULOETA MENDOZA</t>
  </si>
  <si>
    <t>MARLON ISAAC LEYVA SILVA</t>
  </si>
  <si>
    <t>AILTON DEL PIERO FERNANDEZ DELGADO</t>
  </si>
  <si>
    <t xml:space="preserve">AGUILAR MUNGUIA ANAMILE JOHANA </t>
  </si>
  <si>
    <t>VIANNEY HIDEE CHAMBILLA ANCO</t>
  </si>
  <si>
    <t>fats saturados</t>
  </si>
  <si>
    <t xml:space="preserve">HECTOR ALBERTO HUANCA MONTALVO </t>
  </si>
  <si>
    <t>H &amp; Y ADIAR S.A.C.</t>
  </si>
  <si>
    <t>FERNANDO AGUILAR SANTUR</t>
  </si>
  <si>
    <t xml:space="preserve">CUNO BUSTAMANTE JOSE </t>
  </si>
  <si>
    <t>RIGOBERTA DOCTO MALPARIDA</t>
  </si>
  <si>
    <t>PIEDAD CELINA HERRERA CHILLIHU</t>
  </si>
  <si>
    <t>ZOZIMA ADRIA VEGA VALDIVIA</t>
  </si>
  <si>
    <t xml:space="preserve">JUAN CARLOS ILLATOPA CAJAS </t>
  </si>
  <si>
    <t>RICHER PARI CABANA</t>
  </si>
  <si>
    <t xml:space="preserve">ALDO YHENO LINARES ARRATIA </t>
  </si>
  <si>
    <t>mala ofertta</t>
  </si>
  <si>
    <t>JANINA OCHAVANO ARIMUYA</t>
  </si>
  <si>
    <t>MANSILLA CHACON LUIS MANUEL</t>
  </si>
  <si>
    <t xml:space="preserve">VICKY DANEA RUELAS GOMEZ </t>
  </si>
  <si>
    <t xml:space="preserve">MARTHA QUISPE MAMANI </t>
  </si>
  <si>
    <t>ZULINA KELY PALACIOS LIZARRAGA</t>
  </si>
  <si>
    <t>BAJAS</t>
  </si>
  <si>
    <t xml:space="preserve">ALFREDO REBATA VALDIVIESO </t>
  </si>
  <si>
    <t>MAXIMINA ANA LISBETH NORIEGA FERNANDEZ</t>
  </si>
  <si>
    <t>JHON ELICEO CARRILLO TINTAYA</t>
  </si>
  <si>
    <t xml:space="preserve">REVOREDO RISI PABLO RODOLFO </t>
  </si>
  <si>
    <t>WILLIAM JUAN CAMPOS BARRIENTOS</t>
  </si>
  <si>
    <t xml:space="preserve">LUCIA GALVEZ SANCHEZ </t>
  </si>
  <si>
    <t>YOCYA SANDOVAL GUSTAVO ADOLFO</t>
  </si>
  <si>
    <t>RAMOS RUIZ MARCO ANTONIO</t>
  </si>
  <si>
    <t>Irving Cordova</t>
  </si>
  <si>
    <t>JANET KARINA CAMPOS ALBUJAR</t>
  </si>
  <si>
    <t>NAVARRO ALARCON ANGELL GIANELLA</t>
  </si>
  <si>
    <t xml:space="preserve">GLORIA KATYA  MORI  MARIN </t>
  </si>
  <si>
    <t>LILIBET CRISTINA MUÑOZ RODRIGUEZ</t>
  </si>
  <si>
    <t>NORMA ESBENIA PRINCIPE PAYAJO</t>
  </si>
  <si>
    <t>RICARDO LEONCIO PALMA CHUQUE</t>
  </si>
  <si>
    <t>DIANA NICOL GIERALDYNE PASACHE</t>
  </si>
  <si>
    <t xml:space="preserve">ROCIO CAROLYN VERNAZZA NIÑO DE GUZMAN </t>
  </si>
  <si>
    <t>SERGIO LEON ALIAGA</t>
  </si>
  <si>
    <t xml:space="preserve">NESTOR UBALDO MARTINEZ  PENA </t>
  </si>
  <si>
    <t xml:space="preserve">JESUS EDWIN MAMANI ORTIGOZO </t>
  </si>
  <si>
    <t xml:space="preserve">GERSSON EDUARDO FRANCIA SANCHEZ </t>
  </si>
  <si>
    <t xml:space="preserve">TORRES FIGUEROA ROSA MARGARITA </t>
  </si>
  <si>
    <t>ORLANDO PEREZ RUIZ</t>
  </si>
  <si>
    <t xml:space="preserve">ALFREDO MUÑOZ ARRIOLA </t>
  </si>
  <si>
    <t>MARIA FERNANDA NICOLE ALANYA GRANADOS</t>
  </si>
  <si>
    <t xml:space="preserve">GASTULO CIEZA FRANCO STALIN </t>
  </si>
  <si>
    <t xml:space="preserve">ROBERTO ADRIAN VALDIVIEZO DIESTRA </t>
  </si>
  <si>
    <t>JHON LIDER  SANDOVAL RODRIGO</t>
  </si>
  <si>
    <t>KEVIN JOEL ARROYO GUEVARA</t>
  </si>
  <si>
    <t>HILDA PEREZ DE CHUMBE</t>
  </si>
  <si>
    <t>SEBASTIAN DAVID SOTOMAYOR QUIROZ</t>
  </si>
  <si>
    <t>CALIN MORETO CANO</t>
  </si>
  <si>
    <t>MIGUEL ANGEL DE LA CRUZ ALBERCA</t>
  </si>
  <si>
    <t>JULIO CESAR POEMAPE BANCAYAN</t>
  </si>
  <si>
    <t>JAHIR FERNANDO  ORTIZ  CHAVEZ</t>
  </si>
  <si>
    <t xml:space="preserve">JORGE LUIS RODRIGES CORDOVA </t>
  </si>
  <si>
    <t xml:space="preserve">VENUS MELINA VALDEZ ROJAS  </t>
  </si>
  <si>
    <t>MANUYAMA PINEDO ELIZABETH</t>
  </si>
  <si>
    <t>VENERO AUCCA PAVEL</t>
  </si>
  <si>
    <t>JAZMIN CELESTE GAMARRA GARCIA</t>
  </si>
  <si>
    <t>CARMEN ROSA CONDOR TINOCO</t>
  </si>
  <si>
    <t>JORGE LEIVA CANAL</t>
  </si>
  <si>
    <t xml:space="preserve">falta de contacto </t>
  </si>
  <si>
    <t xml:space="preserve">CESAR AUGUSTO DIAZ CARRANZA </t>
  </si>
  <si>
    <t>ORDOÑEZ ESCOBAL DELIDA SILVANA</t>
  </si>
  <si>
    <t>EDUAR VEGA POLO</t>
  </si>
  <si>
    <t xml:space="preserve">MANTILLA VISITACION MILER </t>
  </si>
  <si>
    <t xml:space="preserve"> GRIMANIEL GUEVARA TORO</t>
  </si>
  <si>
    <t>MORAN GALLEGOS CARLOS ALBERTO</t>
  </si>
  <si>
    <t xml:space="preserve">MIGUEL ANGEL SOTO GASTAÑETA </t>
  </si>
  <si>
    <t xml:space="preserve">SOFIA JAQUELINNE MEJIA VENANCIO </t>
  </si>
  <si>
    <t>Hector Ordoñez</t>
  </si>
  <si>
    <t>ENRIQUE MIGUEL FERRARI IGLESIAS</t>
  </si>
  <si>
    <t xml:space="preserve">VICTOR FRANCISCO RAMON OCHOA </t>
  </si>
  <si>
    <t xml:space="preserve"> JHONATAN RICHARD WONG PEÑA </t>
  </si>
  <si>
    <t>CHALLO QUISPE CRISTHIAN EDY ERIK</t>
  </si>
  <si>
    <t>PAREDES ORELLANA ERICK JUNIOR</t>
  </si>
  <si>
    <t>BENITES SANCHEZ GREGORIO LEOPOLDO</t>
  </si>
  <si>
    <t>DELIA PAQUITA SOTO CAMACHO</t>
  </si>
  <si>
    <t xml:space="preserve">SONIA ESTHER AQUINO RIOJA </t>
  </si>
  <si>
    <t>ALAN FLORES CHILON</t>
  </si>
  <si>
    <t xml:space="preserve"> DENNIS RODDY HUAYCANI COPAJA </t>
  </si>
  <si>
    <t>Tracy Zuloeta</t>
  </si>
  <si>
    <t xml:space="preserve">RENZO ARMANDO JARA CRUZ </t>
  </si>
  <si>
    <t xml:space="preserve">IVONNE MARIANA CONTRERAS LLICA </t>
  </si>
  <si>
    <t xml:space="preserve">ANGHELO ALEXIS SALAZAR TELLO </t>
  </si>
  <si>
    <t>ISMAEL EDUARDO NUÑEZ GAMARRA</t>
  </si>
  <si>
    <t>JENNIFER VICTORIA CHAVEZ MEZA</t>
  </si>
  <si>
    <t>JOSEPH ANDERSON HEREDIA HUANJARES</t>
  </si>
  <si>
    <t xml:space="preserve">ZENON EUSEBIO FUENTES HUARHUA </t>
  </si>
  <si>
    <t xml:space="preserve">NATALI ESTEFANY CALDERON PARODI </t>
  </si>
  <si>
    <t xml:space="preserve">ANDRES JOAQUIN CRUZ LOPEZ </t>
  </si>
  <si>
    <t>GIANMARCO NIZAMA EYZAGUIRRE</t>
  </si>
  <si>
    <t xml:space="preserve">PEDRO ALEJANDRO LEON RUIZ  </t>
  </si>
  <si>
    <t xml:space="preserve">MARIELLA MARILYN CANELO ENCISO </t>
  </si>
  <si>
    <t xml:space="preserve">FREDY CCALLO VALERIANO </t>
  </si>
  <si>
    <t>JHON EMERSON CALLE SAAVEDRA</t>
  </si>
  <si>
    <t>SANTOS LEYDER BALTODANO REYES</t>
  </si>
  <si>
    <t xml:space="preserve">MARIA ELENA RODRIGUEZ DELGADO </t>
  </si>
  <si>
    <t xml:space="preserve"> MARIO CCAMA INQUILLA </t>
  </si>
  <si>
    <t xml:space="preserve"> CARMEN JULIA ROMERO ROMERO</t>
  </si>
  <si>
    <t>SIXTO JHONY OTAYZA HURTADO</t>
  </si>
  <si>
    <t>JOSE MANUEL APAZA COAQUIRA</t>
  </si>
  <si>
    <t>NOVEDADES PAMELITA S.A.C.</t>
  </si>
  <si>
    <t>ROSA MARIA CACERES RAMOS</t>
  </si>
  <si>
    <t xml:space="preserve">REDY JAIR MELLO CABRERA </t>
  </si>
  <si>
    <t>HUGO FERNANDO CHAVEZ SOLIS</t>
  </si>
  <si>
    <t xml:space="preserve">LAURA INES BURGA PESANTES </t>
  </si>
  <si>
    <t>DANIELA FRANSHESCA ALVAREZ ROMERO</t>
  </si>
  <si>
    <t>CLAUDIA ROMINA GUIZADO VILLAFANE</t>
  </si>
  <si>
    <t xml:space="preserve">SANTANDER QUISPE WALDO RUBEN </t>
  </si>
  <si>
    <t xml:space="preserve">POMATANTA CHOROCO JOSE SEBASTIAN </t>
  </si>
  <si>
    <t xml:space="preserve">ROSARIO PATRICIA SOTO VELARDE </t>
  </si>
  <si>
    <t>ORTHOCLINIC GC E.I.R.L.</t>
  </si>
  <si>
    <t>RODRIGO CANO PACHECO</t>
  </si>
  <si>
    <t xml:space="preserve">MELISSA JHUSVARY GASTELO SIGUEÑAS </t>
  </si>
  <si>
    <t>EDWIN NICOLAS ESTUCO IGNACIO</t>
  </si>
  <si>
    <t xml:space="preserve">MARIA LAURA LLONTOP LLONTOP DE FARROÑAY </t>
  </si>
  <si>
    <t>LUPE FABIOLA LENGUA TRILLO</t>
  </si>
  <si>
    <t xml:space="preserve">AURELIO RAMOS MAMANCHURA </t>
  </si>
  <si>
    <t>JOSE MIGUEL AVILA VERA</t>
  </si>
  <si>
    <t xml:space="preserve">YANET HANCCO CHINO </t>
  </si>
  <si>
    <t>JIMMY SALAS CARITA</t>
  </si>
  <si>
    <t xml:space="preserve"> KATHIA MONICA RAVINES GONZALES</t>
  </si>
  <si>
    <t>RAMIREZ SIFUENTES MIGUEL ANGEL</t>
  </si>
  <si>
    <t xml:space="preserve">JENNY ZULMIRA VELAPATIÑO BARRIENTOS </t>
  </si>
  <si>
    <t> 99780862</t>
  </si>
  <si>
    <t>LUZ MERY CASTILLO DE LA CRUZ</t>
  </si>
  <si>
    <t xml:space="preserve">MERA MENDEZ KARINA OLENKA </t>
  </si>
  <si>
    <t>ALEXANDRA ISABEL URTEAGA  PAREDES</t>
  </si>
  <si>
    <t>YOSELIN CAROLINA CESIAS CARPIO</t>
  </si>
  <si>
    <t> 99800566</t>
  </si>
  <si>
    <t>GLORIA GARCIA ALTEZ</t>
  </si>
  <si>
    <t>JAZMIN VELASQUEZ QUISPE</t>
  </si>
  <si>
    <t>ALFREDO NEMESIO TORRES TORRES</t>
  </si>
  <si>
    <t>LIZBETH ANALI VASQUEZ JUIPA</t>
  </si>
  <si>
    <t xml:space="preserve">JONNY SAMUEL CAMPOS MASABEL  </t>
  </si>
  <si>
    <t xml:space="preserve">ANA CASAS REATEGUI </t>
  </si>
  <si>
    <t xml:space="preserve">JULIO ENRIQUE MEDINA TORRES </t>
  </si>
  <si>
    <t>JONATHAN RODERICK MAMANI CRUZ</t>
  </si>
  <si>
    <t>fat</t>
  </si>
  <si>
    <t>KARLA LUCIA UBILLUS LAZORIGA</t>
  </si>
  <si>
    <t xml:space="preserve">RUSSELL ARTURO MESTAS ROJAS </t>
  </si>
  <si>
    <t xml:space="preserve">YOLANDA CHAVEZ CANAHUIRE </t>
  </si>
  <si>
    <t xml:space="preserve">ILSSI  VERONICA </t>
  </si>
  <si>
    <t xml:space="preserve">ISIDRO CUTIPA HURTADO </t>
  </si>
  <si>
    <t>RONALD FELIX PAREDES CAHUAPAZA</t>
  </si>
  <si>
    <t>FREDY RANDY ROMERO MAS</t>
  </si>
  <si>
    <t>JAVIER ALAMIRO TEJADA FERNANDEZ</t>
  </si>
  <si>
    <t xml:space="preserve">JOSE SANTOS EDQUEN REYES </t>
  </si>
  <si>
    <t xml:space="preserve">IGNACIO SARMIENTO TUCNO </t>
  </si>
  <si>
    <t>JOEL AGUIRRE GAONA</t>
  </si>
  <si>
    <t>NIKOL DORCAS SARMIENTO AURIS</t>
  </si>
  <si>
    <t xml:space="preserve">JOSE ROBERTO AGUILAR APAZA </t>
  </si>
  <si>
    <t>SILVER EFRAIN APAZA CUTIPA</t>
  </si>
  <si>
    <t xml:space="preserve">GERARDO WENCESLAO MEZA VALDIVIA </t>
  </si>
  <si>
    <t>ALEXANDER VELIZ CAMARGO</t>
  </si>
  <si>
    <t xml:space="preserve"> MARIA ANGELICA GASPAR CHAVEZ</t>
  </si>
  <si>
    <t>Harold Romero</t>
  </si>
  <si>
    <t xml:space="preserve">LAMBAYEQUE </t>
  </si>
  <si>
    <t>Milagros Capuñay</t>
  </si>
  <si>
    <t xml:space="preserve">Luis Huaman </t>
  </si>
  <si>
    <t xml:space="preserve">VICTOR JAVIER PAREDES RAMOS </t>
  </si>
  <si>
    <t xml:space="preserve">ALEX CLOSVER CUBAS SILVA </t>
  </si>
  <si>
    <t xml:space="preserve">YEIMILI ELIZABETH CHINGUEL CORDOVA </t>
  </si>
  <si>
    <t>Alex Chiclayo</t>
  </si>
  <si>
    <t xml:space="preserve">EDWIN RAUL LOZANO QUISPE </t>
  </si>
  <si>
    <t>SANTOS EULALIA COTRINA MORENO</t>
  </si>
  <si>
    <t xml:space="preserve">DORIS TERESA CHUQUIRUNA DE DIAZ </t>
  </si>
  <si>
    <t>TATIANA OFELIA USHIÑAHUA COLALA</t>
  </si>
  <si>
    <t xml:space="preserve">CARLOS DANIEL LOPEZ RUIZ </t>
  </si>
  <si>
    <t>POLO MARTINEZ FERNANDO FRANCISCO</t>
  </si>
  <si>
    <t>ROSA MARINA FLORES ARANDA</t>
  </si>
  <si>
    <t xml:space="preserve">GUMERCINDO EMILIO CRUZ CHUQUICHAMBI </t>
  </si>
  <si>
    <t xml:space="preserve">ANIBAL SEGUNDO LUQUE RIEGA </t>
  </si>
  <si>
    <t xml:space="preserve">FREDY WILLIAM SUPO PANCCA </t>
  </si>
  <si>
    <t xml:space="preserve">GUTIERREZ QUISPE BENITA MARGARITA </t>
  </si>
  <si>
    <t>GUTIERREZ ARELLANO  BETSALLY REYNA</t>
  </si>
  <si>
    <t>JOSEFINA RUIZ ROJAS</t>
  </si>
  <si>
    <t xml:space="preserve">ANDY JHONN MORALES HIDALGO </t>
  </si>
  <si>
    <t xml:space="preserve">PETER ANDRE IZQUIERDO BALTODANO </t>
  </si>
  <si>
    <t>VERGARA SALDAÑA ELMO EMILIANO</t>
  </si>
  <si>
    <t xml:space="preserve"> THOMAS PALOMINO MEZA </t>
  </si>
  <si>
    <t>CARI CHAMBI GILBER EUSEBIO</t>
  </si>
  <si>
    <t xml:space="preserve">JANNE GRANDEZ RAMIREZ </t>
  </si>
  <si>
    <t>GÉNERO</t>
  </si>
  <si>
    <t>FECHAINST.</t>
  </si>
  <si>
    <t>FECHAVENTA</t>
  </si>
  <si>
    <t>C.PAGO</t>
  </si>
  <si>
    <t>VICTOR ISRAEL OLIVERA VILLODAS</t>
  </si>
  <si>
    <t xml:space="preserve">JESUS EMILIO BERNAOLA HUASASQUICHE </t>
  </si>
  <si>
    <t xml:space="preserve">KARIN PAOLA ARTEAGA VALLE </t>
  </si>
  <si>
    <t>ANTHONY CRISTHIAN CASANOVA PEREZ</t>
  </si>
  <si>
    <t>TIPO</t>
  </si>
  <si>
    <t>CORPORATIVO</t>
  </si>
  <si>
    <t>MASIVO</t>
  </si>
  <si>
    <t>400MB TV ESTANDAR PRO TELEFONIA 5000</t>
  </si>
  <si>
    <t>LEON DOMINGUEZ TUMBAY</t>
  </si>
  <si>
    <t xml:space="preserve">ANTIVIDAD MARLES VIDAL BAZAURI </t>
  </si>
  <si>
    <t>FLORES TORRES MARIO ERNESTO</t>
  </si>
  <si>
    <t>JOSE ERICK CALLAO REGALADO</t>
  </si>
  <si>
    <t>MARIA ANICETA MURO ZEÑA</t>
  </si>
  <si>
    <t>Kelly Cajusol</t>
  </si>
  <si>
    <t>HELENA BETZABE PINZON SANCHEZ</t>
  </si>
  <si>
    <t>Alheli Cajusol</t>
  </si>
  <si>
    <t xml:space="preserve"> REINA YESSICA CORDOVA MAMANI</t>
  </si>
  <si>
    <t xml:space="preserve">GLADIZ YOLANDA MEJIA RUIZ </t>
  </si>
  <si>
    <t>JAVIER FAUSTO ALARCON ZEGARRA</t>
  </si>
  <si>
    <t>MARCO ANTONIO DAVILA DIAZ</t>
  </si>
  <si>
    <t xml:space="preserve">MARYCRUZ EVELIN EGUILUZ FLORES </t>
  </si>
  <si>
    <t>CECILIA MARGARITA ORELLANA SALAZAR</t>
  </si>
  <si>
    <t>Alexander Terreros</t>
  </si>
  <si>
    <t xml:space="preserve">JORGE ESQUECHE CHANCAFE </t>
  </si>
  <si>
    <t xml:space="preserve">REQUEJO RODRIGUEZ CARLOS NAPOLEON </t>
  </si>
  <si>
    <t>MANUEL EDUARDO VILCA MAMANI</t>
  </si>
  <si>
    <t>LUIS ANGEL VELASQUEZ CAIHUARAY</t>
  </si>
  <si>
    <t> 100340625</t>
  </si>
  <si>
    <t>SANDRA JEANETH MENDOZA TORRES</t>
  </si>
  <si>
    <t>Ashley Erazo</t>
  </si>
  <si>
    <t>LUCIO JAVIER VILCA LAIME</t>
  </si>
  <si>
    <t xml:space="preserve">TORIBIO TTITO CHUYACAMA </t>
  </si>
  <si>
    <t>ZOILA JAZMIN UCEDA LLUEN</t>
  </si>
  <si>
    <t>YESSENIA EDY GUTIERREZ HUAMAN</t>
  </si>
  <si>
    <t> 100364483</t>
  </si>
  <si>
    <t xml:space="preserve">ECHEVARRIA MORALES WITMER MIGUEL </t>
  </si>
  <si>
    <t>JHONY ABEL VASQUEZ ARROYO</t>
  </si>
  <si>
    <t>VICTOR MANUEL RODRIGUEZ PASTOR</t>
  </si>
  <si>
    <t>PATRICIA ANGELICA RAMOS MENDOZA</t>
  </si>
  <si>
    <t>EMILIANO FERRER LEON TINOCO</t>
  </si>
  <si>
    <t xml:space="preserve">ELMER QUISPE PALACIOS </t>
  </si>
  <si>
    <t>YARLEQUE VILCHEZ FRANCISCA MARIA</t>
  </si>
  <si>
    <t xml:space="preserve"> ROSA YANET CALLI VENTURA</t>
  </si>
  <si>
    <t xml:space="preserve">CARMEN RAQUEL CARRASCO CARHUAJULCA </t>
  </si>
  <si>
    <t xml:space="preserve">ENRRIQUE YORDANO BARRIOS CEDANO </t>
  </si>
  <si>
    <t>MARIA ELICIA CULQUICONDOR HERMOSA</t>
  </si>
  <si>
    <t>MODEXA CONSTRUCTION S.A.C.</t>
  </si>
  <si>
    <t>GRUPO COINGCO S.A.C.</t>
  </si>
  <si>
    <t>ROSA ANGELICA CHIRINOS RIMAPA</t>
  </si>
  <si>
    <t>FATIMA PURIHUAMAN CAJO</t>
  </si>
  <si>
    <t>FREDY EDWIN VERA ALANYA</t>
  </si>
  <si>
    <t>LUIS ALEXANDER ZEA BENIQUE</t>
  </si>
  <si>
    <t>ERIKA FIORELLA BARBOZA MUÑOZ</t>
  </si>
  <si>
    <t>JUAN DE LA CRUZ ANDRADE TORRES</t>
  </si>
  <si>
    <t>CARLOS ALBERTO COLCCA ARAOZ</t>
  </si>
  <si>
    <t>NELIDA GUILLEN VALER</t>
  </si>
  <si>
    <t>MARIA PATRICIA FERNANDEZ BIFI DE PALACIOS</t>
  </si>
  <si>
    <t>GREGORIO WILFREDO TORRES TACO</t>
  </si>
  <si>
    <t>ANITA DELQUIZA GONZALES CASTRO</t>
  </si>
  <si>
    <t xml:space="preserve">CALDERON HUAMAN ROSA ANGELICA </t>
  </si>
  <si>
    <t>18/01/2026 AM1</t>
  </si>
  <si>
    <t xml:space="preserve">PEREZ HUARIPATA ISAAC ISRAEL </t>
  </si>
  <si>
    <t>SALGADO SALCEDO ENRIQUE</t>
  </si>
  <si>
    <t>NATALY PEREZ PAUCAR</t>
  </si>
  <si>
    <t xml:space="preserve">PATRICIA ANGELICA RAMOS MENDOZA </t>
  </si>
  <si>
    <t>JUANA DOROTEA MENDOZA TICONA</t>
  </si>
  <si>
    <t>JOVITO PERCY JAMANCA SHUAN</t>
  </si>
  <si>
    <t>JOSE JAVIER KOO AMBROSIO</t>
  </si>
  <si>
    <t>MAXIMINA CUEVA PEREZ</t>
  </si>
  <si>
    <t>CHRISTIAN SMITH VASQUEZ EDQUEN</t>
  </si>
  <si>
    <t>fraude nro</t>
  </si>
  <si>
    <t>ROSVEL DAGNE ALIAGA BRAVO</t>
  </si>
  <si>
    <t xml:space="preserve">RUTH ELIZABETH QUIZA JAEN </t>
  </si>
  <si>
    <t>THALIA SOLEDAD DAMIAN AGUIRRE</t>
  </si>
  <si>
    <t>ROCIO DEL ROSARIO QUILCATE FLORES</t>
  </si>
  <si>
    <t>CALL</t>
  </si>
  <si>
    <t>CAMPO</t>
  </si>
  <si>
    <t>MODALIDAD</t>
  </si>
  <si>
    <t>MIRIAN ODAR CHERRES</t>
  </si>
  <si>
    <t>WALTER LUIS LOPEZ VACAS</t>
  </si>
  <si>
    <t>INTERNET 500MB</t>
  </si>
  <si>
    <t>HONORATA SUPA DE HUAMAN</t>
  </si>
  <si>
    <t>MARIA DEL CARMEN MOGOLLON CHUMPITAZ</t>
  </si>
  <si>
    <t>21/01/2026 AM1</t>
  </si>
  <si>
    <t>Nadia Muncibay</t>
  </si>
  <si>
    <t>ANA MARIA MORENO ALEGRE</t>
  </si>
  <si>
    <t>Jose Sanchez</t>
  </si>
  <si>
    <t>24/01/2026 AM2</t>
  </si>
  <si>
    <t>23/01/2026 AM2</t>
  </si>
  <si>
    <t>BARDONIO LIVIA CORNE</t>
  </si>
  <si>
    <t>KARLA FABIANA ENRIQUEZ IZQUIERDO</t>
  </si>
  <si>
    <t xml:space="preserve">NANCI TIMANA BECERRA </t>
  </si>
  <si>
    <t>22/01/2026 PM1</t>
  </si>
  <si>
    <t>23/01/2026 PM2</t>
  </si>
  <si>
    <t>ALONZO ROLANDO HUARCAYA NEYRA</t>
  </si>
  <si>
    <t>Carlos Barrantes</t>
  </si>
  <si>
    <t>25/01/2026 PM2</t>
  </si>
  <si>
    <t>YAMILA MARTHA ROJAS VALVERDE</t>
  </si>
  <si>
    <t>LENNY PAOLA  CHU PEZO</t>
  </si>
  <si>
    <t>BOCANGEL BELTRAN LESLY SERGIÑA</t>
  </si>
  <si>
    <t>29/01/2026 PM1</t>
  </si>
  <si>
    <t>MASHA ARAUJO LAGONES</t>
  </si>
  <si>
    <t>ADER FIORANE NÚÑEZ DIESTRA</t>
  </si>
  <si>
    <t>JUAN OSWALDO ZAVALETA REYES</t>
  </si>
  <si>
    <t>CALDERON SILVA DE SALINAS JANET ESMERALDA</t>
  </si>
  <si>
    <t>25/01/2026 AM1</t>
  </si>
  <si>
    <t>25/01/2026 PM1</t>
  </si>
  <si>
    <t>QUIÑONES VALERIANA RUFINO</t>
  </si>
  <si>
    <t>RICARDO MAMANI ALEJO</t>
  </si>
  <si>
    <t>24/01/2026 PM1</t>
  </si>
  <si>
    <t>CARLOS EDUARDO GARCIA MEJIA</t>
  </si>
  <si>
    <t>ALEJANDRA SILVANA HUAYTA VERGARAY</t>
  </si>
  <si>
    <t>MANUEL GONZALO MANSILLA CARTAGENA</t>
  </si>
  <si>
    <t>ESTEBAN STALIN VASQUEZ MUNDACA</t>
  </si>
  <si>
    <t>WILLMAN JAVIER SOLORZANO GAMARRA</t>
  </si>
  <si>
    <t>ALVARO JEANPIERE VASQUEZ VASQUEZ</t>
  </si>
  <si>
    <t>RAMON ISRAEL REAÑO KAMT</t>
  </si>
  <si>
    <t>FRANK ERINSON VENTURA SANCHEZ</t>
  </si>
  <si>
    <t>26/01/2026 AM2</t>
  </si>
  <si>
    <t>26/01/2026 AM1</t>
  </si>
  <si>
    <t>26/01/2026 PM1</t>
  </si>
  <si>
    <t>27/01/2026 AM2</t>
  </si>
  <si>
    <t>WILSON AGAPITO CHUQUIMUNI LUYO</t>
  </si>
  <si>
    <t>27/01/2026 AM1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</si>
</sst>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00000000"/>
  </numFmts>
  <fonts count="41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i/>
      <sz val="11"/>
      <color rgb="FFFFFFFF"/>
      <name val="Arial"/>
      <family val="2"/>
    </font>
    <font>
      <b/>
      <i/>
      <sz val="11"/>
      <color theme="0"/>
      <name val="Aptos Narrow"/>
      <family val="2"/>
    </font>
    <font>
      <i/>
      <sz val="11"/>
      <color theme="0"/>
      <name val="Aptos Narrow"/>
      <family val="2"/>
    </font>
    <font>
      <b/>
      <i/>
      <sz val="11"/>
      <color theme="0"/>
      <name val="Arial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b/>
      <sz val="10"/>
      <color theme="0"/>
      <name val="Aptos Narrow"/>
      <family val="2"/>
    </font>
    <font>
      <sz val="10"/>
      <color theme="0"/>
      <name val="Aptos Narrow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i/>
      <sz val="11"/>
      <color theme="1"/>
      <name val="Arial"/>
      <family val="2"/>
    </font>
    <font>
      <sz val="11"/>
      <color theme="1"/>
      <name val="Wingdings"/>
      <charset val="2"/>
    </font>
    <font>
      <sz val="8"/>
      <name val="Aptos Narrow"/>
      <family val="2"/>
      <scheme val="minor"/>
    </font>
    <font>
      <b/>
      <i/>
      <sz val="10"/>
      <color theme="0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Arial"/>
      <family val="2"/>
    </font>
    <font>
      <b/>
      <sz val="11"/>
      <color theme="1"/>
      <name val="Wingdings"/>
      <charset val="2"/>
    </font>
    <font>
      <sz val="11"/>
      <color theme="1"/>
      <name val="Aptos Narrow"/>
      <family val="2"/>
    </font>
    <font>
      <sz val="11"/>
      <color theme="1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EFF1F2"/>
        <bgColor rgb="FFEFF1F2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20" fillId="0" borderId="0" xfId="0" applyFont="1"/>
    <xf numFmtId="0" fontId="25" fillId="0" borderId="0" xfId="0" applyFont="1"/>
    <xf numFmtId="0" fontId="27" fillId="2" borderId="1" xfId="0" applyFont="1" applyFill="1" applyBorder="1" applyAlignment="1">
      <alignment horizontal="left"/>
    </xf>
    <xf numFmtId="16" fontId="25" fillId="0" borderId="0" xfId="0" applyNumberFormat="1" applyFont="1"/>
    <xf numFmtId="1" fontId="25" fillId="0" borderId="0" xfId="0" applyNumberFormat="1" applyFont="1" applyAlignment="1">
      <alignment horizontal="left"/>
    </xf>
    <xf numFmtId="16" fontId="25" fillId="0" borderId="0" xfId="0" applyNumberFormat="1" applyFont="1" applyAlignment="1">
      <alignment horizontal="left"/>
    </xf>
    <xf numFmtId="1" fontId="25" fillId="0" borderId="0" xfId="0" applyNumberFormat="1" applyFont="1"/>
    <xf numFmtId="0" fontId="26" fillId="0" borderId="0" xfId="0" applyFont="1"/>
    <xf numFmtId="0" fontId="25" fillId="0" borderId="1" xfId="0" applyFont="1" applyBorder="1"/>
    <xf numFmtId="0" fontId="33" fillId="3" borderId="2" xfId="0" applyFont="1" applyFill="1" applyBorder="1" applyAlignment="1">
      <alignment horizontal="center"/>
    </xf>
    <xf numFmtId="49" fontId="22" fillId="2" borderId="2" xfId="0" applyNumberFormat="1" applyFont="1" applyFill="1" applyBorder="1" applyAlignment="1">
      <alignment horizontal="center"/>
    </xf>
    <xf numFmtId="49" fontId="24" fillId="2" borderId="2" xfId="0" applyNumberFormat="1" applyFont="1" applyFill="1" applyBorder="1" applyAlignment="1">
      <alignment horizontal="center"/>
    </xf>
    <xf numFmtId="49" fontId="21" fillId="2" borderId="2" xfId="0" applyNumberFormat="1" applyFont="1" applyFill="1" applyBorder="1" applyAlignment="1">
      <alignment horizontal="center"/>
    </xf>
    <xf numFmtId="49" fontId="28" fillId="2" borderId="1" xfId="0" applyNumberFormat="1" applyFont="1" applyFill="1" applyBorder="1" applyAlignment="1">
      <alignment horizontal="center"/>
    </xf>
    <xf numFmtId="0" fontId="27" fillId="2" borderId="1" xfId="0" applyFont="1" applyFill="1" applyBorder="1" applyAlignment="1">
      <alignment horizontal="center"/>
    </xf>
    <xf numFmtId="0" fontId="29" fillId="2" borderId="1" xfId="0" applyFont="1" applyFill="1" applyBorder="1" applyAlignment="1">
      <alignment horizontal="center"/>
    </xf>
    <xf numFmtId="0" fontId="30" fillId="0" borderId="1" xfId="0" applyFont="1" applyBorder="1" applyAlignment="1">
      <alignment horizontal="left"/>
    </xf>
    <xf numFmtId="0" fontId="25" fillId="0" borderId="2" xfId="0" applyFont="1" applyBorder="1" applyAlignment="1">
      <alignment horizontal="center"/>
    </xf>
    <xf numFmtId="49" fontId="25" fillId="0" borderId="2" xfId="0" applyNumberFormat="1" applyFont="1" applyBorder="1" applyAlignment="1">
      <alignment horizontal="center"/>
    </xf>
    <xf numFmtId="1" fontId="25" fillId="0" borderId="2" xfId="0" applyNumberFormat="1" applyFont="1" applyBorder="1" applyAlignment="1">
      <alignment horizontal="center"/>
    </xf>
    <xf numFmtId="49" fontId="26" fillId="0" borderId="2" xfId="0" applyNumberFormat="1" applyFont="1" applyBorder="1" applyAlignment="1">
      <alignment horizontal="center"/>
    </xf>
    <xf numFmtId="164" fontId="25" fillId="0" borderId="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49" fontId="25" fillId="0" borderId="2" xfId="0" applyNumberFormat="1" applyFont="1" applyBorder="1"/>
    <xf numFmtId="0" fontId="25" fillId="0" borderId="2" xfId="0" applyFont="1" applyBorder="1"/>
    <xf numFmtId="0" fontId="33" fillId="0" borderId="2" xfId="0" applyFont="1" applyBorder="1" applyAlignment="1">
      <alignment horizontal="center"/>
    </xf>
    <xf numFmtId="49" fontId="32" fillId="0" borderId="2" xfId="0" applyNumberFormat="1" applyFont="1" applyBorder="1" applyAlignment="1">
      <alignment horizontal="center"/>
    </xf>
    <xf numFmtId="49" fontId="25" fillId="0" borderId="0" xfId="0" applyNumberFormat="1" applyFont="1" applyAlignment="1">
      <alignment horizontal="center"/>
    </xf>
    <xf numFmtId="165" fontId="22" fillId="2" borderId="2" xfId="0" applyNumberFormat="1" applyFont="1" applyFill="1" applyBorder="1"/>
    <xf numFmtId="165" fontId="25" fillId="0" borderId="2" xfId="0" applyNumberFormat="1" applyFont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49" fontId="23" fillId="2" borderId="2" xfId="0" applyNumberFormat="1" applyFont="1" applyFill="1" applyBorder="1" applyAlignment="1">
      <alignment horizontal="center"/>
    </xf>
    <xf numFmtId="49" fontId="25" fillId="0" borderId="3" xfId="0" applyNumberFormat="1" applyFont="1" applyBorder="1" applyAlignment="1">
      <alignment horizontal="center"/>
    </xf>
    <xf numFmtId="0" fontId="0" fillId="0" borderId="2" xfId="0" applyBorder="1"/>
    <xf numFmtId="165" fontId="25" fillId="5" borderId="2" xfId="0" applyNumberFormat="1" applyFont="1" applyFill="1" applyBorder="1" applyAlignment="1">
      <alignment horizontal="center"/>
    </xf>
    <xf numFmtId="49" fontId="20" fillId="0" borderId="2" xfId="0" applyNumberFormat="1" applyFont="1" applyBorder="1" applyAlignment="1">
      <alignment horizontal="center"/>
    </xf>
    <xf numFmtId="14" fontId="21" fillId="2" borderId="2" xfId="0" applyNumberFormat="1" applyFont="1" applyFill="1" applyBorder="1" applyAlignment="1">
      <alignment horizontal="center"/>
    </xf>
    <xf numFmtId="14" fontId="25" fillId="0" borderId="2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14" fontId="22" fillId="2" borderId="2" xfId="0" applyNumberFormat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6" fillId="0" borderId="0" xfId="0" applyFont="1"/>
    <xf numFmtId="49" fontId="35" fillId="2" borderId="2" xfId="0" applyNumberFormat="1" applyFont="1" applyFill="1" applyBorder="1"/>
    <xf numFmtId="49" fontId="35" fillId="2" borderId="2" xfId="0" applyNumberFormat="1" applyFont="1" applyFill="1" applyBorder="1" applyAlignment="1">
      <alignment horizontal="center"/>
    </xf>
    <xf numFmtId="0" fontId="5" fillId="0" borderId="2" xfId="0" applyFont="1" applyBorder="1"/>
    <xf numFmtId="0" fontId="5" fillId="0" borderId="0" xfId="0" applyFont="1"/>
    <xf numFmtId="0" fontId="4" fillId="0" borderId="0" xfId="0" applyFont="1" applyAlignment="1">
      <alignment horizontal="center"/>
    </xf>
    <xf numFmtId="0" fontId="3" fillId="0" borderId="2" xfId="0" applyFont="1" applyBorder="1"/>
    <xf numFmtId="0" fontId="2" fillId="0" borderId="2" xfId="0" applyFont="1" applyBorder="1"/>
    <xf numFmtId="1" fontId="0" fillId="0" borderId="0" xfId="0" applyNumberFormat="1" applyAlignment="1">
      <alignment horizontal="center"/>
    </xf>
    <xf numFmtId="1" fontId="22" fillId="2" borderId="2" xfId="0" applyNumberFormat="1" applyFont="1" applyFill="1" applyBorder="1" applyAlignment="1">
      <alignment horizontal="center"/>
    </xf>
    <xf numFmtId="14" fontId="0" fillId="0" borderId="0" xfId="0" applyNumberFormat="1"/>
    <xf numFmtId="49" fontId="25" fillId="0" borderId="2" xfId="0" applyNumberFormat="1" applyFont="1" applyBorder="1" applyAlignment="1">
      <alignment horizontal="left"/>
    </xf>
    <xf numFmtId="49" fontId="37" fillId="0" borderId="2" xfId="0" applyNumberFormat="1" applyFont="1" applyBorder="1" applyAlignment="1">
      <alignment horizontal="center"/>
    </xf>
    <xf numFmtId="0" fontId="38" fillId="0" borderId="2" xfId="0" applyFont="1" applyBorder="1" applyAlignment="1">
      <alignment horizontal="center"/>
    </xf>
    <xf numFmtId="14" fontId="36" fillId="0" borderId="2" xfId="0" applyNumberFormat="1" applyFont="1" applyBorder="1" applyAlignment="1">
      <alignment horizontal="center"/>
    </xf>
    <xf numFmtId="49" fontId="39" fillId="0" borderId="2" xfId="0" applyNumberFormat="1" applyFont="1" applyBorder="1" applyAlignment="1">
      <alignment horizontal="center"/>
    </xf>
    <xf numFmtId="14" fontId="25" fillId="0" borderId="2" xfId="0" applyNumberFormat="1" applyFont="1" applyBorder="1" applyAlignment="1">
      <alignment horizontal="left"/>
    </xf>
    <xf numFmtId="0" fontId="36" fillId="4" borderId="2" xfId="0" applyFont="1" applyFill="1" applyBorder="1" applyAlignment="1">
      <alignment horizontal="center"/>
    </xf>
    <xf numFmtId="1" fontId="21" fillId="2" borderId="2" xfId="0" applyNumberFormat="1" applyFont="1" applyFill="1" applyBorder="1" applyAlignment="1">
      <alignment horizontal="center"/>
    </xf>
    <xf numFmtId="1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2" xfId="0" applyNumberFormat="1" applyBorder="1"/>
    <xf numFmtId="49" fontId="19" fillId="0" borderId="2" xfId="0" applyNumberFormat="1" applyFont="1" applyBorder="1"/>
    <xf numFmtId="49" fontId="18" fillId="0" borderId="2" xfId="0" applyNumberFormat="1" applyFont="1" applyBorder="1"/>
    <xf numFmtId="49" fontId="17" fillId="0" borderId="2" xfId="0" applyNumberFormat="1" applyFont="1" applyBorder="1"/>
    <xf numFmtId="49" fontId="16" fillId="0" borderId="2" xfId="0" applyNumberFormat="1" applyFont="1" applyBorder="1"/>
    <xf numFmtId="49" fontId="15" fillId="0" borderId="2" xfId="0" applyNumberFormat="1" applyFont="1" applyBorder="1"/>
    <xf numFmtId="49" fontId="14" fillId="0" borderId="2" xfId="0" applyNumberFormat="1" applyFont="1" applyBorder="1"/>
    <xf numFmtId="49" fontId="13" fillId="0" borderId="2" xfId="0" applyNumberFormat="1" applyFont="1" applyBorder="1"/>
    <xf numFmtId="49" fontId="12" fillId="0" borderId="2" xfId="0" applyNumberFormat="1" applyFont="1" applyBorder="1"/>
    <xf numFmtId="49" fontId="11" fillId="0" borderId="2" xfId="0" applyNumberFormat="1" applyFont="1" applyBorder="1"/>
    <xf numFmtId="49" fontId="8" fillId="0" borderId="2" xfId="0" applyNumberFormat="1" applyFont="1" applyBorder="1"/>
    <xf numFmtId="49" fontId="9" fillId="0" borderId="2" xfId="0" applyNumberFormat="1" applyFont="1" applyBorder="1"/>
    <xf numFmtId="49" fontId="10" fillId="0" borderId="2" xfId="0" applyNumberFormat="1" applyFont="1" applyBorder="1"/>
    <xf numFmtId="49" fontId="7" fillId="0" borderId="2" xfId="0" applyNumberFormat="1" applyFont="1" applyBorder="1"/>
    <xf numFmtId="1" fontId="25" fillId="6" borderId="2" xfId="0" applyNumberFormat="1" applyFont="1" applyFill="1" applyBorder="1" applyAlignment="1">
      <alignment horizontal="center"/>
    </xf>
    <xf numFmtId="0" fontId="25" fillId="0" borderId="2" xfId="0" applyFont="1" applyBorder="1" applyAlignment="1">
      <alignment horizontal="left"/>
    </xf>
    <xf numFmtId="0" fontId="25" fillId="7" borderId="2" xfId="0" applyFont="1" applyFill="1" applyBorder="1" applyAlignment="1">
      <alignment horizontal="center"/>
    </xf>
    <xf numFmtId="14" fontId="40" fillId="0" borderId="2" xfId="0" applyNumberFormat="1" applyFont="1" applyBorder="1" applyAlignment="1">
      <alignment horizontal="center"/>
    </xf>
  </cellXfs>
  <cellStyles count="1">
    <cellStyle name="Normal" xfId="0" builtinId="0"/>
  </cellStyles>
  <dxfs count="1290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M1001"/>
  <sheetViews>
    <sheetView topLeftCell="A13" workbookViewId="0">
      <selection activeCell="A33" sqref="A33"/>
    </sheetView>
  </sheetViews>
  <sheetFormatPr baseColWidth="10" defaultColWidth="12.33203125" defaultRowHeight="15" customHeight="1" x14ac:dyDescent="0.3"/>
  <cols>
    <col min="1" max="1" width="41.33203125" customWidth="1"/>
    <col min="2" max="2" width="7" customWidth="1"/>
    <col min="3" max="5" width="10.33203125" customWidth="1"/>
    <col min="6" max="6" width="38.88671875" bestFit="1" customWidth="1"/>
    <col min="7" max="26" width="10.33203125" customWidth="1"/>
  </cols>
  <sheetData>
    <row r="1" spans="1:13" ht="14.25" customHeight="1" x14ac:dyDescent="0.3">
      <c r="A1" s="2" t="s">
        <v>324</v>
      </c>
      <c r="B1" s="4"/>
      <c r="C1" s="5"/>
      <c r="D1" s="6"/>
      <c r="E1" s="7"/>
      <c r="G1" s="7"/>
      <c r="I1" s="7"/>
      <c r="K1" s="7"/>
      <c r="M1" s="7"/>
    </row>
    <row r="2" spans="1:13" ht="14.25" customHeight="1" x14ac:dyDescent="0.3">
      <c r="A2" s="2" t="s">
        <v>64</v>
      </c>
      <c r="B2" s="4" t="s">
        <v>325</v>
      </c>
      <c r="C2" s="5" t="s">
        <v>326</v>
      </c>
      <c r="D2" s="6" t="s">
        <v>327</v>
      </c>
      <c r="E2" s="7"/>
      <c r="F2" s="18" t="s">
        <v>353</v>
      </c>
      <c r="G2" s="7">
        <v>125</v>
      </c>
      <c r="I2" s="7"/>
      <c r="K2" s="7"/>
      <c r="M2" s="7"/>
    </row>
    <row r="3" spans="1:13" ht="14.25" customHeight="1" x14ac:dyDescent="0.3">
      <c r="A3" s="2" t="s">
        <v>57</v>
      </c>
      <c r="B3" s="4">
        <v>45474</v>
      </c>
      <c r="C3" s="5">
        <v>45474</v>
      </c>
      <c r="D3" s="6">
        <v>45476</v>
      </c>
      <c r="E3" s="7"/>
      <c r="F3" s="18" t="s">
        <v>356</v>
      </c>
      <c r="G3" s="7">
        <v>126</v>
      </c>
      <c r="I3" s="7"/>
      <c r="K3" s="7"/>
      <c r="M3" s="7"/>
    </row>
    <row r="4" spans="1:13" ht="14.25" customHeight="1" x14ac:dyDescent="0.3">
      <c r="A4" s="2" t="s">
        <v>59</v>
      </c>
      <c r="B4" s="4">
        <v>45475</v>
      </c>
      <c r="C4" s="5">
        <v>45475</v>
      </c>
      <c r="D4" s="6">
        <v>45476</v>
      </c>
      <c r="E4" s="7"/>
      <c r="F4" s="18" t="s">
        <v>354</v>
      </c>
      <c r="G4" s="7">
        <v>125</v>
      </c>
      <c r="I4" s="7"/>
      <c r="K4" s="7"/>
      <c r="M4" s="7"/>
    </row>
    <row r="5" spans="1:13" ht="14.25" customHeight="1" x14ac:dyDescent="0.3">
      <c r="A5" s="2" t="s">
        <v>17</v>
      </c>
      <c r="B5" s="4">
        <v>45476</v>
      </c>
      <c r="C5" s="5">
        <v>45476</v>
      </c>
      <c r="D5" s="6">
        <v>45477</v>
      </c>
      <c r="E5" s="7"/>
      <c r="F5" s="18" t="s">
        <v>352</v>
      </c>
      <c r="G5" s="7">
        <v>66</v>
      </c>
      <c r="I5" s="7"/>
      <c r="K5" s="7"/>
      <c r="M5" s="7"/>
    </row>
    <row r="6" spans="1:13" ht="14.25" customHeight="1" x14ac:dyDescent="0.3">
      <c r="B6" s="4">
        <v>45477</v>
      </c>
      <c r="C6" s="5">
        <v>45477</v>
      </c>
      <c r="D6" s="6">
        <v>45478</v>
      </c>
      <c r="E6" s="7"/>
      <c r="F6" s="18" t="s">
        <v>343</v>
      </c>
      <c r="G6" s="7">
        <v>70</v>
      </c>
      <c r="I6" s="7"/>
      <c r="K6" s="7"/>
      <c r="M6" s="7"/>
    </row>
    <row r="7" spans="1:13" ht="14.25" customHeight="1" x14ac:dyDescent="0.3">
      <c r="B7" s="4">
        <v>45478</v>
      </c>
      <c r="C7" s="5">
        <v>45478</v>
      </c>
      <c r="D7" s="6">
        <v>45479</v>
      </c>
      <c r="E7" s="7"/>
      <c r="F7" s="18" t="s">
        <v>336</v>
      </c>
      <c r="G7" s="7">
        <v>150</v>
      </c>
      <c r="I7" s="7"/>
      <c r="K7" s="7"/>
      <c r="M7" s="7"/>
    </row>
    <row r="8" spans="1:13" ht="14.25" customHeight="1" x14ac:dyDescent="0.3">
      <c r="B8" s="4">
        <v>45479</v>
      </c>
      <c r="C8" s="5">
        <v>45479</v>
      </c>
      <c r="D8" s="6">
        <v>45481</v>
      </c>
      <c r="E8" s="7"/>
      <c r="F8" s="18" t="s">
        <v>382</v>
      </c>
      <c r="G8" s="7">
        <v>155</v>
      </c>
      <c r="I8" s="7"/>
      <c r="K8" s="7"/>
      <c r="M8" s="7"/>
    </row>
    <row r="9" spans="1:13" ht="14.25" customHeight="1" x14ac:dyDescent="0.3">
      <c r="B9" s="4">
        <v>45480</v>
      </c>
      <c r="C9" s="5">
        <v>45480</v>
      </c>
      <c r="D9" s="6">
        <v>45481</v>
      </c>
      <c r="E9" s="7"/>
      <c r="F9" s="18" t="s">
        <v>351</v>
      </c>
      <c r="G9" s="7">
        <v>135</v>
      </c>
      <c r="I9" s="7"/>
      <c r="K9" s="7"/>
      <c r="M9" s="7"/>
    </row>
    <row r="10" spans="1:13" ht="14.25" customHeight="1" x14ac:dyDescent="0.3">
      <c r="B10" s="4">
        <v>45481</v>
      </c>
      <c r="C10" s="5">
        <v>45481</v>
      </c>
      <c r="D10" s="6">
        <v>45482</v>
      </c>
      <c r="E10" s="7"/>
      <c r="F10" s="18" t="s">
        <v>357</v>
      </c>
      <c r="G10" s="7">
        <v>136</v>
      </c>
      <c r="I10" s="7"/>
      <c r="K10" s="7"/>
      <c r="M10" s="7"/>
    </row>
    <row r="11" spans="1:13" ht="14.25" customHeight="1" x14ac:dyDescent="0.3">
      <c r="B11" s="4">
        <v>45482</v>
      </c>
      <c r="C11" s="5">
        <v>45482</v>
      </c>
      <c r="D11" s="6">
        <v>45484</v>
      </c>
      <c r="E11" s="7"/>
      <c r="F11" s="18" t="s">
        <v>359</v>
      </c>
      <c r="G11" s="7">
        <v>76</v>
      </c>
      <c r="I11" s="7"/>
      <c r="K11" s="7"/>
      <c r="M11" s="7"/>
    </row>
    <row r="12" spans="1:13" ht="14.25" customHeight="1" x14ac:dyDescent="0.3">
      <c r="A12" s="2" t="s">
        <v>328</v>
      </c>
      <c r="B12" s="4">
        <v>45483</v>
      </c>
      <c r="C12" s="5">
        <v>45483</v>
      </c>
      <c r="D12" s="6">
        <v>45484</v>
      </c>
      <c r="E12" s="7"/>
      <c r="F12" s="18" t="s">
        <v>338</v>
      </c>
      <c r="G12" s="7">
        <v>160</v>
      </c>
      <c r="I12" s="7"/>
      <c r="K12" s="7"/>
      <c r="M12" s="7"/>
    </row>
    <row r="13" spans="1:13" ht="14.25" customHeight="1" x14ac:dyDescent="0.3">
      <c r="A13" s="2" t="s">
        <v>18</v>
      </c>
      <c r="B13" s="4">
        <v>45484</v>
      </c>
      <c r="C13" s="5">
        <v>45484</v>
      </c>
      <c r="D13" s="6">
        <v>45485</v>
      </c>
      <c r="E13" s="7"/>
      <c r="F13" s="18" t="s">
        <v>360</v>
      </c>
      <c r="G13" s="7">
        <v>145</v>
      </c>
      <c r="I13" s="7"/>
      <c r="K13" s="7"/>
      <c r="M13" s="7"/>
    </row>
    <row r="14" spans="1:13" ht="14.25" customHeight="1" x14ac:dyDescent="0.3">
      <c r="A14" s="2" t="s">
        <v>23</v>
      </c>
      <c r="B14" s="4">
        <v>45485</v>
      </c>
      <c r="C14" s="5">
        <v>45485</v>
      </c>
      <c r="D14" s="6">
        <v>45487</v>
      </c>
      <c r="E14" s="7"/>
      <c r="F14" s="18" t="s">
        <v>358</v>
      </c>
      <c r="G14" s="7">
        <v>86</v>
      </c>
      <c r="I14" s="7"/>
      <c r="K14" s="7"/>
      <c r="M14" s="7"/>
    </row>
    <row r="15" spans="1:13" ht="14.25" customHeight="1" x14ac:dyDescent="0.3">
      <c r="B15" s="4">
        <v>45486</v>
      </c>
      <c r="C15" s="5">
        <v>45486</v>
      </c>
      <c r="D15" s="6">
        <v>45487</v>
      </c>
      <c r="E15" s="7"/>
      <c r="F15" s="18" t="s">
        <v>337</v>
      </c>
      <c r="G15" s="7">
        <v>170</v>
      </c>
      <c r="I15" s="7"/>
      <c r="K15" s="7"/>
      <c r="M15" s="7"/>
    </row>
    <row r="16" spans="1:13" ht="14.25" customHeight="1" x14ac:dyDescent="0.3">
      <c r="B16" s="4">
        <v>45487</v>
      </c>
      <c r="C16" s="5">
        <v>45487</v>
      </c>
      <c r="D16" s="6">
        <v>45489</v>
      </c>
      <c r="E16" s="7"/>
      <c r="F16" s="18" t="s">
        <v>342</v>
      </c>
      <c r="G16" s="7">
        <v>65</v>
      </c>
      <c r="I16" s="7"/>
      <c r="K16" s="7"/>
      <c r="M16" s="7"/>
    </row>
    <row r="17" spans="1:13" ht="14.25" customHeight="1" x14ac:dyDescent="0.3">
      <c r="B17" s="4">
        <v>45488</v>
      </c>
      <c r="C17" s="5">
        <v>45488</v>
      </c>
      <c r="D17" s="6">
        <v>45489</v>
      </c>
      <c r="E17" s="7"/>
      <c r="F17" s="18" t="s">
        <v>345</v>
      </c>
      <c r="G17" s="7">
        <v>66</v>
      </c>
      <c r="I17" s="7"/>
      <c r="K17" s="7"/>
      <c r="M17" s="7"/>
    </row>
    <row r="18" spans="1:13" ht="14.25" customHeight="1" x14ac:dyDescent="0.3">
      <c r="B18" s="4">
        <v>45489</v>
      </c>
      <c r="C18" s="5">
        <v>45489</v>
      </c>
      <c r="D18" s="6">
        <v>45491</v>
      </c>
      <c r="E18" s="7"/>
      <c r="F18" s="18" t="s">
        <v>346</v>
      </c>
      <c r="G18" s="7">
        <v>125</v>
      </c>
      <c r="I18" s="7"/>
      <c r="K18" s="7"/>
      <c r="M18" s="7"/>
    </row>
    <row r="19" spans="1:13" ht="14.25" customHeight="1" x14ac:dyDescent="0.3">
      <c r="A19" s="8" t="s">
        <v>329</v>
      </c>
      <c r="B19" s="4">
        <v>45490</v>
      </c>
      <c r="C19" s="5">
        <v>45490</v>
      </c>
      <c r="D19" s="6">
        <v>45491</v>
      </c>
      <c r="E19" s="7"/>
      <c r="F19" s="18" t="s">
        <v>341</v>
      </c>
      <c r="G19" s="7">
        <v>150</v>
      </c>
      <c r="I19" s="7"/>
      <c r="K19" s="7"/>
      <c r="M19" s="7"/>
    </row>
    <row r="20" spans="1:13" ht="14.25" customHeight="1" x14ac:dyDescent="0.3">
      <c r="A20" s="10" t="s">
        <v>330</v>
      </c>
      <c r="B20" s="4">
        <v>45491</v>
      </c>
      <c r="C20" s="5">
        <v>45491</v>
      </c>
      <c r="D20" s="6">
        <v>45492</v>
      </c>
      <c r="E20" s="7"/>
      <c r="F20" s="18" t="s">
        <v>340</v>
      </c>
      <c r="G20" s="7">
        <v>75</v>
      </c>
      <c r="I20" s="7"/>
      <c r="K20" s="7"/>
      <c r="M20" s="7"/>
    </row>
    <row r="21" spans="1:13" ht="14.25" customHeight="1" x14ac:dyDescent="0.3">
      <c r="A21" s="9"/>
      <c r="B21" s="4">
        <v>45492</v>
      </c>
      <c r="C21" s="5">
        <v>45492</v>
      </c>
      <c r="D21" s="6">
        <v>45493</v>
      </c>
      <c r="E21" s="7"/>
      <c r="F21" s="18" t="s">
        <v>348</v>
      </c>
      <c r="G21" s="7">
        <v>135</v>
      </c>
      <c r="I21" s="7"/>
      <c r="K21" s="7"/>
      <c r="M21" s="7"/>
    </row>
    <row r="22" spans="1:13" ht="14.25" customHeight="1" x14ac:dyDescent="0.3">
      <c r="B22" s="4">
        <v>45493</v>
      </c>
      <c r="C22" s="5">
        <v>45493</v>
      </c>
      <c r="D22" s="6">
        <v>45495</v>
      </c>
      <c r="E22" s="7"/>
      <c r="F22" s="18" t="s">
        <v>383</v>
      </c>
      <c r="G22" s="7">
        <v>160</v>
      </c>
      <c r="I22" s="7"/>
      <c r="K22" s="7"/>
      <c r="M22" s="7"/>
    </row>
    <row r="23" spans="1:13" ht="14.25" customHeight="1" x14ac:dyDescent="0.3">
      <c r="B23" s="4">
        <v>45494</v>
      </c>
      <c r="C23" s="5">
        <v>45494</v>
      </c>
      <c r="D23" s="6">
        <v>45495</v>
      </c>
      <c r="E23" s="7"/>
      <c r="F23" s="18" t="s">
        <v>349</v>
      </c>
      <c r="G23" s="7">
        <v>65</v>
      </c>
      <c r="I23" s="7"/>
      <c r="K23" s="7"/>
      <c r="M23" s="7"/>
    </row>
    <row r="24" spans="1:13" ht="14.25" customHeight="1" x14ac:dyDescent="0.3">
      <c r="A24" t="s">
        <v>537</v>
      </c>
      <c r="B24" s="4">
        <v>45495</v>
      </c>
      <c r="C24" s="5">
        <v>45495</v>
      </c>
      <c r="D24" s="6">
        <v>45497</v>
      </c>
      <c r="E24" s="7"/>
      <c r="F24" s="18" t="s">
        <v>350</v>
      </c>
      <c r="G24" s="7">
        <v>125</v>
      </c>
      <c r="I24" s="7"/>
      <c r="K24" s="7"/>
      <c r="M24" s="7"/>
    </row>
    <row r="25" spans="1:13" ht="14.25" customHeight="1" x14ac:dyDescent="0.3">
      <c r="A25" t="s">
        <v>538</v>
      </c>
      <c r="B25" s="4">
        <v>45496</v>
      </c>
      <c r="C25" s="5">
        <v>45496</v>
      </c>
      <c r="D25" s="6">
        <v>45497</v>
      </c>
      <c r="E25" s="7"/>
      <c r="F25" s="18" t="s">
        <v>347</v>
      </c>
      <c r="G25" s="7">
        <v>66</v>
      </c>
      <c r="I25" s="7"/>
      <c r="K25" s="7"/>
      <c r="M25" s="7"/>
    </row>
    <row r="26" spans="1:13" ht="14.25" customHeight="1" x14ac:dyDescent="0.3">
      <c r="A26" s="1"/>
      <c r="B26" s="4">
        <v>45497</v>
      </c>
      <c r="C26" s="5">
        <v>45497</v>
      </c>
      <c r="D26" s="6">
        <v>45498</v>
      </c>
      <c r="E26" s="7"/>
      <c r="F26" s="18" t="s">
        <v>344</v>
      </c>
      <c r="G26" s="7">
        <v>75</v>
      </c>
      <c r="I26" s="7"/>
      <c r="K26" s="7"/>
      <c r="M26" s="7"/>
    </row>
    <row r="27" spans="1:13" ht="14.25" customHeight="1" x14ac:dyDescent="0.3">
      <c r="A27" s="1" t="s">
        <v>1045</v>
      </c>
      <c r="B27" s="4">
        <v>45498</v>
      </c>
      <c r="C27" s="5">
        <v>45498</v>
      </c>
      <c r="D27" s="6">
        <v>45499</v>
      </c>
      <c r="E27" s="7"/>
      <c r="F27" s="18" t="s">
        <v>377</v>
      </c>
      <c r="G27" s="7">
        <v>145</v>
      </c>
      <c r="I27" s="7"/>
      <c r="K27" s="7"/>
      <c r="M27" s="7"/>
    </row>
    <row r="28" spans="1:13" ht="14.25" customHeight="1" x14ac:dyDescent="0.3">
      <c r="A28" s="1" t="s">
        <v>1046</v>
      </c>
      <c r="B28" s="4">
        <v>45499</v>
      </c>
      <c r="C28" s="5">
        <v>45499</v>
      </c>
      <c r="D28" s="6">
        <v>45501</v>
      </c>
      <c r="E28" s="7"/>
      <c r="F28" s="18" t="s">
        <v>335</v>
      </c>
      <c r="G28" s="7">
        <v>65</v>
      </c>
      <c r="I28" s="7"/>
      <c r="K28" s="7"/>
      <c r="M28" s="7"/>
    </row>
    <row r="29" spans="1:13" ht="14.25" customHeight="1" x14ac:dyDescent="0.3">
      <c r="B29" s="4">
        <v>45500</v>
      </c>
      <c r="C29" s="5">
        <v>45500</v>
      </c>
      <c r="D29" s="6">
        <v>45501</v>
      </c>
      <c r="E29" s="7"/>
      <c r="F29" s="18" t="s">
        <v>339</v>
      </c>
      <c r="G29" s="7">
        <v>75</v>
      </c>
      <c r="I29" s="7"/>
      <c r="K29" s="7"/>
      <c r="M29" s="7"/>
    </row>
    <row r="30" spans="1:13" ht="14.25" customHeight="1" x14ac:dyDescent="0.3">
      <c r="B30" s="4">
        <v>45501</v>
      </c>
      <c r="C30" s="5">
        <v>45501</v>
      </c>
      <c r="D30" s="6">
        <v>45505</v>
      </c>
      <c r="E30" s="7"/>
      <c r="F30" s="18" t="s">
        <v>355</v>
      </c>
      <c r="G30" s="7">
        <v>85</v>
      </c>
      <c r="I30" s="7"/>
      <c r="K30" s="7"/>
      <c r="M30" s="7"/>
    </row>
    <row r="31" spans="1:13" ht="14.25" customHeight="1" x14ac:dyDescent="0.3">
      <c r="A31" t="s">
        <v>1115</v>
      </c>
      <c r="B31" s="4">
        <v>45502</v>
      </c>
      <c r="C31" s="5">
        <v>45502</v>
      </c>
      <c r="D31" s="6">
        <v>45505</v>
      </c>
      <c r="E31" s="7"/>
      <c r="F31" s="18" t="s">
        <v>389</v>
      </c>
      <c r="G31" s="7">
        <v>70</v>
      </c>
      <c r="I31" s="7"/>
      <c r="K31" s="7"/>
      <c r="M31" s="7"/>
    </row>
    <row r="32" spans="1:13" ht="14.25" customHeight="1" x14ac:dyDescent="0.3">
      <c r="A32" t="s">
        <v>1116</v>
      </c>
      <c r="B32" s="4">
        <v>45503</v>
      </c>
      <c r="C32" s="5">
        <v>45503</v>
      </c>
      <c r="D32" s="6">
        <v>45505</v>
      </c>
      <c r="E32" s="7"/>
      <c r="F32" s="18" t="s">
        <v>414</v>
      </c>
      <c r="G32" s="7">
        <v>80</v>
      </c>
      <c r="I32" s="7"/>
      <c r="K32" s="7"/>
      <c r="M32" s="7"/>
    </row>
    <row r="33" spans="2:13" ht="14.25" customHeight="1" x14ac:dyDescent="0.3">
      <c r="B33" s="4">
        <v>45504</v>
      </c>
      <c r="C33" s="5">
        <v>45504</v>
      </c>
      <c r="D33" s="6">
        <v>45505</v>
      </c>
      <c r="E33" s="7"/>
      <c r="F33" s="18" t="s">
        <v>450</v>
      </c>
      <c r="G33" s="7">
        <v>160</v>
      </c>
      <c r="I33" s="7"/>
      <c r="K33" s="7"/>
      <c r="M33" s="7"/>
    </row>
    <row r="34" spans="2:13" ht="14.25" customHeight="1" x14ac:dyDescent="0.3">
      <c r="B34" s="4">
        <v>45505</v>
      </c>
      <c r="C34" s="5">
        <v>45505</v>
      </c>
      <c r="D34" s="6">
        <v>45507</v>
      </c>
      <c r="E34" s="7"/>
      <c r="F34" s="18" t="s">
        <v>425</v>
      </c>
      <c r="G34" s="7">
        <v>165</v>
      </c>
      <c r="I34" s="7"/>
      <c r="K34" s="7"/>
      <c r="M34" s="7"/>
    </row>
    <row r="35" spans="2:13" ht="14.25" customHeight="1" x14ac:dyDescent="0.3">
      <c r="B35" s="4">
        <v>45506</v>
      </c>
      <c r="C35" s="5">
        <v>45506</v>
      </c>
      <c r="D35" s="6">
        <v>45507</v>
      </c>
      <c r="E35" s="7"/>
      <c r="F35" s="18" t="s">
        <v>447</v>
      </c>
      <c r="G35" s="7">
        <v>80</v>
      </c>
      <c r="I35" s="7"/>
      <c r="K35" s="7"/>
      <c r="M35" s="7"/>
    </row>
    <row r="36" spans="2:13" ht="14.25" customHeight="1" x14ac:dyDescent="0.3">
      <c r="B36" s="4">
        <v>45507</v>
      </c>
      <c r="C36" s="5">
        <v>45507</v>
      </c>
      <c r="D36" s="6">
        <v>45508</v>
      </c>
      <c r="E36" s="7"/>
      <c r="F36" s="34" t="s">
        <v>470</v>
      </c>
      <c r="G36" s="7">
        <v>70</v>
      </c>
      <c r="I36" s="7"/>
      <c r="K36" s="7"/>
      <c r="M36" s="7"/>
    </row>
    <row r="37" spans="2:13" ht="14.25" customHeight="1" x14ac:dyDescent="0.3">
      <c r="B37" s="4">
        <v>45508</v>
      </c>
      <c r="C37" s="5">
        <v>45508</v>
      </c>
      <c r="D37" s="6">
        <v>45509</v>
      </c>
      <c r="E37" s="7"/>
      <c r="F37" s="18" t="s">
        <v>494</v>
      </c>
      <c r="G37" s="7">
        <v>160</v>
      </c>
      <c r="I37" s="7"/>
      <c r="K37" s="7"/>
      <c r="M37" s="7"/>
    </row>
    <row r="38" spans="2:13" ht="14.25" customHeight="1" x14ac:dyDescent="0.3">
      <c r="B38" s="4">
        <v>45509</v>
      </c>
      <c r="C38" s="5">
        <v>45509</v>
      </c>
      <c r="D38" s="6">
        <v>45510</v>
      </c>
      <c r="E38" s="7"/>
      <c r="F38" s="18" t="s">
        <v>337</v>
      </c>
      <c r="G38" s="7">
        <v>170</v>
      </c>
      <c r="I38" s="7"/>
      <c r="K38" s="7"/>
      <c r="M38" s="7"/>
    </row>
    <row r="39" spans="2:13" ht="14.25" customHeight="1" x14ac:dyDescent="0.3">
      <c r="B39" s="4">
        <v>45510</v>
      </c>
      <c r="C39" s="5">
        <v>45510</v>
      </c>
      <c r="D39" s="6">
        <v>45512</v>
      </c>
      <c r="E39" s="7"/>
      <c r="F39" s="18" t="s">
        <v>504</v>
      </c>
      <c r="G39" s="7">
        <v>165</v>
      </c>
      <c r="I39" s="7"/>
      <c r="K39" s="7"/>
      <c r="M39" s="7"/>
    </row>
    <row r="40" spans="2:13" ht="14.25" customHeight="1" x14ac:dyDescent="0.3">
      <c r="B40" s="4">
        <v>45511</v>
      </c>
      <c r="C40" s="5">
        <v>45511</v>
      </c>
      <c r="D40" s="6">
        <v>45512</v>
      </c>
      <c r="E40" s="7"/>
      <c r="F40" s="18" t="s">
        <v>609</v>
      </c>
      <c r="G40" s="7">
        <v>150</v>
      </c>
      <c r="I40" s="7"/>
      <c r="K40" s="7"/>
      <c r="M40" s="7"/>
    </row>
    <row r="41" spans="2:13" ht="14.25" customHeight="1" x14ac:dyDescent="0.3">
      <c r="B41" s="4">
        <v>45512</v>
      </c>
      <c r="C41" s="5">
        <v>45512</v>
      </c>
      <c r="D41" s="6">
        <v>45513</v>
      </c>
      <c r="E41" s="7"/>
      <c r="F41" s="18" t="s">
        <v>578</v>
      </c>
      <c r="G41" s="7">
        <v>160</v>
      </c>
      <c r="I41" s="7"/>
      <c r="K41" s="7"/>
      <c r="M41" s="7"/>
    </row>
    <row r="42" spans="2:13" ht="14.25" customHeight="1" x14ac:dyDescent="0.3">
      <c r="B42" s="4">
        <v>45513</v>
      </c>
      <c r="C42" s="5">
        <v>45513</v>
      </c>
      <c r="D42" s="6">
        <v>45515</v>
      </c>
      <c r="E42" s="7"/>
      <c r="F42" s="18" t="s">
        <v>533</v>
      </c>
      <c r="G42" s="7">
        <v>185</v>
      </c>
      <c r="I42" s="7"/>
      <c r="K42" s="7"/>
      <c r="M42" s="7"/>
    </row>
    <row r="43" spans="2:13" ht="14.25" customHeight="1" x14ac:dyDescent="0.3">
      <c r="B43" s="4">
        <v>45514</v>
      </c>
      <c r="C43" s="5">
        <v>45514</v>
      </c>
      <c r="D43" s="6">
        <v>45515</v>
      </c>
      <c r="E43" s="7"/>
      <c r="F43" s="18" t="s">
        <v>624</v>
      </c>
      <c r="G43" s="7">
        <v>170</v>
      </c>
      <c r="I43" s="7"/>
      <c r="K43" s="7"/>
      <c r="M43" s="7"/>
    </row>
    <row r="44" spans="2:13" ht="14.25" customHeight="1" x14ac:dyDescent="0.3">
      <c r="B44" s="4">
        <v>45515</v>
      </c>
      <c r="C44" s="5">
        <v>45515</v>
      </c>
      <c r="D44" s="6">
        <v>45516</v>
      </c>
      <c r="E44" s="7"/>
      <c r="F44" s="18" t="s">
        <v>635</v>
      </c>
      <c r="G44" s="7">
        <v>160</v>
      </c>
      <c r="I44" s="7"/>
      <c r="K44" s="7"/>
      <c r="M44" s="7"/>
    </row>
    <row r="45" spans="2:13" ht="14.25" customHeight="1" x14ac:dyDescent="0.3">
      <c r="B45" s="4">
        <v>45516</v>
      </c>
      <c r="C45" s="5">
        <v>45516</v>
      </c>
      <c r="D45" s="6">
        <v>45518</v>
      </c>
      <c r="E45" s="7"/>
      <c r="F45" s="18" t="s">
        <v>456</v>
      </c>
      <c r="G45" s="7">
        <v>70</v>
      </c>
      <c r="I45" s="7"/>
      <c r="K45" s="7"/>
      <c r="M45" s="7"/>
    </row>
    <row r="46" spans="2:13" ht="14.25" customHeight="1" x14ac:dyDescent="0.3">
      <c r="B46" s="4">
        <v>45517</v>
      </c>
      <c r="C46" s="5">
        <v>45517</v>
      </c>
      <c r="D46" s="6">
        <v>45518</v>
      </c>
      <c r="E46" s="7"/>
      <c r="F46" s="18" t="s">
        <v>641</v>
      </c>
      <c r="G46" s="7">
        <v>105</v>
      </c>
      <c r="I46" s="7"/>
      <c r="K46" s="7"/>
      <c r="M46" s="7"/>
    </row>
    <row r="47" spans="2:13" ht="14.25" customHeight="1" x14ac:dyDescent="0.3">
      <c r="B47" s="4">
        <v>45518</v>
      </c>
      <c r="C47" s="5">
        <v>45518</v>
      </c>
      <c r="D47" s="6">
        <v>45520</v>
      </c>
      <c r="E47" s="7"/>
      <c r="G47" s="7"/>
      <c r="I47" s="7"/>
      <c r="K47" s="7"/>
      <c r="M47" s="7"/>
    </row>
    <row r="48" spans="2:13" ht="14.25" customHeight="1" x14ac:dyDescent="0.3">
      <c r="B48" s="4">
        <v>45519</v>
      </c>
      <c r="C48" s="5">
        <v>45519</v>
      </c>
      <c r="D48" s="6">
        <v>45520</v>
      </c>
      <c r="E48" s="7"/>
      <c r="G48" s="7"/>
      <c r="I48" s="7"/>
      <c r="K48" s="7"/>
      <c r="M48" s="7"/>
    </row>
    <row r="49" spans="2:13" ht="14.25" customHeight="1" x14ac:dyDescent="0.3">
      <c r="B49" s="4">
        <v>45520</v>
      </c>
      <c r="C49" s="5">
        <v>45520</v>
      </c>
      <c r="D49" s="6">
        <v>45522</v>
      </c>
      <c r="E49" s="7"/>
      <c r="G49" s="7"/>
      <c r="I49" s="7"/>
      <c r="K49" s="7"/>
      <c r="M49" s="7"/>
    </row>
    <row r="50" spans="2:13" ht="14.25" customHeight="1" x14ac:dyDescent="0.3">
      <c r="B50" s="4">
        <v>45521</v>
      </c>
      <c r="C50" s="5">
        <v>45521</v>
      </c>
      <c r="D50" s="6">
        <v>45522</v>
      </c>
      <c r="E50" s="7"/>
      <c r="G50" s="7"/>
      <c r="I50" s="7"/>
      <c r="K50" s="7"/>
      <c r="M50" s="7"/>
    </row>
    <row r="51" spans="2:13" ht="14.25" customHeight="1" x14ac:dyDescent="0.3">
      <c r="B51" s="4">
        <v>45522</v>
      </c>
      <c r="C51" s="5">
        <v>45522</v>
      </c>
      <c r="D51" s="6">
        <v>45523</v>
      </c>
      <c r="E51" s="7"/>
      <c r="G51" s="7"/>
      <c r="I51" s="7"/>
      <c r="K51" s="7"/>
      <c r="M51" s="7"/>
    </row>
    <row r="52" spans="2:13" ht="14.25" customHeight="1" x14ac:dyDescent="0.3">
      <c r="B52" s="4">
        <v>45523</v>
      </c>
      <c r="C52" s="5">
        <v>45523</v>
      </c>
      <c r="D52" s="6">
        <v>45524</v>
      </c>
      <c r="E52" s="7"/>
      <c r="G52" s="7"/>
      <c r="I52" s="7"/>
      <c r="K52" s="7"/>
      <c r="M52" s="7"/>
    </row>
    <row r="53" spans="2:13" ht="14.25" customHeight="1" x14ac:dyDescent="0.3">
      <c r="B53" s="4">
        <v>45524</v>
      </c>
      <c r="C53" s="5">
        <v>45524</v>
      </c>
      <c r="D53" s="6">
        <v>45526</v>
      </c>
      <c r="E53" s="7"/>
      <c r="G53" s="7"/>
      <c r="I53" s="7"/>
      <c r="K53" s="7"/>
      <c r="M53" s="7"/>
    </row>
    <row r="54" spans="2:13" ht="14.25" customHeight="1" x14ac:dyDescent="0.3">
      <c r="B54" s="4">
        <v>45525</v>
      </c>
      <c r="C54" s="5">
        <v>45525</v>
      </c>
      <c r="D54" s="6">
        <v>45526</v>
      </c>
      <c r="E54" s="7"/>
      <c r="G54" s="7"/>
      <c r="I54" s="7"/>
      <c r="K54" s="7"/>
      <c r="M54" s="7"/>
    </row>
    <row r="55" spans="2:13" ht="14.25" customHeight="1" x14ac:dyDescent="0.3">
      <c r="B55" s="4">
        <v>45526</v>
      </c>
      <c r="C55" s="5">
        <v>45526</v>
      </c>
      <c r="D55" s="6">
        <v>45528</v>
      </c>
      <c r="E55" s="7"/>
      <c r="G55" s="7"/>
      <c r="I55" s="7"/>
      <c r="K55" s="7"/>
      <c r="M55" s="7"/>
    </row>
    <row r="56" spans="2:13" ht="14.25" customHeight="1" x14ac:dyDescent="0.3">
      <c r="B56" s="4">
        <v>45527</v>
      </c>
      <c r="C56" s="5">
        <v>45527</v>
      </c>
      <c r="D56" s="6">
        <v>45528</v>
      </c>
      <c r="E56" s="7"/>
      <c r="G56" s="7"/>
      <c r="I56" s="7"/>
      <c r="K56" s="7"/>
      <c r="M56" s="7"/>
    </row>
    <row r="57" spans="2:13" ht="14.25" customHeight="1" x14ac:dyDescent="0.3">
      <c r="B57" s="4">
        <v>45528</v>
      </c>
      <c r="C57" s="5">
        <v>45528</v>
      </c>
      <c r="D57" s="6">
        <v>45529</v>
      </c>
      <c r="E57" s="7"/>
      <c r="G57" s="7"/>
      <c r="I57" s="7"/>
      <c r="K57" s="7"/>
      <c r="M57" s="7"/>
    </row>
    <row r="58" spans="2:13" ht="14.25" customHeight="1" x14ac:dyDescent="0.3">
      <c r="B58" s="4">
        <v>45529</v>
      </c>
      <c r="C58" s="5">
        <v>45529</v>
      </c>
      <c r="D58" s="6">
        <v>45530</v>
      </c>
      <c r="E58" s="7"/>
      <c r="G58" s="7"/>
      <c r="I58" s="7"/>
      <c r="K58" s="7"/>
      <c r="M58" s="7"/>
    </row>
    <row r="59" spans="2:13" ht="14.25" customHeight="1" x14ac:dyDescent="0.3">
      <c r="B59" s="4">
        <v>45530</v>
      </c>
      <c r="C59" s="5">
        <v>45530</v>
      </c>
      <c r="D59" s="6">
        <v>45532</v>
      </c>
      <c r="E59" s="7"/>
      <c r="G59" s="7"/>
      <c r="I59" s="7"/>
      <c r="K59" s="7"/>
      <c r="M59" s="7"/>
    </row>
    <row r="60" spans="2:13" ht="14.25" customHeight="1" x14ac:dyDescent="0.3">
      <c r="B60" s="4">
        <v>45531</v>
      </c>
      <c r="C60" s="5">
        <v>45531</v>
      </c>
      <c r="D60" s="6">
        <v>45532</v>
      </c>
      <c r="E60" s="7"/>
      <c r="G60" s="7"/>
      <c r="I60" s="7"/>
      <c r="K60" s="7"/>
      <c r="M60" s="7"/>
    </row>
    <row r="61" spans="2:13" ht="14.25" customHeight="1" x14ac:dyDescent="0.3">
      <c r="B61" s="4">
        <v>45532</v>
      </c>
      <c r="C61" s="5">
        <v>45532</v>
      </c>
      <c r="D61" s="6">
        <v>45536</v>
      </c>
      <c r="E61" s="7"/>
      <c r="G61" s="7"/>
      <c r="I61" s="7"/>
      <c r="K61" s="7"/>
      <c r="M61" s="7"/>
    </row>
    <row r="62" spans="2:13" ht="14.25" customHeight="1" x14ac:dyDescent="0.3">
      <c r="B62" s="4">
        <v>45533</v>
      </c>
      <c r="C62" s="5">
        <v>45533</v>
      </c>
      <c r="D62" s="6">
        <v>45536</v>
      </c>
      <c r="E62" s="7"/>
      <c r="G62" s="7"/>
      <c r="I62" s="7"/>
      <c r="K62" s="7"/>
      <c r="M62" s="7"/>
    </row>
    <row r="63" spans="2:13" ht="14.25" customHeight="1" x14ac:dyDescent="0.3">
      <c r="B63" s="4">
        <v>45534</v>
      </c>
      <c r="C63" s="5">
        <v>45534</v>
      </c>
      <c r="D63" s="6">
        <v>45536</v>
      </c>
      <c r="E63" s="7"/>
      <c r="G63" s="7"/>
      <c r="I63" s="7"/>
      <c r="K63" s="7"/>
      <c r="M63" s="7"/>
    </row>
    <row r="64" spans="2:13" ht="14.25" customHeight="1" x14ac:dyDescent="0.3">
      <c r="B64" s="4">
        <v>45535</v>
      </c>
      <c r="C64" s="5">
        <v>45535</v>
      </c>
      <c r="D64" s="6">
        <v>45536</v>
      </c>
      <c r="E64" s="7"/>
      <c r="G64" s="7"/>
      <c r="I64" s="7"/>
      <c r="K64" s="7"/>
      <c r="M64" s="7"/>
    </row>
    <row r="65" spans="2:13" ht="14.25" customHeight="1" x14ac:dyDescent="0.3">
      <c r="B65" s="4">
        <v>45536</v>
      </c>
      <c r="C65" s="5">
        <v>45536</v>
      </c>
      <c r="D65" s="6">
        <v>45538</v>
      </c>
      <c r="E65" s="7"/>
      <c r="G65" s="7"/>
      <c r="I65" s="7"/>
      <c r="K65" s="7"/>
      <c r="M65" s="7"/>
    </row>
    <row r="66" spans="2:13" ht="14.25" customHeight="1" x14ac:dyDescent="0.3">
      <c r="B66" s="4">
        <v>45537</v>
      </c>
      <c r="C66" s="5">
        <v>45537</v>
      </c>
      <c r="D66" s="6">
        <v>45538</v>
      </c>
      <c r="E66" s="7"/>
      <c r="G66" s="7"/>
      <c r="I66" s="7"/>
      <c r="K66" s="7"/>
      <c r="M66" s="7"/>
    </row>
    <row r="67" spans="2:13" ht="14.25" customHeight="1" x14ac:dyDescent="0.3">
      <c r="B67" s="4">
        <v>45538</v>
      </c>
      <c r="C67" s="5">
        <v>45538</v>
      </c>
      <c r="D67" s="6">
        <v>45539</v>
      </c>
      <c r="E67" s="7"/>
      <c r="G67" s="7"/>
      <c r="I67" s="7"/>
      <c r="K67" s="7"/>
      <c r="M67" s="7"/>
    </row>
    <row r="68" spans="2:13" ht="14.25" customHeight="1" x14ac:dyDescent="0.3">
      <c r="B68" s="4">
        <v>45539</v>
      </c>
      <c r="C68" s="5">
        <v>45539</v>
      </c>
      <c r="D68" s="6">
        <v>45540</v>
      </c>
      <c r="E68" s="7"/>
      <c r="G68" s="7"/>
      <c r="I68" s="7"/>
      <c r="K68" s="7"/>
      <c r="M68" s="7"/>
    </row>
    <row r="69" spans="2:13" ht="14.25" customHeight="1" x14ac:dyDescent="0.3">
      <c r="B69" s="4">
        <v>45540</v>
      </c>
      <c r="C69" s="5">
        <v>45540</v>
      </c>
      <c r="D69" s="6">
        <v>45541</v>
      </c>
      <c r="E69" s="7"/>
      <c r="G69" s="7"/>
      <c r="I69" s="7"/>
      <c r="K69" s="7"/>
      <c r="M69" s="7"/>
    </row>
    <row r="70" spans="2:13" ht="14.25" customHeight="1" x14ac:dyDescent="0.3">
      <c r="B70" s="4">
        <v>45541</v>
      </c>
      <c r="C70" s="5">
        <v>45541</v>
      </c>
      <c r="D70" s="6">
        <v>45543</v>
      </c>
      <c r="E70" s="7"/>
      <c r="G70" s="7"/>
      <c r="I70" s="7"/>
      <c r="K70" s="7"/>
      <c r="M70" s="7"/>
    </row>
    <row r="71" spans="2:13" ht="14.25" customHeight="1" x14ac:dyDescent="0.3">
      <c r="B71" s="4">
        <v>45542</v>
      </c>
      <c r="C71" s="5">
        <v>45542</v>
      </c>
      <c r="D71" s="6">
        <v>45543</v>
      </c>
      <c r="E71" s="7"/>
      <c r="G71" s="7"/>
      <c r="I71" s="7"/>
      <c r="K71" s="7"/>
      <c r="M71" s="7"/>
    </row>
    <row r="72" spans="2:13" ht="14.25" customHeight="1" x14ac:dyDescent="0.3">
      <c r="B72" s="4">
        <v>45543</v>
      </c>
      <c r="C72" s="5">
        <v>45543</v>
      </c>
      <c r="D72" s="6">
        <v>45544</v>
      </c>
      <c r="E72" s="7"/>
      <c r="G72" s="7"/>
      <c r="I72" s="7"/>
      <c r="K72" s="7"/>
      <c r="M72" s="7"/>
    </row>
    <row r="73" spans="2:13" ht="14.25" customHeight="1" x14ac:dyDescent="0.3">
      <c r="B73" s="4">
        <v>45544</v>
      </c>
      <c r="C73" s="5">
        <v>45544</v>
      </c>
      <c r="D73" s="6">
        <v>45546</v>
      </c>
      <c r="E73" s="7"/>
      <c r="G73" s="7"/>
      <c r="I73" s="7"/>
      <c r="K73" s="7"/>
      <c r="M73" s="7"/>
    </row>
    <row r="74" spans="2:13" ht="14.25" customHeight="1" x14ac:dyDescent="0.3">
      <c r="B74" s="4">
        <v>45545</v>
      </c>
      <c r="C74" s="5">
        <v>45545</v>
      </c>
      <c r="D74" s="6">
        <v>45546</v>
      </c>
      <c r="E74" s="7"/>
      <c r="G74" s="7"/>
      <c r="I74" s="7"/>
      <c r="K74" s="7"/>
      <c r="M74" s="7"/>
    </row>
    <row r="75" spans="2:13" ht="14.25" customHeight="1" x14ac:dyDescent="0.3">
      <c r="B75" s="4">
        <v>45546</v>
      </c>
      <c r="C75" s="5">
        <v>45546</v>
      </c>
      <c r="D75" s="6">
        <v>45547</v>
      </c>
      <c r="E75" s="7"/>
      <c r="G75" s="7"/>
      <c r="I75" s="7"/>
      <c r="K75" s="7"/>
      <c r="M75" s="7"/>
    </row>
    <row r="76" spans="2:13" ht="14.25" customHeight="1" x14ac:dyDescent="0.3">
      <c r="B76" s="4">
        <v>45547</v>
      </c>
      <c r="C76" s="5">
        <v>45547</v>
      </c>
      <c r="D76" s="6">
        <v>45549</v>
      </c>
      <c r="E76" s="7"/>
      <c r="G76" s="7"/>
      <c r="I76" s="7"/>
      <c r="K76" s="7"/>
      <c r="M76" s="7"/>
    </row>
    <row r="77" spans="2:13" ht="14.25" customHeight="1" x14ac:dyDescent="0.3">
      <c r="B77" s="4">
        <v>45548</v>
      </c>
      <c r="C77" s="5">
        <v>45548</v>
      </c>
      <c r="D77" s="6">
        <v>45549</v>
      </c>
      <c r="E77" s="7"/>
      <c r="G77" s="7"/>
      <c r="I77" s="7"/>
      <c r="K77" s="7"/>
      <c r="M77" s="7"/>
    </row>
    <row r="78" spans="2:13" ht="14.25" customHeight="1" x14ac:dyDescent="0.3">
      <c r="B78" s="4">
        <v>45549</v>
      </c>
      <c r="C78" s="5">
        <v>45549</v>
      </c>
      <c r="D78" s="6">
        <v>45551</v>
      </c>
      <c r="E78" s="7"/>
      <c r="G78" s="7"/>
      <c r="I78" s="7"/>
      <c r="K78" s="7"/>
      <c r="M78" s="7"/>
    </row>
    <row r="79" spans="2:13" ht="14.25" customHeight="1" x14ac:dyDescent="0.3">
      <c r="B79" s="4">
        <v>45550</v>
      </c>
      <c r="C79" s="5">
        <v>45550</v>
      </c>
      <c r="D79" s="6">
        <v>45551</v>
      </c>
      <c r="E79" s="7"/>
      <c r="G79" s="7"/>
      <c r="I79" s="7"/>
      <c r="K79" s="7"/>
      <c r="M79" s="7"/>
    </row>
    <row r="80" spans="2:13" ht="14.25" customHeight="1" x14ac:dyDescent="0.3">
      <c r="B80" s="4">
        <v>45551</v>
      </c>
      <c r="C80" s="5">
        <v>45551</v>
      </c>
      <c r="D80" s="6">
        <v>45553</v>
      </c>
      <c r="E80" s="7"/>
      <c r="G80" s="7"/>
      <c r="I80" s="7"/>
      <c r="K80" s="7"/>
      <c r="M80" s="7"/>
    </row>
    <row r="81" spans="2:13" ht="14.25" customHeight="1" x14ac:dyDescent="0.3">
      <c r="B81" s="4">
        <v>45552</v>
      </c>
      <c r="C81" s="5">
        <v>45552</v>
      </c>
      <c r="D81" s="6">
        <v>45553</v>
      </c>
      <c r="E81" s="7"/>
      <c r="G81" s="7"/>
      <c r="I81" s="7"/>
      <c r="K81" s="7"/>
      <c r="M81" s="7"/>
    </row>
    <row r="82" spans="2:13" ht="14.25" customHeight="1" x14ac:dyDescent="0.3">
      <c r="B82" s="4">
        <v>45553</v>
      </c>
      <c r="C82" s="5">
        <v>45553</v>
      </c>
      <c r="D82" s="6">
        <v>45554</v>
      </c>
      <c r="E82" s="7"/>
      <c r="G82" s="7"/>
      <c r="I82" s="7"/>
      <c r="K82" s="7"/>
      <c r="M82" s="7"/>
    </row>
    <row r="83" spans="2:13" ht="14.25" customHeight="1" x14ac:dyDescent="0.3">
      <c r="B83" s="4">
        <v>45554</v>
      </c>
      <c r="C83" s="5">
        <v>45554</v>
      </c>
      <c r="D83" s="6">
        <v>45555</v>
      </c>
      <c r="E83" s="7"/>
      <c r="G83" s="7"/>
      <c r="I83" s="7"/>
      <c r="K83" s="7"/>
      <c r="M83" s="7"/>
    </row>
    <row r="84" spans="2:13" ht="14.25" customHeight="1" x14ac:dyDescent="0.3">
      <c r="B84" s="4">
        <v>45555</v>
      </c>
      <c r="C84" s="5">
        <v>45555</v>
      </c>
      <c r="D84" s="6">
        <v>45557</v>
      </c>
      <c r="E84" s="7"/>
      <c r="G84" s="7"/>
      <c r="I84" s="7"/>
      <c r="K84" s="7"/>
      <c r="M84" s="7"/>
    </row>
    <row r="85" spans="2:13" ht="14.25" customHeight="1" x14ac:dyDescent="0.3">
      <c r="B85" s="4">
        <v>45556</v>
      </c>
      <c r="C85" s="5">
        <v>45556</v>
      </c>
      <c r="D85" s="6">
        <v>45557</v>
      </c>
      <c r="E85" s="7"/>
      <c r="G85" s="7"/>
      <c r="I85" s="7"/>
      <c r="K85" s="7"/>
      <c r="M85" s="7"/>
    </row>
    <row r="86" spans="2:13" ht="14.25" customHeight="1" x14ac:dyDescent="0.3">
      <c r="B86" s="4">
        <v>45557</v>
      </c>
      <c r="C86" s="5">
        <v>45557</v>
      </c>
      <c r="D86" s="6">
        <v>45559</v>
      </c>
      <c r="E86" s="7"/>
      <c r="G86" s="7"/>
      <c r="I86" s="7"/>
      <c r="K86" s="7"/>
      <c r="M86" s="7"/>
    </row>
    <row r="87" spans="2:13" ht="14.25" customHeight="1" x14ac:dyDescent="0.3">
      <c r="B87" s="4">
        <v>45558</v>
      </c>
      <c r="C87" s="5">
        <v>45558</v>
      </c>
      <c r="D87" s="6">
        <v>45559</v>
      </c>
      <c r="E87" s="7"/>
      <c r="G87" s="7"/>
      <c r="I87" s="7"/>
      <c r="K87" s="7"/>
      <c r="M87" s="7"/>
    </row>
    <row r="88" spans="2:13" ht="14.25" customHeight="1" x14ac:dyDescent="0.3">
      <c r="B88" s="4">
        <v>45559</v>
      </c>
      <c r="C88" s="5">
        <v>45559</v>
      </c>
      <c r="D88" s="6">
        <v>45560</v>
      </c>
      <c r="E88" s="7"/>
      <c r="G88" s="7"/>
      <c r="I88" s="7"/>
      <c r="K88" s="7"/>
      <c r="M88" s="7"/>
    </row>
    <row r="89" spans="2:13" ht="14.25" customHeight="1" x14ac:dyDescent="0.3">
      <c r="B89" s="4">
        <v>45560</v>
      </c>
      <c r="C89" s="5">
        <v>45560</v>
      </c>
      <c r="D89" s="6">
        <v>45561</v>
      </c>
      <c r="E89" s="7"/>
      <c r="G89" s="7"/>
      <c r="I89" s="7"/>
      <c r="K89" s="7"/>
      <c r="M89" s="7"/>
    </row>
    <row r="90" spans="2:13" ht="14.25" customHeight="1" x14ac:dyDescent="0.3">
      <c r="B90" s="4">
        <v>45561</v>
      </c>
      <c r="C90" s="5">
        <v>45561</v>
      </c>
      <c r="D90" s="6">
        <v>45563</v>
      </c>
      <c r="E90" s="7"/>
      <c r="G90" s="7"/>
      <c r="I90" s="7"/>
      <c r="K90" s="7"/>
      <c r="M90" s="7"/>
    </row>
    <row r="91" spans="2:13" ht="14.25" customHeight="1" x14ac:dyDescent="0.3">
      <c r="B91" s="4">
        <v>45562</v>
      </c>
      <c r="C91" s="5">
        <v>45562</v>
      </c>
      <c r="D91" s="6">
        <v>45563</v>
      </c>
      <c r="E91" s="7"/>
      <c r="G91" s="7"/>
      <c r="I91" s="7"/>
      <c r="K91" s="7"/>
      <c r="M91" s="7"/>
    </row>
    <row r="92" spans="2:13" ht="14.25" customHeight="1" x14ac:dyDescent="0.3">
      <c r="B92" s="4">
        <v>45563</v>
      </c>
      <c r="C92" s="5">
        <v>45563</v>
      </c>
      <c r="D92" s="6">
        <v>45566</v>
      </c>
      <c r="E92" s="7"/>
      <c r="G92" s="7"/>
      <c r="I92" s="7"/>
      <c r="K92" s="7"/>
      <c r="M92" s="7"/>
    </row>
    <row r="93" spans="2:13" ht="14.25" customHeight="1" x14ac:dyDescent="0.3">
      <c r="B93" s="4">
        <v>45564</v>
      </c>
      <c r="C93" s="5">
        <v>45564</v>
      </c>
      <c r="D93" s="6">
        <v>45566</v>
      </c>
      <c r="E93" s="7"/>
      <c r="G93" s="7"/>
      <c r="I93" s="7"/>
      <c r="K93" s="7"/>
      <c r="M93" s="7"/>
    </row>
    <row r="94" spans="2:13" ht="14.25" customHeight="1" x14ac:dyDescent="0.3">
      <c r="B94" s="4">
        <v>45565</v>
      </c>
      <c r="C94" s="5">
        <v>45565</v>
      </c>
      <c r="D94" s="6">
        <v>45566</v>
      </c>
      <c r="E94" s="7"/>
      <c r="G94" s="7"/>
      <c r="I94" s="7"/>
      <c r="K94" s="7"/>
      <c r="M94" s="7"/>
    </row>
    <row r="95" spans="2:13" ht="14.25" customHeight="1" x14ac:dyDescent="0.3">
      <c r="B95" s="4">
        <v>45566</v>
      </c>
      <c r="C95" s="5">
        <v>45566</v>
      </c>
      <c r="D95" s="6">
        <v>45568</v>
      </c>
      <c r="E95" s="7"/>
      <c r="G95" s="7"/>
      <c r="I95" s="7"/>
      <c r="K95" s="7"/>
      <c r="M95" s="7"/>
    </row>
    <row r="96" spans="2:13" ht="14.25" customHeight="1" x14ac:dyDescent="0.3">
      <c r="B96" s="4">
        <v>45567</v>
      </c>
      <c r="C96" s="5">
        <v>45567</v>
      </c>
      <c r="D96" s="6">
        <v>45568</v>
      </c>
      <c r="E96" s="7"/>
      <c r="G96" s="7"/>
      <c r="I96" s="7"/>
      <c r="K96" s="7"/>
      <c r="M96" s="7"/>
    </row>
    <row r="97" spans="2:13" ht="14.25" customHeight="1" x14ac:dyDescent="0.3">
      <c r="B97" s="4">
        <v>45568</v>
      </c>
      <c r="C97" s="5">
        <v>45568</v>
      </c>
      <c r="D97" s="6">
        <v>45569</v>
      </c>
      <c r="E97" s="7"/>
      <c r="G97" s="7"/>
      <c r="I97" s="7"/>
      <c r="K97" s="7"/>
      <c r="M97" s="7"/>
    </row>
    <row r="98" spans="2:13" ht="14.25" customHeight="1" x14ac:dyDescent="0.3">
      <c r="B98" s="4">
        <v>45569</v>
      </c>
      <c r="C98" s="5">
        <v>45569</v>
      </c>
      <c r="D98" s="6">
        <v>45570</v>
      </c>
      <c r="E98" s="7"/>
      <c r="G98" s="7"/>
      <c r="I98" s="7"/>
      <c r="K98" s="7"/>
      <c r="M98" s="7"/>
    </row>
    <row r="99" spans="2:13" ht="14.25" customHeight="1" x14ac:dyDescent="0.3">
      <c r="B99" s="4">
        <v>45570</v>
      </c>
      <c r="C99" s="5">
        <v>45570</v>
      </c>
      <c r="D99" s="6">
        <v>45571</v>
      </c>
      <c r="E99" s="7"/>
      <c r="G99" s="7"/>
      <c r="I99" s="7"/>
      <c r="K99" s="7"/>
      <c r="M99" s="7"/>
    </row>
    <row r="100" spans="2:13" ht="14.25" customHeight="1" x14ac:dyDescent="0.3">
      <c r="B100" s="4">
        <v>45571</v>
      </c>
      <c r="C100" s="5">
        <v>45571</v>
      </c>
      <c r="D100" s="6">
        <v>45573</v>
      </c>
      <c r="E100" s="7"/>
      <c r="G100" s="7"/>
      <c r="I100" s="7"/>
      <c r="K100" s="7"/>
      <c r="M100" s="7"/>
    </row>
    <row r="101" spans="2:13" ht="14.25" customHeight="1" x14ac:dyDescent="0.3">
      <c r="B101" s="4">
        <v>45572</v>
      </c>
      <c r="C101" s="5">
        <v>45572</v>
      </c>
      <c r="D101" s="6">
        <v>45573</v>
      </c>
      <c r="E101" s="7"/>
      <c r="G101" s="7"/>
      <c r="I101" s="7"/>
      <c r="K101" s="7"/>
      <c r="M101" s="7"/>
    </row>
    <row r="102" spans="2:13" ht="14.25" customHeight="1" x14ac:dyDescent="0.3">
      <c r="B102" s="4">
        <v>45573</v>
      </c>
      <c r="C102" s="5">
        <v>45573</v>
      </c>
      <c r="D102" s="6">
        <v>45574</v>
      </c>
      <c r="E102" s="7"/>
      <c r="G102" s="7"/>
      <c r="I102" s="7"/>
      <c r="K102" s="7"/>
      <c r="M102" s="7"/>
    </row>
    <row r="103" spans="2:13" ht="14.25" customHeight="1" x14ac:dyDescent="0.3">
      <c r="B103" s="4">
        <v>45574</v>
      </c>
      <c r="C103" s="5">
        <v>45574</v>
      </c>
      <c r="D103" s="6">
        <v>45576</v>
      </c>
      <c r="E103" s="7"/>
      <c r="G103" s="7"/>
      <c r="I103" s="7"/>
      <c r="K103" s="7"/>
      <c r="M103" s="7"/>
    </row>
    <row r="104" spans="2:13" ht="14.25" customHeight="1" x14ac:dyDescent="0.3">
      <c r="B104" s="4">
        <v>45575</v>
      </c>
      <c r="C104" s="5">
        <v>45575</v>
      </c>
      <c r="D104" s="6">
        <v>45576</v>
      </c>
      <c r="E104" s="7"/>
      <c r="G104" s="7"/>
      <c r="I104" s="7"/>
      <c r="K104" s="7"/>
      <c r="M104" s="7"/>
    </row>
    <row r="105" spans="2:13" ht="14.25" customHeight="1" x14ac:dyDescent="0.3">
      <c r="B105" s="4">
        <v>45576</v>
      </c>
      <c r="C105" s="5">
        <v>45576</v>
      </c>
      <c r="D105" s="6">
        <v>45577</v>
      </c>
      <c r="E105" s="7"/>
      <c r="G105" s="7"/>
      <c r="I105" s="7"/>
      <c r="K105" s="7"/>
      <c r="M105" s="7"/>
    </row>
    <row r="106" spans="2:13" ht="14.25" customHeight="1" x14ac:dyDescent="0.3">
      <c r="B106" s="4">
        <v>45577</v>
      </c>
      <c r="C106" s="5">
        <v>45577</v>
      </c>
      <c r="D106" s="6">
        <v>45579</v>
      </c>
      <c r="E106" s="7"/>
      <c r="G106" s="7"/>
      <c r="I106" s="7"/>
      <c r="K106" s="7"/>
      <c r="M106" s="7"/>
    </row>
    <row r="107" spans="2:13" ht="14.25" customHeight="1" x14ac:dyDescent="0.3">
      <c r="B107" s="4">
        <v>45578</v>
      </c>
      <c r="C107" s="5">
        <v>45578</v>
      </c>
      <c r="D107" s="6">
        <v>45579</v>
      </c>
      <c r="E107" s="7"/>
      <c r="G107" s="7"/>
      <c r="I107" s="7"/>
      <c r="K107" s="7"/>
      <c r="M107" s="7"/>
    </row>
    <row r="108" spans="2:13" ht="14.25" customHeight="1" x14ac:dyDescent="0.3">
      <c r="B108" s="4">
        <v>45579</v>
      </c>
      <c r="C108" s="5">
        <v>45579</v>
      </c>
      <c r="D108" s="6">
        <v>45581</v>
      </c>
      <c r="E108" s="7"/>
      <c r="G108" s="7"/>
      <c r="I108" s="7"/>
      <c r="K108" s="7"/>
      <c r="M108" s="7"/>
    </row>
    <row r="109" spans="2:13" ht="14.25" customHeight="1" x14ac:dyDescent="0.3">
      <c r="B109" s="4">
        <v>45580</v>
      </c>
      <c r="C109" s="5">
        <v>45580</v>
      </c>
      <c r="D109" s="6">
        <v>45581</v>
      </c>
      <c r="E109" s="7"/>
      <c r="G109" s="7"/>
      <c r="I109" s="7"/>
      <c r="K109" s="7"/>
      <c r="M109" s="7"/>
    </row>
    <row r="110" spans="2:13" ht="14.25" customHeight="1" x14ac:dyDescent="0.3">
      <c r="B110" s="4">
        <v>45581</v>
      </c>
      <c r="C110" s="5">
        <v>45581</v>
      </c>
      <c r="D110" s="6">
        <v>45583</v>
      </c>
      <c r="E110" s="7"/>
      <c r="G110" s="7"/>
      <c r="I110" s="7"/>
      <c r="K110" s="7"/>
      <c r="M110" s="7"/>
    </row>
    <row r="111" spans="2:13" ht="14.25" customHeight="1" x14ac:dyDescent="0.3">
      <c r="B111" s="4">
        <v>45582</v>
      </c>
      <c r="C111" s="5">
        <v>45582</v>
      </c>
      <c r="D111" s="6">
        <v>45583</v>
      </c>
      <c r="E111" s="7"/>
      <c r="G111" s="7"/>
      <c r="I111" s="7"/>
      <c r="K111" s="7"/>
      <c r="M111" s="7"/>
    </row>
    <row r="112" spans="2:13" ht="14.25" customHeight="1" x14ac:dyDescent="0.3">
      <c r="B112" s="4">
        <v>45583</v>
      </c>
      <c r="C112" s="5">
        <v>45583</v>
      </c>
      <c r="D112" s="6">
        <v>45584</v>
      </c>
      <c r="E112" s="7"/>
      <c r="G112" s="7"/>
      <c r="I112" s="7"/>
      <c r="K112" s="7"/>
      <c r="M112" s="7"/>
    </row>
    <row r="113" spans="2:13" ht="14.25" customHeight="1" x14ac:dyDescent="0.3">
      <c r="B113" s="4">
        <v>45584</v>
      </c>
      <c r="C113" s="5">
        <v>45584</v>
      </c>
      <c r="D113" s="6">
        <v>45585</v>
      </c>
      <c r="E113" s="7"/>
      <c r="G113" s="7"/>
      <c r="I113" s="7"/>
      <c r="K113" s="7"/>
      <c r="M113" s="7"/>
    </row>
    <row r="114" spans="2:13" ht="14.25" customHeight="1" x14ac:dyDescent="0.3">
      <c r="B114" s="4">
        <v>45585</v>
      </c>
      <c r="C114" s="5">
        <v>45585</v>
      </c>
      <c r="D114" s="6">
        <v>45587</v>
      </c>
      <c r="E114" s="7"/>
      <c r="G114" s="7"/>
      <c r="I114" s="7"/>
      <c r="K114" s="7"/>
      <c r="M114" s="7"/>
    </row>
    <row r="115" spans="2:13" ht="14.25" customHeight="1" x14ac:dyDescent="0.3">
      <c r="B115" s="4">
        <v>45586</v>
      </c>
      <c r="C115" s="5">
        <v>45586</v>
      </c>
      <c r="D115" s="6">
        <v>45587</v>
      </c>
      <c r="E115" s="7"/>
      <c r="G115" s="7"/>
      <c r="I115" s="7"/>
      <c r="K115" s="7"/>
      <c r="M115" s="7"/>
    </row>
    <row r="116" spans="2:13" ht="14.25" customHeight="1" x14ac:dyDescent="0.3">
      <c r="B116" s="4">
        <v>45587</v>
      </c>
      <c r="C116" s="5">
        <v>45587</v>
      </c>
      <c r="D116" s="6">
        <v>45589</v>
      </c>
      <c r="E116" s="7"/>
      <c r="G116" s="7"/>
      <c r="I116" s="7"/>
      <c r="K116" s="7"/>
      <c r="M116" s="7"/>
    </row>
    <row r="117" spans="2:13" ht="14.25" customHeight="1" x14ac:dyDescent="0.3">
      <c r="B117" s="4">
        <v>45588</v>
      </c>
      <c r="C117" s="5">
        <v>45588</v>
      </c>
      <c r="D117" s="6">
        <v>45589</v>
      </c>
      <c r="E117" s="7"/>
      <c r="G117" s="7"/>
      <c r="I117" s="7"/>
      <c r="K117" s="7"/>
      <c r="M117" s="7"/>
    </row>
    <row r="118" spans="2:13" ht="14.25" customHeight="1" x14ac:dyDescent="0.3">
      <c r="B118" s="4">
        <v>45589</v>
      </c>
      <c r="C118" s="5">
        <v>45589</v>
      </c>
      <c r="D118" s="6">
        <v>45590</v>
      </c>
      <c r="E118" s="7"/>
      <c r="G118" s="7"/>
      <c r="I118" s="7"/>
      <c r="K118" s="7"/>
      <c r="M118" s="7"/>
    </row>
    <row r="119" spans="2:13" ht="14.25" customHeight="1" x14ac:dyDescent="0.3">
      <c r="B119" s="4">
        <v>45590</v>
      </c>
      <c r="C119" s="5">
        <v>45590</v>
      </c>
      <c r="D119" s="6">
        <v>45591</v>
      </c>
      <c r="E119" s="7"/>
      <c r="G119" s="7"/>
      <c r="I119" s="7"/>
      <c r="K119" s="7"/>
      <c r="M119" s="7"/>
    </row>
    <row r="120" spans="2:13" ht="14.25" customHeight="1" x14ac:dyDescent="0.3">
      <c r="B120" s="4">
        <v>45591</v>
      </c>
      <c r="C120" s="5">
        <v>45591</v>
      </c>
      <c r="D120" s="6">
        <v>45593</v>
      </c>
      <c r="E120" s="7"/>
      <c r="G120" s="7"/>
      <c r="I120" s="7"/>
      <c r="K120" s="7"/>
      <c r="M120" s="7"/>
    </row>
    <row r="121" spans="2:13" ht="14.25" customHeight="1" x14ac:dyDescent="0.3">
      <c r="B121" s="4">
        <v>45592</v>
      </c>
      <c r="C121" s="5">
        <v>45592</v>
      </c>
      <c r="D121" s="6">
        <v>45593</v>
      </c>
      <c r="E121" s="7"/>
      <c r="G121" s="7"/>
      <c r="I121" s="7"/>
      <c r="K121" s="7"/>
      <c r="M121" s="7"/>
    </row>
    <row r="122" spans="2:13" ht="14.25" customHeight="1" x14ac:dyDescent="0.3">
      <c r="B122" s="4">
        <v>45593</v>
      </c>
      <c r="C122" s="5">
        <v>45593</v>
      </c>
      <c r="D122" s="6">
        <v>45597</v>
      </c>
      <c r="E122" s="7"/>
      <c r="G122" s="7"/>
      <c r="I122" s="7"/>
      <c r="K122" s="7"/>
      <c r="M122" s="7"/>
    </row>
    <row r="123" spans="2:13" ht="14.25" customHeight="1" x14ac:dyDescent="0.3">
      <c r="B123" s="4">
        <v>45594</v>
      </c>
      <c r="C123" s="5">
        <v>45594</v>
      </c>
      <c r="D123" s="6">
        <v>45597</v>
      </c>
      <c r="E123" s="7"/>
      <c r="G123" s="7"/>
      <c r="I123" s="7"/>
      <c r="K123" s="7"/>
      <c r="M123" s="7"/>
    </row>
    <row r="124" spans="2:13" ht="14.25" customHeight="1" x14ac:dyDescent="0.3">
      <c r="B124" s="4">
        <v>45595</v>
      </c>
      <c r="C124" s="5">
        <v>45595</v>
      </c>
      <c r="D124" s="6">
        <v>45597</v>
      </c>
      <c r="E124" s="7"/>
      <c r="G124" s="7"/>
      <c r="I124" s="7"/>
      <c r="K124" s="7"/>
      <c r="M124" s="7"/>
    </row>
    <row r="125" spans="2:13" ht="14.25" customHeight="1" x14ac:dyDescent="0.3">
      <c r="B125" s="4">
        <v>45596</v>
      </c>
      <c r="C125" s="5">
        <v>45596</v>
      </c>
      <c r="D125" s="6">
        <v>45597</v>
      </c>
      <c r="E125" s="7"/>
      <c r="G125" s="7"/>
      <c r="I125" s="7"/>
      <c r="K125" s="7"/>
      <c r="M125" s="7"/>
    </row>
    <row r="126" spans="2:13" ht="14.25" customHeight="1" x14ac:dyDescent="0.3">
      <c r="B126" s="4">
        <v>45597</v>
      </c>
      <c r="C126" s="5">
        <v>45597</v>
      </c>
      <c r="D126" s="6">
        <v>45599</v>
      </c>
      <c r="E126" s="7"/>
      <c r="G126" s="7"/>
      <c r="I126" s="7"/>
      <c r="K126" s="7"/>
      <c r="M126" s="7"/>
    </row>
    <row r="127" spans="2:13" ht="14.25" customHeight="1" x14ac:dyDescent="0.3">
      <c r="B127" s="4">
        <v>45598</v>
      </c>
      <c r="C127" s="5">
        <v>45598</v>
      </c>
      <c r="D127" s="6">
        <v>45599</v>
      </c>
      <c r="E127" s="7"/>
      <c r="G127" s="7"/>
      <c r="I127" s="7"/>
      <c r="K127" s="7"/>
      <c r="M127" s="7"/>
    </row>
    <row r="128" spans="2:13" ht="14.25" customHeight="1" x14ac:dyDescent="0.3">
      <c r="B128" s="4">
        <v>45599</v>
      </c>
      <c r="C128" s="5">
        <v>45599</v>
      </c>
      <c r="D128" s="6">
        <v>45600</v>
      </c>
      <c r="E128" s="7"/>
      <c r="G128" s="7"/>
      <c r="I128" s="7"/>
      <c r="K128" s="7"/>
      <c r="M128" s="7"/>
    </row>
    <row r="129" spans="2:13" ht="14.25" customHeight="1" x14ac:dyDescent="0.3">
      <c r="B129" s="4">
        <v>45600</v>
      </c>
      <c r="C129" s="5">
        <v>45600</v>
      </c>
      <c r="D129" s="6">
        <v>45601</v>
      </c>
      <c r="E129" s="7"/>
      <c r="G129" s="7"/>
      <c r="I129" s="7"/>
      <c r="K129" s="7"/>
      <c r="M129" s="7"/>
    </row>
    <row r="130" spans="2:13" ht="14.25" customHeight="1" x14ac:dyDescent="0.3">
      <c r="B130" s="4">
        <v>45601</v>
      </c>
      <c r="C130" s="5">
        <v>45601</v>
      </c>
      <c r="D130" s="6">
        <v>45602</v>
      </c>
      <c r="E130" s="7"/>
      <c r="G130" s="7"/>
      <c r="I130" s="7"/>
      <c r="K130" s="7"/>
      <c r="M130" s="7"/>
    </row>
    <row r="131" spans="2:13" ht="14.25" customHeight="1" x14ac:dyDescent="0.3">
      <c r="B131" s="4">
        <v>45602</v>
      </c>
      <c r="C131" s="5">
        <v>45602</v>
      </c>
      <c r="D131" s="6">
        <v>45604</v>
      </c>
      <c r="E131" s="7"/>
      <c r="G131" s="7"/>
      <c r="I131" s="7"/>
      <c r="K131" s="7"/>
      <c r="M131" s="7"/>
    </row>
    <row r="132" spans="2:13" ht="14.25" customHeight="1" x14ac:dyDescent="0.3">
      <c r="B132" s="4">
        <v>45603</v>
      </c>
      <c r="C132" s="5">
        <v>45603</v>
      </c>
      <c r="D132" s="6">
        <v>45604</v>
      </c>
      <c r="E132" s="7"/>
      <c r="G132" s="7"/>
      <c r="I132" s="7"/>
      <c r="K132" s="7"/>
      <c r="M132" s="7"/>
    </row>
    <row r="133" spans="2:13" ht="14.25" customHeight="1" x14ac:dyDescent="0.3">
      <c r="B133" s="4">
        <v>45604</v>
      </c>
      <c r="C133" s="5">
        <v>45604</v>
      </c>
      <c r="D133" s="6">
        <v>45605</v>
      </c>
      <c r="E133" s="7"/>
      <c r="G133" s="7"/>
      <c r="I133" s="7"/>
      <c r="K133" s="7"/>
      <c r="M133" s="7"/>
    </row>
    <row r="134" spans="2:13" ht="14.25" customHeight="1" x14ac:dyDescent="0.3">
      <c r="B134" s="4">
        <v>45605</v>
      </c>
      <c r="C134" s="5">
        <v>45605</v>
      </c>
      <c r="D134" s="6">
        <v>45607</v>
      </c>
      <c r="E134" s="7"/>
      <c r="G134" s="7"/>
      <c r="I134" s="7"/>
      <c r="K134" s="7"/>
      <c r="M134" s="7"/>
    </row>
    <row r="135" spans="2:13" ht="14.25" customHeight="1" x14ac:dyDescent="0.3">
      <c r="B135" s="4">
        <v>45606</v>
      </c>
      <c r="C135" s="5">
        <v>45606</v>
      </c>
      <c r="D135" s="6">
        <v>45607</v>
      </c>
      <c r="E135" s="7"/>
      <c r="G135" s="7"/>
      <c r="I135" s="7"/>
      <c r="K135" s="7"/>
      <c r="M135" s="7"/>
    </row>
    <row r="136" spans="2:13" ht="14.25" customHeight="1" x14ac:dyDescent="0.3">
      <c r="B136" s="4">
        <v>45607</v>
      </c>
      <c r="C136" s="5">
        <v>45607</v>
      </c>
      <c r="D136" s="6">
        <v>45608</v>
      </c>
      <c r="E136" s="7"/>
      <c r="G136" s="7"/>
      <c r="I136" s="7"/>
      <c r="K136" s="7"/>
      <c r="M136" s="7"/>
    </row>
    <row r="137" spans="2:13" ht="14.25" customHeight="1" x14ac:dyDescent="0.3">
      <c r="B137" s="4">
        <v>45608</v>
      </c>
      <c r="C137" s="5">
        <v>45608</v>
      </c>
      <c r="D137" s="6">
        <v>45610</v>
      </c>
      <c r="E137" s="7"/>
      <c r="G137" s="7"/>
      <c r="I137" s="7"/>
      <c r="K137" s="7"/>
      <c r="M137" s="7"/>
    </row>
    <row r="138" spans="2:13" ht="14.25" customHeight="1" x14ac:dyDescent="0.3">
      <c r="B138" s="4">
        <v>45609</v>
      </c>
      <c r="C138" s="5">
        <v>45609</v>
      </c>
      <c r="D138" s="6">
        <v>45610</v>
      </c>
      <c r="E138" s="7"/>
      <c r="G138" s="7"/>
      <c r="I138" s="7"/>
      <c r="K138" s="7"/>
      <c r="M138" s="7"/>
    </row>
    <row r="139" spans="2:13" ht="14.25" customHeight="1" x14ac:dyDescent="0.3">
      <c r="B139" s="4">
        <v>45610</v>
      </c>
      <c r="C139" s="5">
        <v>45610</v>
      </c>
      <c r="D139" s="6">
        <v>45612</v>
      </c>
      <c r="E139" s="7"/>
      <c r="G139" s="7"/>
      <c r="I139" s="7"/>
      <c r="K139" s="7"/>
      <c r="M139" s="7"/>
    </row>
    <row r="140" spans="2:13" ht="14.25" customHeight="1" x14ac:dyDescent="0.3">
      <c r="B140" s="4">
        <v>45611</v>
      </c>
      <c r="C140" s="5">
        <v>45611</v>
      </c>
      <c r="D140" s="6">
        <v>45612</v>
      </c>
      <c r="E140" s="7"/>
      <c r="G140" s="7"/>
      <c r="I140" s="7"/>
      <c r="K140" s="7"/>
      <c r="M140" s="7"/>
    </row>
    <row r="141" spans="2:13" ht="14.25" customHeight="1" x14ac:dyDescent="0.3">
      <c r="B141" s="4">
        <v>45612</v>
      </c>
      <c r="C141" s="5">
        <v>45612</v>
      </c>
      <c r="D141" s="6">
        <v>45614</v>
      </c>
      <c r="E141" s="7"/>
      <c r="G141" s="7"/>
      <c r="I141" s="7"/>
      <c r="K141" s="7"/>
      <c r="M141" s="7"/>
    </row>
    <row r="142" spans="2:13" ht="14.25" customHeight="1" x14ac:dyDescent="0.3">
      <c r="B142" s="4">
        <v>45613</v>
      </c>
      <c r="C142" s="5">
        <v>45613</v>
      </c>
      <c r="D142" s="6">
        <v>45614</v>
      </c>
      <c r="E142" s="7"/>
      <c r="G142" s="7"/>
      <c r="I142" s="7"/>
      <c r="K142" s="7"/>
      <c r="M142" s="7"/>
    </row>
    <row r="143" spans="2:13" ht="14.25" customHeight="1" x14ac:dyDescent="0.3">
      <c r="B143" s="4">
        <v>45614</v>
      </c>
      <c r="C143" s="5">
        <v>45614</v>
      </c>
      <c r="D143" s="6">
        <v>45615</v>
      </c>
      <c r="E143" s="7"/>
      <c r="G143" s="7"/>
      <c r="I143" s="7"/>
      <c r="K143" s="7"/>
      <c r="M143" s="7"/>
    </row>
    <row r="144" spans="2:13" ht="14.25" customHeight="1" x14ac:dyDescent="0.3">
      <c r="B144" s="4">
        <v>45615</v>
      </c>
      <c r="C144" s="5">
        <v>45615</v>
      </c>
      <c r="D144" s="6">
        <v>45616</v>
      </c>
      <c r="E144" s="7"/>
      <c r="G144" s="7"/>
      <c r="I144" s="7"/>
      <c r="K144" s="7"/>
      <c r="M144" s="7"/>
    </row>
    <row r="145" spans="2:13" ht="14.25" customHeight="1" x14ac:dyDescent="0.3">
      <c r="B145" s="4">
        <v>45616</v>
      </c>
      <c r="C145" s="5">
        <v>45616</v>
      </c>
      <c r="D145" s="6">
        <v>45618</v>
      </c>
      <c r="E145" s="7"/>
      <c r="G145" s="7"/>
      <c r="I145" s="7"/>
      <c r="K145" s="7"/>
      <c r="M145" s="7"/>
    </row>
    <row r="146" spans="2:13" ht="14.25" customHeight="1" x14ac:dyDescent="0.3">
      <c r="B146" s="4">
        <v>45617</v>
      </c>
      <c r="C146" s="5">
        <v>45617</v>
      </c>
      <c r="D146" s="6">
        <v>45618</v>
      </c>
      <c r="E146" s="7"/>
      <c r="G146" s="7"/>
      <c r="I146" s="7"/>
      <c r="K146" s="7"/>
      <c r="M146" s="7"/>
    </row>
    <row r="147" spans="2:13" ht="14.25" customHeight="1" x14ac:dyDescent="0.3">
      <c r="B147" s="4">
        <v>45618</v>
      </c>
      <c r="C147" s="5">
        <v>45618</v>
      </c>
      <c r="D147" s="6">
        <v>45620</v>
      </c>
      <c r="E147" s="7"/>
      <c r="G147" s="7"/>
      <c r="I147" s="7"/>
      <c r="K147" s="7"/>
      <c r="M147" s="7"/>
    </row>
    <row r="148" spans="2:13" ht="14.25" customHeight="1" x14ac:dyDescent="0.3">
      <c r="B148" s="4">
        <v>45619</v>
      </c>
      <c r="C148" s="5">
        <v>45619</v>
      </c>
      <c r="D148" s="6">
        <v>45620</v>
      </c>
      <c r="E148" s="7"/>
      <c r="G148" s="7"/>
      <c r="I148" s="7"/>
      <c r="K148" s="7"/>
      <c r="M148" s="7"/>
    </row>
    <row r="149" spans="2:13" ht="14.25" customHeight="1" x14ac:dyDescent="0.3">
      <c r="B149" s="4">
        <v>45620</v>
      </c>
      <c r="C149" s="5">
        <v>45620</v>
      </c>
      <c r="D149" s="6">
        <v>45621</v>
      </c>
      <c r="E149" s="7"/>
      <c r="G149" s="7"/>
      <c r="I149" s="7"/>
      <c r="K149" s="7"/>
      <c r="M149" s="7"/>
    </row>
    <row r="150" spans="2:13" ht="14.25" customHeight="1" x14ac:dyDescent="0.3">
      <c r="B150" s="4">
        <v>45621</v>
      </c>
      <c r="C150" s="5">
        <v>45621</v>
      </c>
      <c r="D150" s="6">
        <v>45622</v>
      </c>
      <c r="E150" s="7"/>
      <c r="G150" s="7"/>
      <c r="I150" s="7"/>
      <c r="K150" s="7"/>
      <c r="M150" s="7"/>
    </row>
    <row r="151" spans="2:13" ht="14.25" customHeight="1" x14ac:dyDescent="0.3">
      <c r="B151" s="4">
        <v>45622</v>
      </c>
      <c r="C151" s="5">
        <v>45622</v>
      </c>
      <c r="D151" s="6">
        <v>45624</v>
      </c>
      <c r="E151" s="7"/>
      <c r="G151" s="7"/>
      <c r="I151" s="7"/>
      <c r="K151" s="7"/>
      <c r="M151" s="7"/>
    </row>
    <row r="152" spans="2:13" ht="14.25" customHeight="1" x14ac:dyDescent="0.3">
      <c r="B152" s="4">
        <v>45623</v>
      </c>
      <c r="C152" s="5">
        <v>45623</v>
      </c>
      <c r="D152" s="6">
        <v>45624</v>
      </c>
      <c r="E152" s="7"/>
      <c r="G152" s="7"/>
      <c r="I152" s="7"/>
      <c r="K152" s="7"/>
      <c r="M152" s="7"/>
    </row>
    <row r="153" spans="2:13" ht="14.25" customHeight="1" x14ac:dyDescent="0.3">
      <c r="B153" s="4">
        <v>45624</v>
      </c>
      <c r="C153" s="5">
        <v>45624</v>
      </c>
      <c r="D153" s="6">
        <v>45627</v>
      </c>
      <c r="E153" s="7"/>
      <c r="G153" s="7"/>
      <c r="I153" s="7"/>
      <c r="K153" s="7"/>
      <c r="M153" s="7"/>
    </row>
    <row r="154" spans="2:13" ht="14.25" customHeight="1" x14ac:dyDescent="0.3">
      <c r="B154" s="4">
        <v>45625</v>
      </c>
      <c r="C154" s="5">
        <v>45625</v>
      </c>
      <c r="D154" s="6">
        <v>45627</v>
      </c>
      <c r="E154" s="7"/>
      <c r="G154" s="7"/>
      <c r="I154" s="7"/>
      <c r="K154" s="7"/>
      <c r="M154" s="7"/>
    </row>
    <row r="155" spans="2:13" ht="14.25" customHeight="1" x14ac:dyDescent="0.3">
      <c r="B155" s="4">
        <v>45626</v>
      </c>
      <c r="C155" s="5">
        <v>45626</v>
      </c>
      <c r="D155" s="6">
        <v>45627</v>
      </c>
      <c r="E155" s="7"/>
      <c r="G155" s="7"/>
      <c r="I155" s="7"/>
      <c r="K155" s="7"/>
      <c r="M155" s="7"/>
    </row>
    <row r="156" spans="2:13" ht="14.25" customHeight="1" x14ac:dyDescent="0.3">
      <c r="B156" s="4">
        <v>45627</v>
      </c>
      <c r="C156" s="5">
        <v>45627</v>
      </c>
      <c r="D156" s="6">
        <v>45629</v>
      </c>
      <c r="E156" s="7"/>
      <c r="G156" s="7"/>
      <c r="I156" s="7"/>
      <c r="K156" s="7"/>
      <c r="M156" s="7"/>
    </row>
    <row r="157" spans="2:13" ht="14.25" customHeight="1" x14ac:dyDescent="0.3">
      <c r="B157" s="4">
        <v>45628</v>
      </c>
      <c r="C157" s="5">
        <v>45628</v>
      </c>
      <c r="D157" s="6">
        <v>45629</v>
      </c>
      <c r="E157" s="7"/>
      <c r="G157" s="7"/>
      <c r="I157" s="7"/>
      <c r="K157" s="7"/>
      <c r="M157" s="7"/>
    </row>
    <row r="158" spans="2:13" ht="14.25" customHeight="1" x14ac:dyDescent="0.3">
      <c r="B158" s="4">
        <v>45629</v>
      </c>
      <c r="C158" s="5">
        <v>45629</v>
      </c>
      <c r="D158" s="6">
        <v>45630</v>
      </c>
      <c r="E158" s="7"/>
      <c r="G158" s="7"/>
      <c r="I158" s="7"/>
      <c r="K158" s="7"/>
      <c r="M158" s="7"/>
    </row>
    <row r="159" spans="2:13" ht="14.25" customHeight="1" x14ac:dyDescent="0.3">
      <c r="B159" s="4">
        <v>45630</v>
      </c>
      <c r="C159" s="5">
        <v>45630</v>
      </c>
      <c r="D159" s="6">
        <v>45631</v>
      </c>
      <c r="E159" s="7"/>
      <c r="G159" s="7"/>
      <c r="I159" s="7"/>
      <c r="K159" s="7"/>
      <c r="M159" s="7"/>
    </row>
    <row r="160" spans="2:13" ht="14.25" customHeight="1" x14ac:dyDescent="0.3">
      <c r="B160" s="4">
        <v>45631</v>
      </c>
      <c r="C160" s="5">
        <v>45631</v>
      </c>
      <c r="D160" s="6">
        <v>45632</v>
      </c>
      <c r="E160" s="7"/>
      <c r="G160" s="7"/>
      <c r="I160" s="7"/>
      <c r="K160" s="7"/>
      <c r="M160" s="7"/>
    </row>
    <row r="161" spans="2:13" ht="14.25" customHeight="1" x14ac:dyDescent="0.3">
      <c r="B161" s="4">
        <v>45632</v>
      </c>
      <c r="C161" s="5">
        <v>45632</v>
      </c>
      <c r="D161" s="6">
        <v>45634</v>
      </c>
      <c r="E161" s="7"/>
      <c r="G161" s="7"/>
      <c r="I161" s="7"/>
      <c r="K161" s="7"/>
      <c r="M161" s="7"/>
    </row>
    <row r="162" spans="2:13" ht="14.25" customHeight="1" x14ac:dyDescent="0.3">
      <c r="B162" s="4">
        <v>45633</v>
      </c>
      <c r="C162" s="5">
        <v>45633</v>
      </c>
      <c r="D162" s="6">
        <v>45634</v>
      </c>
      <c r="E162" s="7"/>
      <c r="G162" s="7"/>
      <c r="I162" s="7"/>
      <c r="K162" s="7"/>
      <c r="M162" s="7"/>
    </row>
    <row r="163" spans="2:13" ht="14.25" customHeight="1" x14ac:dyDescent="0.3">
      <c r="B163" s="4">
        <v>45634</v>
      </c>
      <c r="C163" s="5">
        <v>45634</v>
      </c>
      <c r="D163" s="6">
        <v>45635</v>
      </c>
      <c r="E163" s="7"/>
      <c r="G163" s="7"/>
      <c r="I163" s="7"/>
      <c r="K163" s="7"/>
      <c r="M163" s="7"/>
    </row>
    <row r="164" spans="2:13" ht="14.25" customHeight="1" x14ac:dyDescent="0.3">
      <c r="B164" s="4">
        <v>45635</v>
      </c>
      <c r="C164" s="5">
        <v>45635</v>
      </c>
      <c r="D164" s="6">
        <v>45638</v>
      </c>
      <c r="E164" s="7"/>
      <c r="G164" s="7"/>
      <c r="I164" s="7"/>
      <c r="K164" s="7"/>
      <c r="M164" s="7"/>
    </row>
    <row r="165" spans="2:13" ht="14.25" customHeight="1" x14ac:dyDescent="0.3">
      <c r="B165" s="4">
        <v>45636</v>
      </c>
      <c r="C165" s="5">
        <v>45636</v>
      </c>
      <c r="D165" s="6">
        <v>45638</v>
      </c>
      <c r="E165" s="7"/>
      <c r="G165" s="7"/>
      <c r="I165" s="7"/>
      <c r="K165" s="7"/>
      <c r="M165" s="7"/>
    </row>
    <row r="166" spans="2:13" ht="14.25" customHeight="1" x14ac:dyDescent="0.3">
      <c r="B166" s="4">
        <v>45637</v>
      </c>
      <c r="C166" s="5">
        <v>45637</v>
      </c>
      <c r="D166" s="6">
        <v>45638</v>
      </c>
      <c r="E166" s="7"/>
      <c r="G166" s="7"/>
      <c r="I166" s="7"/>
      <c r="K166" s="7"/>
      <c r="M166" s="7"/>
    </row>
    <row r="167" spans="2:13" ht="14.25" customHeight="1" x14ac:dyDescent="0.3">
      <c r="B167" s="4">
        <v>45638</v>
      </c>
      <c r="C167" s="5">
        <v>45638</v>
      </c>
      <c r="D167" s="6">
        <v>45640</v>
      </c>
      <c r="E167" s="7"/>
      <c r="G167" s="7"/>
      <c r="I167" s="7"/>
      <c r="K167" s="7"/>
      <c r="M167" s="7"/>
    </row>
    <row r="168" spans="2:13" ht="14.25" customHeight="1" x14ac:dyDescent="0.3">
      <c r="B168" s="4">
        <v>45639</v>
      </c>
      <c r="C168" s="5">
        <v>45639</v>
      </c>
      <c r="D168" s="6">
        <v>45640</v>
      </c>
      <c r="E168" s="7"/>
      <c r="G168" s="7"/>
      <c r="I168" s="7"/>
      <c r="K168" s="7"/>
      <c r="M168" s="7"/>
    </row>
    <row r="169" spans="2:13" ht="14.25" customHeight="1" x14ac:dyDescent="0.3">
      <c r="B169" s="4">
        <v>45640</v>
      </c>
      <c r="C169" s="5">
        <v>45640</v>
      </c>
      <c r="D169" s="6">
        <v>45642</v>
      </c>
      <c r="E169" s="7"/>
      <c r="G169" s="7"/>
      <c r="I169" s="7"/>
      <c r="K169" s="7"/>
      <c r="M169" s="7"/>
    </row>
    <row r="170" spans="2:13" ht="14.25" customHeight="1" x14ac:dyDescent="0.3">
      <c r="B170" s="4">
        <v>45641</v>
      </c>
      <c r="C170" s="5">
        <v>45641</v>
      </c>
      <c r="D170" s="6">
        <v>45642</v>
      </c>
      <c r="E170" s="7"/>
      <c r="G170" s="7"/>
      <c r="I170" s="7"/>
      <c r="K170" s="7"/>
      <c r="M170" s="7"/>
    </row>
    <row r="171" spans="2:13" ht="14.25" customHeight="1" x14ac:dyDescent="0.3">
      <c r="B171" s="4">
        <v>45642</v>
      </c>
      <c r="C171" s="5">
        <v>45642</v>
      </c>
      <c r="D171" s="6">
        <v>45644</v>
      </c>
      <c r="E171" s="7"/>
      <c r="G171" s="7"/>
      <c r="I171" s="7"/>
      <c r="K171" s="7"/>
      <c r="M171" s="7"/>
    </row>
    <row r="172" spans="2:13" ht="14.25" customHeight="1" x14ac:dyDescent="0.3">
      <c r="B172" s="4">
        <v>45643</v>
      </c>
      <c r="C172" s="5">
        <v>45643</v>
      </c>
      <c r="D172" s="6">
        <v>45644</v>
      </c>
      <c r="E172" s="7"/>
      <c r="G172" s="7"/>
      <c r="I172" s="7"/>
      <c r="K172" s="7"/>
      <c r="M172" s="7"/>
    </row>
    <row r="173" spans="2:13" ht="14.25" customHeight="1" x14ac:dyDescent="0.3">
      <c r="B173" s="4">
        <v>45644</v>
      </c>
      <c r="C173" s="5">
        <v>45644</v>
      </c>
      <c r="D173" s="6">
        <v>45645</v>
      </c>
      <c r="E173" s="7"/>
      <c r="G173" s="7"/>
      <c r="I173" s="7"/>
      <c r="K173" s="7"/>
      <c r="M173" s="7"/>
    </row>
    <row r="174" spans="2:13" ht="14.25" customHeight="1" x14ac:dyDescent="0.3">
      <c r="B174" s="4">
        <v>45645</v>
      </c>
      <c r="C174" s="5">
        <v>45645</v>
      </c>
      <c r="D174" s="6">
        <v>45646</v>
      </c>
      <c r="E174" s="7"/>
      <c r="G174" s="7"/>
      <c r="I174" s="7"/>
      <c r="K174" s="7"/>
      <c r="M174" s="7"/>
    </row>
    <row r="175" spans="2:13" ht="14.25" customHeight="1" x14ac:dyDescent="0.3">
      <c r="B175" s="4">
        <v>45646</v>
      </c>
      <c r="C175" s="5">
        <v>45646</v>
      </c>
      <c r="D175" s="6">
        <v>45648</v>
      </c>
      <c r="E175" s="7"/>
      <c r="G175" s="7"/>
      <c r="I175" s="7"/>
      <c r="K175" s="7"/>
      <c r="M175" s="7"/>
    </row>
    <row r="176" spans="2:13" ht="14.25" customHeight="1" x14ac:dyDescent="0.3">
      <c r="B176" s="4">
        <v>45647</v>
      </c>
      <c r="C176" s="5">
        <v>45647</v>
      </c>
      <c r="D176" s="6">
        <v>45648</v>
      </c>
      <c r="E176" s="7"/>
      <c r="G176" s="7"/>
      <c r="I176" s="7"/>
      <c r="K176" s="7"/>
      <c r="M176" s="7"/>
    </row>
    <row r="177" spans="2:13" ht="14.25" customHeight="1" x14ac:dyDescent="0.3">
      <c r="B177" s="4">
        <v>45648</v>
      </c>
      <c r="C177" s="5">
        <v>45648</v>
      </c>
      <c r="D177" s="6">
        <v>45650</v>
      </c>
      <c r="E177" s="7"/>
      <c r="G177" s="7"/>
      <c r="I177" s="7"/>
      <c r="K177" s="7"/>
      <c r="M177" s="7"/>
    </row>
    <row r="178" spans="2:13" ht="14.25" customHeight="1" x14ac:dyDescent="0.3">
      <c r="B178" s="4">
        <v>45649</v>
      </c>
      <c r="C178" s="5">
        <v>45649</v>
      </c>
      <c r="D178" s="6">
        <v>45650</v>
      </c>
      <c r="E178" s="7"/>
      <c r="G178" s="7"/>
      <c r="I178" s="7"/>
      <c r="K178" s="7"/>
      <c r="M178" s="7"/>
    </row>
    <row r="179" spans="2:13" ht="14.25" customHeight="1" x14ac:dyDescent="0.3">
      <c r="B179" s="4">
        <v>45650</v>
      </c>
      <c r="C179" s="5">
        <v>45650</v>
      </c>
      <c r="D179" s="6">
        <v>45651</v>
      </c>
      <c r="E179" s="7"/>
      <c r="G179" s="7"/>
      <c r="I179" s="7"/>
      <c r="K179" s="7"/>
      <c r="M179" s="7"/>
    </row>
    <row r="180" spans="2:13" ht="14.25" customHeight="1" x14ac:dyDescent="0.3">
      <c r="B180" s="4">
        <v>45651</v>
      </c>
      <c r="C180" s="5">
        <v>45651</v>
      </c>
      <c r="D180" s="6">
        <v>45652</v>
      </c>
      <c r="E180" s="7"/>
      <c r="G180" s="7"/>
      <c r="I180" s="7"/>
      <c r="K180" s="7"/>
      <c r="M180" s="7"/>
    </row>
    <row r="181" spans="2:13" ht="14.25" customHeight="1" x14ac:dyDescent="0.3">
      <c r="B181" s="4">
        <v>45652</v>
      </c>
      <c r="C181" s="5">
        <v>45652</v>
      </c>
      <c r="D181" s="6">
        <v>45654</v>
      </c>
      <c r="E181" s="7"/>
      <c r="G181" s="7"/>
      <c r="I181" s="7"/>
      <c r="K181" s="7"/>
      <c r="M181" s="7"/>
    </row>
    <row r="182" spans="2:13" ht="14.25" customHeight="1" x14ac:dyDescent="0.3">
      <c r="B182" s="4">
        <v>45653</v>
      </c>
      <c r="C182" s="5">
        <v>45653</v>
      </c>
      <c r="D182" s="6">
        <v>45654</v>
      </c>
      <c r="E182" s="7"/>
      <c r="G182" s="7"/>
      <c r="I182" s="7"/>
      <c r="K182" s="7"/>
      <c r="M182" s="7"/>
    </row>
    <row r="183" spans="2:13" ht="14.25" customHeight="1" x14ac:dyDescent="0.3">
      <c r="B183" s="4">
        <v>45654</v>
      </c>
      <c r="C183" s="5">
        <v>45654</v>
      </c>
      <c r="D183" s="6">
        <v>45658</v>
      </c>
      <c r="E183" s="7"/>
      <c r="G183" s="7"/>
      <c r="I183" s="7"/>
      <c r="K183" s="7"/>
      <c r="M183" s="7"/>
    </row>
    <row r="184" spans="2:13" ht="14.25" customHeight="1" x14ac:dyDescent="0.3">
      <c r="B184" s="4">
        <v>45655</v>
      </c>
      <c r="C184" s="5">
        <v>45655</v>
      </c>
      <c r="D184" s="6">
        <v>45658</v>
      </c>
      <c r="E184" s="7"/>
      <c r="G184" s="7"/>
      <c r="I184" s="7"/>
      <c r="K184" s="7"/>
      <c r="M184" s="7"/>
    </row>
    <row r="185" spans="2:13" ht="14.25" customHeight="1" x14ac:dyDescent="0.3">
      <c r="B185" s="4">
        <v>45656</v>
      </c>
      <c r="C185" s="5">
        <v>45656</v>
      </c>
      <c r="D185" s="6">
        <v>45658</v>
      </c>
      <c r="E185" s="7"/>
      <c r="G185" s="7"/>
      <c r="I185" s="7"/>
      <c r="K185" s="7"/>
      <c r="M185" s="7"/>
    </row>
    <row r="186" spans="2:13" ht="14.25" customHeight="1" x14ac:dyDescent="0.3">
      <c r="B186" s="4">
        <v>45657</v>
      </c>
      <c r="C186" s="5">
        <v>45657</v>
      </c>
      <c r="D186" s="6">
        <v>45658</v>
      </c>
      <c r="E186" s="7"/>
      <c r="G186" s="7"/>
      <c r="I186" s="7"/>
      <c r="K186" s="7"/>
      <c r="M186" s="7"/>
    </row>
    <row r="187" spans="2:13" ht="14.25" customHeight="1" x14ac:dyDescent="0.3">
      <c r="B187" s="4"/>
      <c r="C187" s="5"/>
      <c r="D187" s="6"/>
      <c r="E187" s="7"/>
      <c r="G187" s="7"/>
      <c r="I187" s="7"/>
      <c r="K187" s="7"/>
      <c r="M187" s="7"/>
    </row>
    <row r="188" spans="2:13" ht="14.25" customHeight="1" x14ac:dyDescent="0.3">
      <c r="B188" s="4"/>
      <c r="C188" s="5"/>
      <c r="D188" s="6"/>
      <c r="E188" s="7"/>
      <c r="G188" s="7"/>
      <c r="I188" s="7"/>
      <c r="K188" s="7"/>
      <c r="M188" s="7"/>
    </row>
    <row r="189" spans="2:13" ht="14.25" customHeight="1" x14ac:dyDescent="0.3">
      <c r="B189" s="4"/>
      <c r="C189" s="5"/>
      <c r="D189" s="6"/>
      <c r="E189" s="7"/>
      <c r="G189" s="7"/>
      <c r="I189" s="7"/>
      <c r="K189" s="7"/>
      <c r="M189" s="7"/>
    </row>
    <row r="190" spans="2:13" ht="14.25" customHeight="1" x14ac:dyDescent="0.3">
      <c r="B190" s="4"/>
      <c r="C190" s="5"/>
      <c r="D190" s="6"/>
      <c r="E190" s="7"/>
      <c r="G190" s="7"/>
      <c r="I190" s="7"/>
      <c r="K190" s="7"/>
      <c r="M190" s="7"/>
    </row>
    <row r="191" spans="2:13" ht="14.25" customHeight="1" x14ac:dyDescent="0.3">
      <c r="B191" s="4"/>
      <c r="C191" s="5"/>
      <c r="D191" s="6"/>
      <c r="E191" s="7"/>
      <c r="G191" s="7"/>
      <c r="I191" s="7"/>
      <c r="K191" s="7"/>
      <c r="M191" s="7"/>
    </row>
    <row r="192" spans="2:13" ht="14.25" customHeight="1" x14ac:dyDescent="0.3">
      <c r="B192" s="4"/>
      <c r="C192" s="5"/>
      <c r="D192" s="6"/>
      <c r="E192" s="7"/>
      <c r="G192" s="7"/>
      <c r="I192" s="7"/>
      <c r="K192" s="7"/>
      <c r="M192" s="7"/>
    </row>
    <row r="193" spans="2:13" ht="14.25" customHeight="1" x14ac:dyDescent="0.3">
      <c r="B193" s="4"/>
      <c r="C193" s="5"/>
      <c r="D193" s="6"/>
      <c r="E193" s="7"/>
      <c r="G193" s="7"/>
      <c r="I193" s="7"/>
      <c r="K193" s="7"/>
      <c r="M193" s="7"/>
    </row>
    <row r="194" spans="2:13" ht="14.25" customHeight="1" x14ac:dyDescent="0.3">
      <c r="B194" s="4"/>
      <c r="C194" s="5"/>
      <c r="D194" s="6"/>
      <c r="E194" s="7"/>
      <c r="G194" s="7"/>
      <c r="I194" s="7"/>
      <c r="K194" s="7"/>
      <c r="M194" s="7"/>
    </row>
    <row r="195" spans="2:13" ht="14.25" customHeight="1" x14ac:dyDescent="0.3">
      <c r="B195" s="4"/>
      <c r="C195" s="5"/>
      <c r="D195" s="6"/>
      <c r="E195" s="7"/>
      <c r="G195" s="7"/>
      <c r="I195" s="7"/>
      <c r="K195" s="7"/>
      <c r="M195" s="7"/>
    </row>
    <row r="196" spans="2:13" ht="14.25" customHeight="1" x14ac:dyDescent="0.3">
      <c r="B196" s="4"/>
      <c r="C196" s="5"/>
      <c r="D196" s="6"/>
      <c r="E196" s="7"/>
      <c r="G196" s="7"/>
      <c r="I196" s="7"/>
      <c r="K196" s="7"/>
      <c r="M196" s="7"/>
    </row>
    <row r="197" spans="2:13" ht="14.25" customHeight="1" x14ac:dyDescent="0.3">
      <c r="B197" s="4"/>
      <c r="C197" s="5"/>
      <c r="D197" s="6"/>
      <c r="E197" s="7"/>
      <c r="G197" s="7"/>
      <c r="I197" s="7"/>
      <c r="K197" s="7"/>
      <c r="M197" s="7"/>
    </row>
    <row r="198" spans="2:13" ht="14.25" customHeight="1" x14ac:dyDescent="0.3">
      <c r="B198" s="4"/>
      <c r="C198" s="5"/>
      <c r="D198" s="6"/>
      <c r="E198" s="7"/>
      <c r="G198" s="7"/>
      <c r="I198" s="7"/>
      <c r="K198" s="7"/>
      <c r="M198" s="7"/>
    </row>
    <row r="199" spans="2:13" ht="14.25" customHeight="1" x14ac:dyDescent="0.3">
      <c r="B199" s="4"/>
      <c r="C199" s="5"/>
      <c r="D199" s="6"/>
      <c r="E199" s="7"/>
      <c r="G199" s="7"/>
      <c r="I199" s="7"/>
      <c r="K199" s="7"/>
      <c r="M199" s="7"/>
    </row>
    <row r="200" spans="2:13" ht="14.25" customHeight="1" x14ac:dyDescent="0.3">
      <c r="B200" s="4"/>
      <c r="C200" s="5"/>
      <c r="D200" s="6"/>
      <c r="E200" s="7"/>
      <c r="G200" s="7"/>
      <c r="I200" s="7"/>
      <c r="K200" s="7"/>
      <c r="M200" s="7"/>
    </row>
    <row r="201" spans="2:13" ht="14.25" customHeight="1" x14ac:dyDescent="0.3">
      <c r="B201" s="4"/>
      <c r="C201" s="5"/>
      <c r="D201" s="6"/>
      <c r="E201" s="7"/>
      <c r="G201" s="7"/>
      <c r="I201" s="7"/>
      <c r="K201" s="7"/>
      <c r="M201" s="7"/>
    </row>
    <row r="202" spans="2:13" ht="14.25" customHeight="1" x14ac:dyDescent="0.3">
      <c r="B202" s="4"/>
      <c r="C202" s="5"/>
      <c r="D202" s="6"/>
      <c r="E202" s="7"/>
      <c r="G202" s="7"/>
      <c r="I202" s="7"/>
      <c r="K202" s="7"/>
      <c r="M202" s="7"/>
    </row>
    <row r="203" spans="2:13" ht="14.25" customHeight="1" x14ac:dyDescent="0.3">
      <c r="B203" s="4"/>
      <c r="C203" s="5"/>
      <c r="D203" s="6"/>
      <c r="E203" s="7"/>
      <c r="G203" s="7"/>
      <c r="I203" s="7"/>
      <c r="K203" s="7"/>
      <c r="M203" s="7"/>
    </row>
    <row r="204" spans="2:13" ht="14.25" customHeight="1" x14ac:dyDescent="0.3">
      <c r="B204" s="4"/>
      <c r="C204" s="5"/>
      <c r="D204" s="6"/>
      <c r="E204" s="7"/>
      <c r="G204" s="7"/>
      <c r="I204" s="7"/>
      <c r="K204" s="7"/>
      <c r="M204" s="7"/>
    </row>
    <row r="205" spans="2:13" ht="14.25" customHeight="1" x14ac:dyDescent="0.3">
      <c r="B205" s="4"/>
      <c r="C205" s="5"/>
      <c r="D205" s="6"/>
      <c r="E205" s="7"/>
      <c r="G205" s="7"/>
      <c r="I205" s="7"/>
      <c r="K205" s="7"/>
      <c r="M205" s="7"/>
    </row>
    <row r="206" spans="2:13" ht="14.25" customHeight="1" x14ac:dyDescent="0.3">
      <c r="B206" s="4"/>
      <c r="C206" s="5"/>
      <c r="D206" s="6"/>
      <c r="E206" s="7"/>
      <c r="G206" s="7"/>
      <c r="I206" s="7"/>
      <c r="K206" s="7"/>
      <c r="M206" s="7"/>
    </row>
    <row r="207" spans="2:13" ht="14.25" customHeight="1" x14ac:dyDescent="0.3">
      <c r="B207" s="4"/>
      <c r="C207" s="5"/>
      <c r="D207" s="6"/>
      <c r="E207" s="7"/>
      <c r="G207" s="7"/>
      <c r="I207" s="7"/>
      <c r="K207" s="7"/>
      <c r="M207" s="7"/>
    </row>
    <row r="208" spans="2:13" ht="14.25" customHeight="1" x14ac:dyDescent="0.3">
      <c r="B208" s="4"/>
      <c r="C208" s="5"/>
      <c r="D208" s="6"/>
      <c r="E208" s="7"/>
      <c r="G208" s="7"/>
      <c r="I208" s="7"/>
      <c r="K208" s="7"/>
      <c r="M208" s="7"/>
    </row>
    <row r="209" spans="2:13" ht="14.25" customHeight="1" x14ac:dyDescent="0.3">
      <c r="B209" s="4"/>
      <c r="C209" s="5"/>
      <c r="D209" s="6"/>
      <c r="E209" s="7"/>
      <c r="G209" s="7"/>
      <c r="I209" s="7"/>
      <c r="K209" s="7"/>
      <c r="M209" s="7"/>
    </row>
    <row r="210" spans="2:13" ht="14.25" customHeight="1" x14ac:dyDescent="0.3">
      <c r="B210" s="4"/>
      <c r="C210" s="5"/>
      <c r="D210" s="6"/>
      <c r="E210" s="7"/>
      <c r="G210" s="7"/>
      <c r="I210" s="7"/>
      <c r="K210" s="7"/>
      <c r="M210" s="7"/>
    </row>
    <row r="211" spans="2:13" ht="14.25" customHeight="1" x14ac:dyDescent="0.3">
      <c r="B211" s="4"/>
      <c r="C211" s="5"/>
      <c r="D211" s="6"/>
      <c r="E211" s="7"/>
      <c r="G211" s="7"/>
      <c r="I211" s="7"/>
      <c r="K211" s="7"/>
      <c r="M211" s="7"/>
    </row>
    <row r="212" spans="2:13" ht="14.25" customHeight="1" x14ac:dyDescent="0.3">
      <c r="B212" s="4"/>
      <c r="C212" s="5"/>
      <c r="D212" s="6"/>
      <c r="E212" s="7"/>
      <c r="G212" s="7"/>
      <c r="I212" s="7"/>
      <c r="K212" s="7"/>
      <c r="M212" s="7"/>
    </row>
    <row r="213" spans="2:13" ht="14.25" customHeight="1" x14ac:dyDescent="0.3">
      <c r="B213" s="4"/>
      <c r="C213" s="5"/>
      <c r="D213" s="6"/>
      <c r="E213" s="7"/>
      <c r="G213" s="7"/>
      <c r="I213" s="7"/>
      <c r="K213" s="7"/>
      <c r="M213" s="7"/>
    </row>
    <row r="214" spans="2:13" ht="14.25" customHeight="1" x14ac:dyDescent="0.3">
      <c r="B214" s="4"/>
      <c r="C214" s="5"/>
      <c r="D214" s="6"/>
      <c r="E214" s="7"/>
      <c r="G214" s="7"/>
      <c r="I214" s="7"/>
      <c r="K214" s="7"/>
      <c r="M214" s="7"/>
    </row>
    <row r="215" spans="2:13" ht="14.25" customHeight="1" x14ac:dyDescent="0.3">
      <c r="B215" s="4"/>
      <c r="C215" s="5"/>
      <c r="D215" s="6"/>
      <c r="E215" s="7"/>
      <c r="G215" s="7"/>
      <c r="I215" s="7"/>
      <c r="K215" s="7"/>
      <c r="M215" s="7"/>
    </row>
    <row r="216" spans="2:13" ht="14.25" customHeight="1" x14ac:dyDescent="0.3">
      <c r="B216" s="4"/>
      <c r="C216" s="5"/>
      <c r="D216" s="6"/>
      <c r="E216" s="7"/>
      <c r="G216" s="7"/>
      <c r="I216" s="7"/>
      <c r="K216" s="7"/>
      <c r="M216" s="7"/>
    </row>
    <row r="217" spans="2:13" ht="14.25" customHeight="1" x14ac:dyDescent="0.3">
      <c r="B217" s="4"/>
      <c r="C217" s="5"/>
      <c r="D217" s="6"/>
      <c r="E217" s="7"/>
      <c r="G217" s="7"/>
      <c r="I217" s="7"/>
      <c r="K217" s="7"/>
      <c r="M217" s="7"/>
    </row>
    <row r="218" spans="2:13" ht="14.25" customHeight="1" x14ac:dyDescent="0.3">
      <c r="B218" s="4"/>
      <c r="C218" s="5"/>
      <c r="D218" s="6"/>
      <c r="E218" s="7"/>
      <c r="G218" s="7"/>
      <c r="I218" s="7"/>
      <c r="K218" s="7"/>
      <c r="M218" s="7"/>
    </row>
    <row r="219" spans="2:13" ht="14.25" customHeight="1" x14ac:dyDescent="0.3">
      <c r="B219" s="4"/>
      <c r="C219" s="5"/>
      <c r="D219" s="6"/>
      <c r="E219" s="7"/>
      <c r="G219" s="7"/>
      <c r="I219" s="7"/>
      <c r="K219" s="7"/>
      <c r="M219" s="7"/>
    </row>
    <row r="220" spans="2:13" ht="14.25" customHeight="1" x14ac:dyDescent="0.3">
      <c r="B220" s="4"/>
      <c r="C220" s="5"/>
      <c r="D220" s="6"/>
      <c r="E220" s="7"/>
      <c r="G220" s="7"/>
      <c r="I220" s="7"/>
      <c r="K220" s="7"/>
      <c r="M220" s="7"/>
    </row>
    <row r="221" spans="2:13" ht="14.25" customHeight="1" x14ac:dyDescent="0.3">
      <c r="B221" s="4"/>
      <c r="C221" s="5"/>
      <c r="D221" s="6"/>
      <c r="E221" s="7"/>
      <c r="G221" s="7"/>
      <c r="I221" s="7"/>
      <c r="K221" s="7"/>
      <c r="M221" s="7"/>
    </row>
    <row r="222" spans="2:13" ht="14.25" customHeight="1" x14ac:dyDescent="0.3">
      <c r="B222" s="4"/>
      <c r="C222" s="5"/>
      <c r="D222" s="6"/>
      <c r="E222" s="7"/>
      <c r="G222" s="7"/>
      <c r="I222" s="7"/>
      <c r="K222" s="7"/>
      <c r="M222" s="7"/>
    </row>
    <row r="223" spans="2:13" ht="14.25" customHeight="1" x14ac:dyDescent="0.3">
      <c r="B223" s="4"/>
      <c r="C223" s="5"/>
      <c r="D223" s="6"/>
      <c r="E223" s="7"/>
      <c r="G223" s="7"/>
      <c r="I223" s="7"/>
      <c r="K223" s="7"/>
      <c r="M223" s="7"/>
    </row>
    <row r="224" spans="2:13" ht="14.25" customHeight="1" x14ac:dyDescent="0.3">
      <c r="B224" s="4"/>
      <c r="C224" s="5"/>
      <c r="D224" s="6"/>
      <c r="E224" s="7"/>
      <c r="G224" s="7"/>
      <c r="I224" s="7"/>
      <c r="K224" s="7"/>
      <c r="M224" s="7"/>
    </row>
    <row r="225" spans="2:13" ht="14.25" customHeight="1" x14ac:dyDescent="0.3">
      <c r="B225" s="4"/>
      <c r="C225" s="5"/>
      <c r="D225" s="6"/>
      <c r="E225" s="7"/>
      <c r="G225" s="7"/>
      <c r="I225" s="7"/>
      <c r="K225" s="7"/>
      <c r="M225" s="7"/>
    </row>
    <row r="226" spans="2:13" ht="14.25" customHeight="1" x14ac:dyDescent="0.3">
      <c r="B226" s="4"/>
      <c r="C226" s="5"/>
      <c r="D226" s="6"/>
      <c r="E226" s="7"/>
      <c r="G226" s="7"/>
      <c r="I226" s="7"/>
      <c r="K226" s="7"/>
      <c r="M226" s="7"/>
    </row>
    <row r="227" spans="2:13" ht="14.25" customHeight="1" x14ac:dyDescent="0.3">
      <c r="B227" s="4"/>
      <c r="C227" s="5"/>
      <c r="D227" s="6"/>
      <c r="E227" s="7"/>
      <c r="G227" s="7"/>
      <c r="I227" s="7"/>
      <c r="K227" s="7"/>
      <c r="M227" s="7"/>
    </row>
    <row r="228" spans="2:13" ht="14.25" customHeight="1" x14ac:dyDescent="0.3">
      <c r="B228" s="4"/>
      <c r="C228" s="5"/>
      <c r="D228" s="6"/>
      <c r="E228" s="7"/>
      <c r="G228" s="7"/>
      <c r="I228" s="7"/>
      <c r="K228" s="7"/>
      <c r="M228" s="7"/>
    </row>
    <row r="229" spans="2:13" ht="14.25" customHeight="1" x14ac:dyDescent="0.3">
      <c r="B229" s="4"/>
      <c r="C229" s="5"/>
      <c r="D229" s="6"/>
      <c r="E229" s="7"/>
      <c r="G229" s="7"/>
      <c r="I229" s="7"/>
      <c r="K229" s="7"/>
      <c r="M229" s="7"/>
    </row>
    <row r="230" spans="2:13" ht="14.25" customHeight="1" x14ac:dyDescent="0.3">
      <c r="B230" s="4"/>
      <c r="C230" s="5"/>
      <c r="D230" s="6"/>
      <c r="E230" s="7"/>
      <c r="G230" s="7"/>
      <c r="I230" s="7"/>
      <c r="K230" s="7"/>
      <c r="M230" s="7"/>
    </row>
    <row r="231" spans="2:13" ht="14.25" customHeight="1" x14ac:dyDescent="0.3">
      <c r="B231" s="4"/>
      <c r="C231" s="5"/>
      <c r="D231" s="6"/>
      <c r="E231" s="7"/>
      <c r="G231" s="7"/>
      <c r="I231" s="7"/>
      <c r="K231" s="7"/>
      <c r="M231" s="7"/>
    </row>
    <row r="232" spans="2:13" ht="14.25" customHeight="1" x14ac:dyDescent="0.3">
      <c r="B232" s="4"/>
      <c r="C232" s="5"/>
      <c r="D232" s="6"/>
      <c r="E232" s="7"/>
      <c r="G232" s="7"/>
      <c r="I232" s="7"/>
      <c r="K232" s="7"/>
      <c r="M232" s="7"/>
    </row>
    <row r="233" spans="2:13" ht="14.25" customHeight="1" x14ac:dyDescent="0.3">
      <c r="B233" s="4"/>
      <c r="C233" s="5"/>
      <c r="D233" s="6"/>
      <c r="E233" s="7"/>
      <c r="G233" s="7"/>
      <c r="I233" s="7"/>
      <c r="K233" s="7"/>
      <c r="M233" s="7"/>
    </row>
    <row r="234" spans="2:13" ht="14.25" customHeight="1" x14ac:dyDescent="0.3">
      <c r="B234" s="4"/>
      <c r="C234" s="5"/>
      <c r="D234" s="6"/>
      <c r="E234" s="7"/>
      <c r="G234" s="7"/>
      <c r="I234" s="7"/>
      <c r="K234" s="7"/>
      <c r="M234" s="7"/>
    </row>
    <row r="235" spans="2:13" ht="14.25" customHeight="1" x14ac:dyDescent="0.3">
      <c r="B235" s="4"/>
      <c r="C235" s="5"/>
      <c r="D235" s="6"/>
      <c r="E235" s="7"/>
      <c r="G235" s="7"/>
      <c r="I235" s="7"/>
      <c r="K235" s="7"/>
      <c r="M235" s="7"/>
    </row>
    <row r="236" spans="2:13" ht="14.25" customHeight="1" x14ac:dyDescent="0.3">
      <c r="B236" s="4"/>
      <c r="C236" s="5"/>
      <c r="D236" s="6"/>
      <c r="E236" s="7"/>
      <c r="G236" s="7"/>
      <c r="I236" s="7"/>
      <c r="K236" s="7"/>
      <c r="M236" s="7"/>
    </row>
    <row r="237" spans="2:13" ht="14.25" customHeight="1" x14ac:dyDescent="0.3">
      <c r="B237" s="4"/>
      <c r="C237" s="5"/>
      <c r="D237" s="6"/>
      <c r="E237" s="7"/>
      <c r="G237" s="7"/>
      <c r="I237" s="7"/>
      <c r="K237" s="7"/>
      <c r="M237" s="7"/>
    </row>
    <row r="238" spans="2:13" ht="14.25" customHeight="1" x14ac:dyDescent="0.3">
      <c r="B238" s="4"/>
      <c r="C238" s="5"/>
      <c r="D238" s="6"/>
      <c r="E238" s="7"/>
      <c r="G238" s="7"/>
      <c r="I238" s="7"/>
      <c r="K238" s="7"/>
      <c r="M238" s="7"/>
    </row>
    <row r="239" spans="2:13" ht="14.25" customHeight="1" x14ac:dyDescent="0.3">
      <c r="B239" s="4"/>
      <c r="C239" s="5"/>
      <c r="D239" s="6"/>
      <c r="E239" s="7"/>
      <c r="G239" s="7"/>
      <c r="I239" s="7"/>
      <c r="K239" s="7"/>
      <c r="M239" s="7"/>
    </row>
    <row r="240" spans="2:13" ht="14.25" customHeight="1" x14ac:dyDescent="0.3">
      <c r="B240" s="4"/>
      <c r="C240" s="5"/>
      <c r="D240" s="6"/>
      <c r="E240" s="7"/>
      <c r="G240" s="7"/>
      <c r="I240" s="7"/>
      <c r="K240" s="7"/>
      <c r="M240" s="7"/>
    </row>
    <row r="241" spans="2:13" ht="14.25" customHeight="1" x14ac:dyDescent="0.3">
      <c r="B241" s="4"/>
      <c r="C241" s="5"/>
      <c r="D241" s="6"/>
      <c r="E241" s="7"/>
      <c r="G241" s="7"/>
      <c r="I241" s="7"/>
      <c r="K241" s="7"/>
      <c r="M241" s="7"/>
    </row>
    <row r="242" spans="2:13" ht="14.25" customHeight="1" x14ac:dyDescent="0.3">
      <c r="B242" s="4"/>
      <c r="C242" s="5"/>
      <c r="D242" s="6"/>
      <c r="E242" s="7"/>
      <c r="G242" s="7"/>
      <c r="I242" s="7"/>
      <c r="K242" s="7"/>
      <c r="M242" s="7"/>
    </row>
    <row r="243" spans="2:13" ht="14.25" customHeight="1" x14ac:dyDescent="0.3">
      <c r="B243" s="4"/>
      <c r="C243" s="5"/>
      <c r="D243" s="6"/>
      <c r="E243" s="7"/>
      <c r="G243" s="7"/>
      <c r="I243" s="7"/>
      <c r="K243" s="7"/>
      <c r="M243" s="7"/>
    </row>
    <row r="244" spans="2:13" ht="14.25" customHeight="1" x14ac:dyDescent="0.3">
      <c r="B244" s="4"/>
      <c r="C244" s="5"/>
      <c r="D244" s="6"/>
      <c r="E244" s="7"/>
      <c r="G244" s="7"/>
      <c r="I244" s="7"/>
      <c r="K244" s="7"/>
      <c r="M244" s="7"/>
    </row>
    <row r="245" spans="2:13" ht="14.25" customHeight="1" x14ac:dyDescent="0.3">
      <c r="B245" s="4"/>
      <c r="C245" s="5"/>
      <c r="D245" s="6"/>
      <c r="E245" s="7"/>
      <c r="G245" s="7"/>
      <c r="I245" s="7"/>
      <c r="K245" s="7"/>
      <c r="M245" s="7"/>
    </row>
    <row r="246" spans="2:13" ht="14.25" customHeight="1" x14ac:dyDescent="0.3">
      <c r="B246" s="4"/>
      <c r="C246" s="5"/>
      <c r="D246" s="6"/>
      <c r="E246" s="7"/>
      <c r="G246" s="7"/>
      <c r="I246" s="7"/>
      <c r="K246" s="7"/>
      <c r="M246" s="7"/>
    </row>
    <row r="247" spans="2:13" ht="14.25" customHeight="1" x14ac:dyDescent="0.3">
      <c r="B247" s="4"/>
      <c r="C247" s="5"/>
      <c r="D247" s="6"/>
      <c r="E247" s="7"/>
      <c r="G247" s="7"/>
      <c r="I247" s="7"/>
      <c r="K247" s="7"/>
      <c r="M247" s="7"/>
    </row>
    <row r="248" spans="2:13" ht="14.25" customHeight="1" x14ac:dyDescent="0.3">
      <c r="B248" s="4"/>
      <c r="C248" s="5"/>
      <c r="D248" s="6"/>
      <c r="E248" s="7"/>
      <c r="G248" s="7"/>
      <c r="I248" s="7"/>
      <c r="K248" s="7"/>
      <c r="M248" s="7"/>
    </row>
    <row r="249" spans="2:13" ht="14.25" customHeight="1" x14ac:dyDescent="0.3">
      <c r="B249" s="4"/>
      <c r="C249" s="5"/>
      <c r="D249" s="6"/>
      <c r="E249" s="7"/>
      <c r="G249" s="7"/>
      <c r="I249" s="7"/>
      <c r="K249" s="7"/>
      <c r="M249" s="7"/>
    </row>
    <row r="250" spans="2:13" ht="14.25" customHeight="1" x14ac:dyDescent="0.3">
      <c r="B250" s="4"/>
      <c r="C250" s="5"/>
      <c r="D250" s="6"/>
      <c r="E250" s="7"/>
      <c r="G250" s="7"/>
      <c r="I250" s="7"/>
      <c r="K250" s="7"/>
      <c r="M250" s="7"/>
    </row>
    <row r="251" spans="2:13" ht="14.25" customHeight="1" x14ac:dyDescent="0.3">
      <c r="B251" s="4"/>
      <c r="C251" s="5"/>
      <c r="D251" s="6"/>
      <c r="E251" s="7"/>
      <c r="G251" s="7"/>
      <c r="I251" s="7"/>
      <c r="K251" s="7"/>
      <c r="M251" s="7"/>
    </row>
    <row r="252" spans="2:13" ht="14.25" customHeight="1" x14ac:dyDescent="0.3">
      <c r="B252" s="4"/>
      <c r="C252" s="5"/>
      <c r="D252" s="6"/>
      <c r="E252" s="7"/>
      <c r="G252" s="7"/>
      <c r="I252" s="7"/>
      <c r="K252" s="7"/>
      <c r="M252" s="7"/>
    </row>
    <row r="253" spans="2:13" ht="14.25" customHeight="1" x14ac:dyDescent="0.3">
      <c r="B253" s="4"/>
      <c r="C253" s="5"/>
      <c r="D253" s="6"/>
      <c r="E253" s="7"/>
      <c r="G253" s="7"/>
      <c r="I253" s="7"/>
      <c r="K253" s="7"/>
      <c r="M253" s="7"/>
    </row>
    <row r="254" spans="2:13" ht="14.25" customHeight="1" x14ac:dyDescent="0.3">
      <c r="B254" s="4"/>
      <c r="C254" s="5"/>
      <c r="D254" s="6"/>
      <c r="E254" s="7"/>
      <c r="G254" s="7"/>
      <c r="I254" s="7"/>
      <c r="K254" s="7"/>
      <c r="M254" s="7"/>
    </row>
    <row r="255" spans="2:13" ht="14.25" customHeight="1" x14ac:dyDescent="0.3">
      <c r="B255" s="4"/>
      <c r="C255" s="5"/>
      <c r="D255" s="6"/>
      <c r="E255" s="7"/>
      <c r="G255" s="7"/>
      <c r="I255" s="7"/>
      <c r="K255" s="7"/>
      <c r="M255" s="7"/>
    </row>
    <row r="256" spans="2:13" ht="14.25" customHeight="1" x14ac:dyDescent="0.3">
      <c r="B256" s="4"/>
      <c r="C256" s="5"/>
      <c r="D256" s="6"/>
      <c r="E256" s="7"/>
      <c r="G256" s="7"/>
      <c r="I256" s="7"/>
      <c r="K256" s="7"/>
      <c r="M256" s="7"/>
    </row>
    <row r="257" spans="2:13" ht="14.25" customHeight="1" x14ac:dyDescent="0.3">
      <c r="B257" s="4"/>
      <c r="C257" s="5"/>
      <c r="D257" s="6"/>
      <c r="E257" s="7"/>
      <c r="G257" s="7"/>
      <c r="I257" s="7"/>
      <c r="K257" s="7"/>
      <c r="M257" s="7"/>
    </row>
    <row r="258" spans="2:13" ht="14.25" customHeight="1" x14ac:dyDescent="0.3">
      <c r="B258" s="4"/>
      <c r="C258" s="5"/>
      <c r="D258" s="6"/>
      <c r="E258" s="7"/>
      <c r="G258" s="7"/>
      <c r="I258" s="7"/>
      <c r="K258" s="7"/>
      <c r="M258" s="7"/>
    </row>
    <row r="259" spans="2:13" ht="14.25" customHeight="1" x14ac:dyDescent="0.3">
      <c r="B259" s="4"/>
      <c r="C259" s="5"/>
      <c r="D259" s="6"/>
      <c r="E259" s="7"/>
      <c r="G259" s="7"/>
      <c r="I259" s="7"/>
      <c r="K259" s="7"/>
      <c r="M259" s="7"/>
    </row>
    <row r="260" spans="2:13" ht="14.25" customHeight="1" x14ac:dyDescent="0.3">
      <c r="B260" s="4"/>
      <c r="C260" s="5"/>
      <c r="D260" s="6"/>
      <c r="E260" s="7"/>
      <c r="G260" s="7"/>
      <c r="I260" s="7"/>
      <c r="K260" s="7"/>
      <c r="M260" s="7"/>
    </row>
    <row r="261" spans="2:13" ht="14.25" customHeight="1" x14ac:dyDescent="0.3">
      <c r="B261" s="4"/>
      <c r="C261" s="5"/>
      <c r="D261" s="6"/>
      <c r="E261" s="7"/>
      <c r="G261" s="7"/>
      <c r="I261" s="7"/>
      <c r="K261" s="7"/>
      <c r="M261" s="7"/>
    </row>
    <row r="262" spans="2:13" ht="14.25" customHeight="1" x14ac:dyDescent="0.3">
      <c r="B262" s="4"/>
      <c r="C262" s="5"/>
      <c r="D262" s="6"/>
      <c r="E262" s="7"/>
      <c r="G262" s="7"/>
      <c r="I262" s="7"/>
      <c r="K262" s="7"/>
      <c r="M262" s="7"/>
    </row>
    <row r="263" spans="2:13" ht="14.25" customHeight="1" x14ac:dyDescent="0.3">
      <c r="B263" s="4"/>
      <c r="C263" s="5"/>
      <c r="D263" s="6"/>
      <c r="E263" s="7"/>
      <c r="G263" s="7"/>
      <c r="I263" s="7"/>
      <c r="K263" s="7"/>
      <c r="M263" s="7"/>
    </row>
    <row r="264" spans="2:13" ht="14.25" customHeight="1" x14ac:dyDescent="0.3">
      <c r="B264" s="4"/>
      <c r="C264" s="5"/>
      <c r="D264" s="6"/>
      <c r="E264" s="7"/>
      <c r="G264" s="7"/>
      <c r="I264" s="7"/>
      <c r="K264" s="7"/>
      <c r="M264" s="7"/>
    </row>
    <row r="265" spans="2:13" ht="14.25" customHeight="1" x14ac:dyDescent="0.3">
      <c r="B265" s="4"/>
      <c r="C265" s="5"/>
      <c r="D265" s="6"/>
      <c r="E265" s="7"/>
      <c r="G265" s="7"/>
      <c r="I265" s="7"/>
      <c r="K265" s="7"/>
      <c r="M265" s="7"/>
    </row>
    <row r="266" spans="2:13" ht="14.25" customHeight="1" x14ac:dyDescent="0.3">
      <c r="B266" s="4"/>
      <c r="C266" s="5"/>
      <c r="D266" s="6"/>
      <c r="E266" s="7"/>
      <c r="G266" s="7"/>
      <c r="I266" s="7"/>
      <c r="K266" s="7"/>
      <c r="M266" s="7"/>
    </row>
    <row r="267" spans="2:13" ht="14.25" customHeight="1" x14ac:dyDescent="0.3">
      <c r="B267" s="4"/>
      <c r="C267" s="5"/>
      <c r="D267" s="6"/>
      <c r="E267" s="7"/>
      <c r="G267" s="7"/>
      <c r="I267" s="7"/>
      <c r="K267" s="7"/>
      <c r="M267" s="7"/>
    </row>
    <row r="268" spans="2:13" ht="14.25" customHeight="1" x14ac:dyDescent="0.3">
      <c r="B268" s="4"/>
      <c r="C268" s="5"/>
      <c r="D268" s="6"/>
      <c r="E268" s="7"/>
      <c r="G268" s="7"/>
      <c r="I268" s="7"/>
      <c r="K268" s="7"/>
      <c r="M268" s="7"/>
    </row>
    <row r="269" spans="2:13" ht="14.25" customHeight="1" x14ac:dyDescent="0.3">
      <c r="B269" s="4"/>
      <c r="C269" s="5"/>
      <c r="D269" s="6"/>
      <c r="E269" s="7"/>
      <c r="G269" s="7"/>
      <c r="I269" s="7"/>
      <c r="K269" s="7"/>
      <c r="M269" s="7"/>
    </row>
    <row r="270" spans="2:13" ht="14.25" customHeight="1" x14ac:dyDescent="0.3">
      <c r="B270" s="4"/>
      <c r="C270" s="5"/>
      <c r="D270" s="6"/>
      <c r="E270" s="7"/>
      <c r="G270" s="7"/>
      <c r="I270" s="7"/>
      <c r="K270" s="7"/>
      <c r="M270" s="7"/>
    </row>
    <row r="271" spans="2:13" ht="14.25" customHeight="1" x14ac:dyDescent="0.3">
      <c r="B271" s="4"/>
      <c r="C271" s="5"/>
      <c r="D271" s="6"/>
      <c r="E271" s="7"/>
      <c r="G271" s="7"/>
      <c r="I271" s="7"/>
      <c r="K271" s="7"/>
      <c r="M271" s="7"/>
    </row>
    <row r="272" spans="2:13" ht="14.25" customHeight="1" x14ac:dyDescent="0.3">
      <c r="B272" s="4"/>
      <c r="C272" s="5"/>
      <c r="D272" s="6"/>
      <c r="E272" s="7"/>
      <c r="G272" s="7"/>
      <c r="I272" s="7"/>
      <c r="K272" s="7"/>
      <c r="M272" s="7"/>
    </row>
    <row r="273" spans="2:13" ht="14.25" customHeight="1" x14ac:dyDescent="0.3">
      <c r="B273" s="4"/>
      <c r="C273" s="5"/>
      <c r="D273" s="6"/>
      <c r="E273" s="7"/>
      <c r="G273" s="7"/>
      <c r="I273" s="7"/>
      <c r="K273" s="7"/>
      <c r="M273" s="7"/>
    </row>
    <row r="274" spans="2:13" ht="14.25" customHeight="1" x14ac:dyDescent="0.3">
      <c r="B274" s="4"/>
      <c r="C274" s="5"/>
      <c r="D274" s="6"/>
      <c r="E274" s="7"/>
      <c r="G274" s="7"/>
      <c r="I274" s="7"/>
      <c r="K274" s="7"/>
      <c r="M274" s="7"/>
    </row>
    <row r="275" spans="2:13" ht="14.25" customHeight="1" x14ac:dyDescent="0.3">
      <c r="B275" s="4"/>
      <c r="C275" s="5"/>
      <c r="D275" s="6"/>
      <c r="E275" s="7"/>
      <c r="G275" s="7"/>
      <c r="I275" s="7"/>
      <c r="K275" s="7"/>
      <c r="M275" s="7"/>
    </row>
    <row r="276" spans="2:13" ht="14.25" customHeight="1" x14ac:dyDescent="0.3">
      <c r="B276" s="4"/>
      <c r="C276" s="5"/>
      <c r="D276" s="6"/>
      <c r="E276" s="7"/>
      <c r="G276" s="7"/>
      <c r="I276" s="7"/>
      <c r="K276" s="7"/>
      <c r="M276" s="7"/>
    </row>
    <row r="277" spans="2:13" ht="14.25" customHeight="1" x14ac:dyDescent="0.3">
      <c r="B277" s="4"/>
      <c r="C277" s="5"/>
      <c r="D277" s="6"/>
      <c r="E277" s="7"/>
      <c r="G277" s="7"/>
      <c r="I277" s="7"/>
      <c r="K277" s="7"/>
      <c r="M277" s="7"/>
    </row>
    <row r="278" spans="2:13" ht="14.25" customHeight="1" x14ac:dyDescent="0.3">
      <c r="B278" s="4"/>
      <c r="C278" s="5"/>
      <c r="D278" s="6"/>
      <c r="E278" s="7"/>
      <c r="G278" s="7"/>
      <c r="I278" s="7"/>
      <c r="K278" s="7"/>
      <c r="M278" s="7"/>
    </row>
    <row r="279" spans="2:13" ht="14.25" customHeight="1" x14ac:dyDescent="0.3">
      <c r="B279" s="4"/>
      <c r="C279" s="5"/>
      <c r="D279" s="6"/>
      <c r="E279" s="7"/>
      <c r="G279" s="7"/>
      <c r="I279" s="7"/>
      <c r="K279" s="7"/>
      <c r="M279" s="7"/>
    </row>
    <row r="280" spans="2:13" ht="14.25" customHeight="1" x14ac:dyDescent="0.3">
      <c r="B280" s="4"/>
      <c r="C280" s="5"/>
      <c r="D280" s="6"/>
      <c r="E280" s="7"/>
      <c r="G280" s="7"/>
      <c r="I280" s="7"/>
      <c r="K280" s="7"/>
      <c r="M280" s="7"/>
    </row>
    <row r="281" spans="2:13" ht="14.25" customHeight="1" x14ac:dyDescent="0.3">
      <c r="B281" s="4"/>
      <c r="C281" s="5"/>
      <c r="D281" s="6"/>
      <c r="E281" s="7"/>
      <c r="G281" s="7"/>
      <c r="I281" s="7"/>
      <c r="K281" s="7"/>
      <c r="M281" s="7"/>
    </row>
    <row r="282" spans="2:13" ht="14.25" customHeight="1" x14ac:dyDescent="0.3">
      <c r="B282" s="4"/>
      <c r="C282" s="5"/>
      <c r="D282" s="6"/>
      <c r="E282" s="7"/>
      <c r="G282" s="7"/>
      <c r="I282" s="7"/>
      <c r="K282" s="7"/>
      <c r="M282" s="7"/>
    </row>
    <row r="283" spans="2:13" ht="14.25" customHeight="1" x14ac:dyDescent="0.3">
      <c r="B283" s="4"/>
      <c r="C283" s="5"/>
      <c r="D283" s="6"/>
      <c r="E283" s="7"/>
      <c r="G283" s="7"/>
      <c r="I283" s="7"/>
      <c r="K283" s="7"/>
      <c r="M283" s="7"/>
    </row>
    <row r="284" spans="2:13" ht="14.25" customHeight="1" x14ac:dyDescent="0.3">
      <c r="B284" s="4"/>
      <c r="C284" s="5"/>
      <c r="D284" s="6"/>
      <c r="E284" s="7"/>
      <c r="G284" s="7"/>
      <c r="I284" s="7"/>
      <c r="K284" s="7"/>
      <c r="M284" s="7"/>
    </row>
    <row r="285" spans="2:13" ht="14.25" customHeight="1" x14ac:dyDescent="0.3">
      <c r="B285" s="4"/>
      <c r="C285" s="5"/>
      <c r="D285" s="6"/>
      <c r="E285" s="7"/>
      <c r="G285" s="7"/>
      <c r="I285" s="7"/>
      <c r="K285" s="7"/>
      <c r="M285" s="7"/>
    </row>
    <row r="286" spans="2:13" ht="14.25" customHeight="1" x14ac:dyDescent="0.3">
      <c r="B286" s="4"/>
      <c r="C286" s="5"/>
      <c r="D286" s="6"/>
      <c r="E286" s="7"/>
      <c r="G286" s="7"/>
      <c r="I286" s="7"/>
      <c r="K286" s="7"/>
      <c r="M286" s="7"/>
    </row>
    <row r="287" spans="2:13" ht="14.25" customHeight="1" x14ac:dyDescent="0.3">
      <c r="B287" s="4"/>
      <c r="C287" s="5"/>
      <c r="D287" s="6"/>
      <c r="E287" s="7"/>
      <c r="G287" s="7"/>
      <c r="I287" s="7"/>
      <c r="K287" s="7"/>
      <c r="M287" s="7"/>
    </row>
    <row r="288" spans="2:13" ht="14.25" customHeight="1" x14ac:dyDescent="0.3">
      <c r="B288" s="4"/>
      <c r="C288" s="5"/>
      <c r="D288" s="6"/>
      <c r="E288" s="7"/>
      <c r="G288" s="7"/>
      <c r="I288" s="7"/>
      <c r="K288" s="7"/>
      <c r="M288" s="7"/>
    </row>
    <row r="289" spans="2:13" ht="14.25" customHeight="1" x14ac:dyDescent="0.3">
      <c r="B289" s="4"/>
      <c r="C289" s="5"/>
      <c r="D289" s="6"/>
      <c r="E289" s="7"/>
      <c r="G289" s="7"/>
      <c r="I289" s="7"/>
      <c r="K289" s="7"/>
      <c r="M289" s="7"/>
    </row>
    <row r="290" spans="2:13" ht="14.25" customHeight="1" x14ac:dyDescent="0.3">
      <c r="B290" s="4"/>
      <c r="C290" s="5"/>
      <c r="D290" s="6"/>
      <c r="E290" s="7"/>
      <c r="G290" s="7"/>
      <c r="I290" s="7"/>
      <c r="K290" s="7"/>
      <c r="M290" s="7"/>
    </row>
    <row r="291" spans="2:13" ht="14.25" customHeight="1" x14ac:dyDescent="0.3">
      <c r="B291" s="4"/>
      <c r="C291" s="5"/>
      <c r="D291" s="6"/>
      <c r="E291" s="7"/>
      <c r="G291" s="7"/>
      <c r="I291" s="7"/>
      <c r="K291" s="7"/>
      <c r="M291" s="7"/>
    </row>
    <row r="292" spans="2:13" ht="14.25" customHeight="1" x14ac:dyDescent="0.3">
      <c r="B292" s="4"/>
      <c r="C292" s="5"/>
      <c r="D292" s="6"/>
      <c r="E292" s="7"/>
      <c r="G292" s="7"/>
      <c r="I292" s="7"/>
      <c r="K292" s="7"/>
      <c r="M292" s="7"/>
    </row>
    <row r="293" spans="2:13" ht="14.25" customHeight="1" x14ac:dyDescent="0.3">
      <c r="B293" s="4"/>
      <c r="C293" s="5"/>
      <c r="D293" s="6"/>
      <c r="E293" s="7"/>
      <c r="G293" s="7"/>
      <c r="I293" s="7"/>
      <c r="K293" s="7"/>
      <c r="M293" s="7"/>
    </row>
    <row r="294" spans="2:13" ht="14.25" customHeight="1" x14ac:dyDescent="0.3">
      <c r="B294" s="4"/>
      <c r="C294" s="5"/>
      <c r="D294" s="6"/>
      <c r="E294" s="7"/>
      <c r="G294" s="7"/>
      <c r="I294" s="7"/>
      <c r="K294" s="7"/>
      <c r="M294" s="7"/>
    </row>
    <row r="295" spans="2:13" ht="14.25" customHeight="1" x14ac:dyDescent="0.3">
      <c r="B295" s="4"/>
      <c r="C295" s="5"/>
      <c r="D295" s="6"/>
      <c r="E295" s="7"/>
      <c r="G295" s="7"/>
      <c r="I295" s="7"/>
      <c r="K295" s="7"/>
      <c r="M295" s="7"/>
    </row>
    <row r="296" spans="2:13" ht="14.25" customHeight="1" x14ac:dyDescent="0.3">
      <c r="B296" s="4"/>
      <c r="C296" s="5"/>
      <c r="D296" s="6"/>
      <c r="E296" s="7"/>
      <c r="G296" s="7"/>
      <c r="I296" s="7"/>
      <c r="K296" s="7"/>
      <c r="M296" s="7"/>
    </row>
    <row r="297" spans="2:13" ht="14.25" customHeight="1" x14ac:dyDescent="0.3">
      <c r="B297" s="4"/>
      <c r="C297" s="5"/>
      <c r="D297" s="6"/>
      <c r="E297" s="7"/>
      <c r="G297" s="7"/>
      <c r="I297" s="7"/>
      <c r="K297" s="7"/>
      <c r="M297" s="7"/>
    </row>
    <row r="298" spans="2:13" ht="14.25" customHeight="1" x14ac:dyDescent="0.3">
      <c r="B298" s="4"/>
      <c r="C298" s="5"/>
      <c r="D298" s="6"/>
      <c r="E298" s="7"/>
      <c r="G298" s="7"/>
      <c r="I298" s="7"/>
      <c r="K298" s="7"/>
      <c r="M298" s="7"/>
    </row>
    <row r="299" spans="2:13" ht="14.25" customHeight="1" x14ac:dyDescent="0.3">
      <c r="B299" s="4"/>
      <c r="C299" s="5"/>
      <c r="D299" s="6"/>
      <c r="E299" s="7"/>
      <c r="G299" s="7"/>
      <c r="I299" s="7"/>
      <c r="K299" s="7"/>
      <c r="M299" s="7"/>
    </row>
    <row r="300" spans="2:13" ht="14.25" customHeight="1" x14ac:dyDescent="0.3">
      <c r="B300" s="4"/>
      <c r="C300" s="5"/>
      <c r="D300" s="6"/>
      <c r="E300" s="7"/>
      <c r="G300" s="7"/>
      <c r="I300" s="7"/>
      <c r="K300" s="7"/>
      <c r="M300" s="7"/>
    </row>
    <row r="301" spans="2:13" ht="14.25" customHeight="1" x14ac:dyDescent="0.3">
      <c r="B301" s="4"/>
      <c r="C301" s="5"/>
      <c r="D301" s="6"/>
      <c r="E301" s="7"/>
      <c r="G301" s="7"/>
      <c r="I301" s="7"/>
      <c r="K301" s="7"/>
      <c r="M301" s="7"/>
    </row>
    <row r="302" spans="2:13" ht="14.25" customHeight="1" x14ac:dyDescent="0.3">
      <c r="B302" s="4"/>
      <c r="C302" s="5"/>
      <c r="D302" s="6"/>
      <c r="E302" s="7"/>
      <c r="G302" s="7"/>
      <c r="I302" s="7"/>
      <c r="K302" s="7"/>
      <c r="M302" s="7"/>
    </row>
    <row r="303" spans="2:13" ht="14.25" customHeight="1" x14ac:dyDescent="0.3">
      <c r="B303" s="4"/>
      <c r="C303" s="5"/>
      <c r="D303" s="6"/>
      <c r="E303" s="7"/>
      <c r="G303" s="7"/>
      <c r="I303" s="7"/>
      <c r="K303" s="7"/>
      <c r="M303" s="7"/>
    </row>
    <row r="304" spans="2:13" ht="14.25" customHeight="1" x14ac:dyDescent="0.3">
      <c r="B304" s="4"/>
      <c r="C304" s="5"/>
      <c r="D304" s="6"/>
      <c r="E304" s="7"/>
      <c r="G304" s="7"/>
      <c r="I304" s="7"/>
      <c r="K304" s="7"/>
      <c r="M304" s="7"/>
    </row>
    <row r="305" spans="2:13" ht="14.25" customHeight="1" x14ac:dyDescent="0.3">
      <c r="B305" s="4"/>
      <c r="C305" s="5"/>
      <c r="D305" s="6"/>
      <c r="E305" s="7"/>
      <c r="G305" s="7"/>
      <c r="I305" s="7"/>
      <c r="K305" s="7"/>
      <c r="M305" s="7"/>
    </row>
    <row r="306" spans="2:13" ht="14.25" customHeight="1" x14ac:dyDescent="0.3">
      <c r="B306" s="4"/>
      <c r="C306" s="5"/>
      <c r="D306" s="6"/>
      <c r="E306" s="7"/>
      <c r="G306" s="7"/>
      <c r="I306" s="7"/>
      <c r="K306" s="7"/>
      <c r="M306" s="7"/>
    </row>
    <row r="307" spans="2:13" ht="14.25" customHeight="1" x14ac:dyDescent="0.3">
      <c r="B307" s="4"/>
      <c r="C307" s="5"/>
      <c r="D307" s="6"/>
      <c r="E307" s="7"/>
      <c r="G307" s="7"/>
      <c r="I307" s="7"/>
      <c r="K307" s="7"/>
      <c r="M307" s="7"/>
    </row>
    <row r="308" spans="2:13" ht="14.25" customHeight="1" x14ac:dyDescent="0.3">
      <c r="B308" s="4"/>
      <c r="C308" s="5"/>
      <c r="D308" s="6"/>
      <c r="E308" s="7"/>
      <c r="G308" s="7"/>
      <c r="I308" s="7"/>
      <c r="K308" s="7"/>
      <c r="M308" s="7"/>
    </row>
    <row r="309" spans="2:13" ht="14.25" customHeight="1" x14ac:dyDescent="0.3">
      <c r="B309" s="4"/>
      <c r="C309" s="5"/>
      <c r="D309" s="6"/>
      <c r="E309" s="7"/>
      <c r="G309" s="7"/>
      <c r="I309" s="7"/>
      <c r="K309" s="7"/>
      <c r="M309" s="7"/>
    </row>
    <row r="310" spans="2:13" ht="14.25" customHeight="1" x14ac:dyDescent="0.3">
      <c r="B310" s="4"/>
      <c r="C310" s="5"/>
      <c r="D310" s="6"/>
      <c r="E310" s="7"/>
      <c r="G310" s="7"/>
      <c r="I310" s="7"/>
      <c r="K310" s="7"/>
      <c r="M310" s="7"/>
    </row>
    <row r="311" spans="2:13" ht="14.25" customHeight="1" x14ac:dyDescent="0.3">
      <c r="B311" s="4"/>
      <c r="C311" s="5"/>
      <c r="D311" s="6"/>
      <c r="E311" s="7"/>
      <c r="G311" s="7"/>
      <c r="I311" s="7"/>
      <c r="K311" s="7"/>
      <c r="M311" s="7"/>
    </row>
    <row r="312" spans="2:13" ht="14.25" customHeight="1" x14ac:dyDescent="0.3">
      <c r="B312" s="4"/>
      <c r="C312" s="5"/>
      <c r="D312" s="6"/>
      <c r="E312" s="7"/>
      <c r="G312" s="7"/>
      <c r="I312" s="7"/>
      <c r="K312" s="7"/>
      <c r="M312" s="7"/>
    </row>
    <row r="313" spans="2:13" ht="14.25" customHeight="1" x14ac:dyDescent="0.3">
      <c r="B313" s="4"/>
      <c r="C313" s="5"/>
      <c r="D313" s="6"/>
      <c r="E313" s="7"/>
      <c r="G313" s="7"/>
      <c r="I313" s="7"/>
      <c r="K313" s="7"/>
      <c r="M313" s="7"/>
    </row>
    <row r="314" spans="2:13" ht="14.25" customHeight="1" x14ac:dyDescent="0.3">
      <c r="B314" s="4"/>
      <c r="C314" s="5"/>
      <c r="D314" s="6"/>
      <c r="E314" s="7"/>
      <c r="G314" s="7"/>
      <c r="I314" s="7"/>
      <c r="K314" s="7"/>
      <c r="M314" s="7"/>
    </row>
    <row r="315" spans="2:13" ht="14.25" customHeight="1" x14ac:dyDescent="0.3">
      <c r="B315" s="4"/>
      <c r="C315" s="5"/>
      <c r="D315" s="6"/>
      <c r="E315" s="7"/>
      <c r="G315" s="7"/>
      <c r="I315" s="7"/>
      <c r="K315" s="7"/>
      <c r="M315" s="7"/>
    </row>
    <row r="316" spans="2:13" ht="14.25" customHeight="1" x14ac:dyDescent="0.3">
      <c r="B316" s="4"/>
      <c r="C316" s="5"/>
      <c r="D316" s="6"/>
      <c r="E316" s="7"/>
      <c r="G316" s="7"/>
      <c r="I316" s="7"/>
      <c r="K316" s="7"/>
      <c r="M316" s="7"/>
    </row>
    <row r="317" spans="2:13" ht="14.25" customHeight="1" x14ac:dyDescent="0.3">
      <c r="B317" s="4"/>
      <c r="C317" s="5"/>
      <c r="D317" s="6"/>
      <c r="E317" s="7"/>
      <c r="G317" s="7"/>
      <c r="I317" s="7"/>
      <c r="K317" s="7"/>
      <c r="M317" s="7"/>
    </row>
    <row r="318" spans="2:13" ht="14.25" customHeight="1" x14ac:dyDescent="0.3">
      <c r="B318" s="4"/>
      <c r="C318" s="5"/>
      <c r="D318" s="6"/>
      <c r="E318" s="7"/>
      <c r="G318" s="7"/>
      <c r="I318" s="7"/>
      <c r="K318" s="7"/>
      <c r="M318" s="7"/>
    </row>
    <row r="319" spans="2:13" ht="14.25" customHeight="1" x14ac:dyDescent="0.3">
      <c r="B319" s="4"/>
      <c r="C319" s="5"/>
      <c r="D319" s="6"/>
      <c r="E319" s="7"/>
      <c r="G319" s="7"/>
      <c r="I319" s="7"/>
      <c r="K319" s="7"/>
      <c r="M319" s="7"/>
    </row>
    <row r="320" spans="2:13" ht="14.25" customHeight="1" x14ac:dyDescent="0.3">
      <c r="B320" s="4"/>
      <c r="C320" s="5"/>
      <c r="D320" s="6"/>
      <c r="E320" s="7"/>
      <c r="G320" s="7"/>
      <c r="I320" s="7"/>
      <c r="K320" s="7"/>
      <c r="M320" s="7"/>
    </row>
    <row r="321" spans="2:13" ht="14.25" customHeight="1" x14ac:dyDescent="0.3">
      <c r="B321" s="4"/>
      <c r="C321" s="5"/>
      <c r="D321" s="6"/>
      <c r="E321" s="7"/>
      <c r="G321" s="7"/>
      <c r="I321" s="7"/>
      <c r="K321" s="7"/>
      <c r="M321" s="7"/>
    </row>
    <row r="322" spans="2:13" ht="14.25" customHeight="1" x14ac:dyDescent="0.3">
      <c r="B322" s="4"/>
      <c r="C322" s="5"/>
      <c r="D322" s="6"/>
      <c r="E322" s="7"/>
      <c r="G322" s="7"/>
      <c r="I322" s="7"/>
      <c r="K322" s="7"/>
      <c r="M322" s="7"/>
    </row>
    <row r="323" spans="2:13" ht="14.25" customHeight="1" x14ac:dyDescent="0.3">
      <c r="B323" s="4"/>
      <c r="C323" s="5"/>
      <c r="D323" s="6"/>
      <c r="E323" s="7"/>
      <c r="G323" s="7"/>
      <c r="I323" s="7"/>
      <c r="K323" s="7"/>
      <c r="M323" s="7"/>
    </row>
    <row r="324" spans="2:13" ht="14.25" customHeight="1" x14ac:dyDescent="0.3">
      <c r="B324" s="4"/>
      <c r="C324" s="5"/>
      <c r="D324" s="6"/>
      <c r="E324" s="7"/>
      <c r="G324" s="7"/>
      <c r="I324" s="7"/>
      <c r="K324" s="7"/>
      <c r="M324" s="7"/>
    </row>
    <row r="325" spans="2:13" ht="14.25" customHeight="1" x14ac:dyDescent="0.3">
      <c r="B325" s="4"/>
      <c r="C325" s="5"/>
      <c r="D325" s="6"/>
      <c r="E325" s="7"/>
      <c r="G325" s="7"/>
      <c r="I325" s="7"/>
      <c r="K325" s="7"/>
      <c r="M325" s="7"/>
    </row>
    <row r="326" spans="2:13" ht="14.25" customHeight="1" x14ac:dyDescent="0.3">
      <c r="B326" s="4"/>
      <c r="C326" s="5"/>
      <c r="D326" s="6"/>
      <c r="E326" s="7"/>
      <c r="G326" s="7"/>
      <c r="I326" s="7"/>
      <c r="K326" s="7"/>
      <c r="M326" s="7"/>
    </row>
    <row r="327" spans="2:13" ht="14.25" customHeight="1" x14ac:dyDescent="0.3">
      <c r="B327" s="4"/>
      <c r="C327" s="5"/>
      <c r="D327" s="6"/>
      <c r="E327" s="7"/>
      <c r="G327" s="7"/>
      <c r="I327" s="7"/>
      <c r="K327" s="7"/>
      <c r="M327" s="7"/>
    </row>
    <row r="328" spans="2:13" ht="14.25" customHeight="1" x14ac:dyDescent="0.3">
      <c r="B328" s="4"/>
      <c r="C328" s="5"/>
      <c r="D328" s="6"/>
      <c r="E328" s="7"/>
      <c r="G328" s="7"/>
      <c r="I328" s="7"/>
      <c r="K328" s="7"/>
      <c r="M328" s="7"/>
    </row>
    <row r="329" spans="2:13" ht="14.25" customHeight="1" x14ac:dyDescent="0.3">
      <c r="B329" s="4"/>
      <c r="C329" s="5"/>
      <c r="D329" s="6"/>
      <c r="E329" s="7"/>
      <c r="G329" s="7"/>
      <c r="I329" s="7"/>
      <c r="K329" s="7"/>
      <c r="M329" s="7"/>
    </row>
    <row r="330" spans="2:13" ht="14.25" customHeight="1" x14ac:dyDescent="0.3">
      <c r="B330" s="4"/>
      <c r="C330" s="5"/>
      <c r="D330" s="6"/>
      <c r="E330" s="7"/>
      <c r="G330" s="7"/>
      <c r="I330" s="7"/>
      <c r="K330" s="7"/>
      <c r="M330" s="7"/>
    </row>
    <row r="331" spans="2:13" ht="14.25" customHeight="1" x14ac:dyDescent="0.3">
      <c r="B331" s="4"/>
      <c r="C331" s="5"/>
      <c r="D331" s="6"/>
      <c r="E331" s="7"/>
      <c r="G331" s="7"/>
      <c r="I331" s="7"/>
      <c r="K331" s="7"/>
      <c r="M331" s="7"/>
    </row>
    <row r="332" spans="2:13" ht="14.25" customHeight="1" x14ac:dyDescent="0.3">
      <c r="B332" s="4"/>
      <c r="C332" s="5"/>
      <c r="D332" s="6"/>
      <c r="E332" s="7"/>
      <c r="G332" s="7"/>
      <c r="I332" s="7"/>
      <c r="K332" s="7"/>
      <c r="M332" s="7"/>
    </row>
    <row r="333" spans="2:13" ht="14.25" customHeight="1" x14ac:dyDescent="0.3">
      <c r="B333" s="4"/>
      <c r="C333" s="5"/>
      <c r="D333" s="6"/>
      <c r="E333" s="7"/>
      <c r="G333" s="7"/>
      <c r="I333" s="7"/>
      <c r="K333" s="7"/>
      <c r="M333" s="7"/>
    </row>
    <row r="334" spans="2:13" ht="14.25" customHeight="1" x14ac:dyDescent="0.3">
      <c r="B334" s="4"/>
      <c r="C334" s="5"/>
      <c r="D334" s="6"/>
      <c r="E334" s="7"/>
      <c r="G334" s="7"/>
      <c r="I334" s="7"/>
      <c r="K334" s="7"/>
      <c r="M334" s="7"/>
    </row>
    <row r="335" spans="2:13" ht="14.25" customHeight="1" x14ac:dyDescent="0.3">
      <c r="B335" s="4"/>
      <c r="C335" s="5"/>
      <c r="D335" s="6"/>
      <c r="E335" s="7"/>
      <c r="G335" s="7"/>
      <c r="I335" s="7"/>
      <c r="K335" s="7"/>
      <c r="M335" s="7"/>
    </row>
    <row r="336" spans="2:13" ht="14.25" customHeight="1" x14ac:dyDescent="0.3">
      <c r="B336" s="4"/>
      <c r="C336" s="5"/>
      <c r="D336" s="6"/>
      <c r="E336" s="7"/>
      <c r="G336" s="7"/>
      <c r="I336" s="7"/>
      <c r="K336" s="7"/>
      <c r="M336" s="7"/>
    </row>
    <row r="337" spans="2:13" ht="14.25" customHeight="1" x14ac:dyDescent="0.3">
      <c r="B337" s="4"/>
      <c r="C337" s="5"/>
      <c r="D337" s="6"/>
      <c r="E337" s="7"/>
      <c r="G337" s="7"/>
      <c r="I337" s="7"/>
      <c r="K337" s="7"/>
      <c r="M337" s="7"/>
    </row>
    <row r="338" spans="2:13" ht="14.25" customHeight="1" x14ac:dyDescent="0.3">
      <c r="B338" s="4"/>
      <c r="C338" s="5"/>
      <c r="D338" s="6"/>
      <c r="E338" s="7"/>
      <c r="G338" s="7"/>
      <c r="I338" s="7"/>
      <c r="K338" s="7"/>
      <c r="M338" s="7"/>
    </row>
    <row r="339" spans="2:13" ht="14.25" customHeight="1" x14ac:dyDescent="0.3">
      <c r="B339" s="4"/>
      <c r="C339" s="5"/>
      <c r="D339" s="6"/>
      <c r="E339" s="7"/>
      <c r="G339" s="7"/>
      <c r="I339" s="7"/>
      <c r="K339" s="7"/>
      <c r="M339" s="7"/>
    </row>
    <row r="340" spans="2:13" ht="14.25" customHeight="1" x14ac:dyDescent="0.3">
      <c r="B340" s="4"/>
      <c r="C340" s="5"/>
      <c r="D340" s="6"/>
      <c r="E340" s="7"/>
      <c r="G340" s="7"/>
      <c r="I340" s="7"/>
      <c r="K340" s="7"/>
      <c r="M340" s="7"/>
    </row>
    <row r="341" spans="2:13" ht="14.25" customHeight="1" x14ac:dyDescent="0.3">
      <c r="B341" s="4"/>
      <c r="C341" s="5"/>
      <c r="D341" s="6"/>
      <c r="E341" s="7"/>
      <c r="G341" s="7"/>
      <c r="I341" s="7"/>
      <c r="K341" s="7"/>
      <c r="M341" s="7"/>
    </row>
    <row r="342" spans="2:13" ht="14.25" customHeight="1" x14ac:dyDescent="0.3">
      <c r="B342" s="4"/>
      <c r="C342" s="5"/>
      <c r="D342" s="6"/>
      <c r="E342" s="7"/>
      <c r="G342" s="7"/>
      <c r="I342" s="7"/>
      <c r="K342" s="7"/>
      <c r="M342" s="7"/>
    </row>
    <row r="343" spans="2:13" ht="14.25" customHeight="1" x14ac:dyDescent="0.3">
      <c r="B343" s="4"/>
      <c r="C343" s="5"/>
      <c r="D343" s="6"/>
      <c r="E343" s="7"/>
      <c r="G343" s="7"/>
      <c r="I343" s="7"/>
      <c r="K343" s="7"/>
      <c r="M343" s="7"/>
    </row>
    <row r="344" spans="2:13" ht="14.25" customHeight="1" x14ac:dyDescent="0.3">
      <c r="B344" s="4"/>
      <c r="C344" s="5"/>
      <c r="D344" s="6"/>
      <c r="E344" s="7"/>
      <c r="G344" s="7"/>
      <c r="I344" s="7"/>
      <c r="K344" s="7"/>
      <c r="M344" s="7"/>
    </row>
    <row r="345" spans="2:13" ht="14.25" customHeight="1" x14ac:dyDescent="0.3">
      <c r="B345" s="4"/>
      <c r="C345" s="5"/>
      <c r="D345" s="6"/>
      <c r="E345" s="7"/>
      <c r="G345" s="7"/>
      <c r="I345" s="7"/>
      <c r="K345" s="7"/>
      <c r="M345" s="7"/>
    </row>
    <row r="346" spans="2:13" ht="14.25" customHeight="1" x14ac:dyDescent="0.3">
      <c r="B346" s="4"/>
      <c r="C346" s="5"/>
      <c r="D346" s="6"/>
      <c r="E346" s="7"/>
      <c r="G346" s="7"/>
      <c r="I346" s="7"/>
      <c r="K346" s="7"/>
      <c r="M346" s="7"/>
    </row>
    <row r="347" spans="2:13" ht="14.25" customHeight="1" x14ac:dyDescent="0.3">
      <c r="B347" s="4"/>
      <c r="C347" s="5"/>
      <c r="D347" s="6"/>
      <c r="E347" s="7"/>
      <c r="G347" s="7"/>
      <c r="I347" s="7"/>
      <c r="K347" s="7"/>
      <c r="M347" s="7"/>
    </row>
    <row r="348" spans="2:13" ht="14.25" customHeight="1" x14ac:dyDescent="0.3">
      <c r="B348" s="4"/>
      <c r="C348" s="5"/>
      <c r="D348" s="6"/>
      <c r="E348" s="7"/>
      <c r="G348" s="7"/>
      <c r="I348" s="7"/>
      <c r="K348" s="7"/>
      <c r="M348" s="7"/>
    </row>
    <row r="349" spans="2:13" ht="14.25" customHeight="1" x14ac:dyDescent="0.3">
      <c r="B349" s="4"/>
      <c r="C349" s="5"/>
      <c r="D349" s="6"/>
      <c r="E349" s="7"/>
      <c r="G349" s="7"/>
      <c r="I349" s="7"/>
      <c r="K349" s="7"/>
      <c r="M349" s="7"/>
    </row>
    <row r="350" spans="2:13" ht="14.25" customHeight="1" x14ac:dyDescent="0.3">
      <c r="B350" s="4"/>
      <c r="C350" s="5"/>
      <c r="D350" s="6"/>
      <c r="E350" s="7"/>
      <c r="G350" s="7"/>
      <c r="I350" s="7"/>
      <c r="K350" s="7"/>
      <c r="M350" s="7"/>
    </row>
    <row r="351" spans="2:13" ht="14.25" customHeight="1" x14ac:dyDescent="0.3">
      <c r="B351" s="4"/>
      <c r="C351" s="5"/>
      <c r="D351" s="6"/>
      <c r="E351" s="7"/>
      <c r="G351" s="7"/>
      <c r="I351" s="7"/>
      <c r="K351" s="7"/>
      <c r="M351" s="7"/>
    </row>
    <row r="352" spans="2:13" ht="14.25" customHeight="1" x14ac:dyDescent="0.3">
      <c r="B352" s="4"/>
      <c r="C352" s="5"/>
      <c r="D352" s="6"/>
      <c r="E352" s="7"/>
      <c r="G352" s="7"/>
      <c r="I352" s="7"/>
      <c r="K352" s="7"/>
      <c r="M352" s="7"/>
    </row>
    <row r="353" spans="2:13" ht="14.25" customHeight="1" x14ac:dyDescent="0.3">
      <c r="B353" s="4"/>
      <c r="C353" s="5"/>
      <c r="D353" s="6"/>
      <c r="E353" s="7"/>
      <c r="G353" s="7"/>
      <c r="I353" s="7"/>
      <c r="K353" s="7"/>
      <c r="M353" s="7"/>
    </row>
    <row r="354" spans="2:13" ht="14.25" customHeight="1" x14ac:dyDescent="0.3">
      <c r="B354" s="4"/>
      <c r="C354" s="5"/>
      <c r="D354" s="6"/>
      <c r="E354" s="7"/>
      <c r="G354" s="7"/>
      <c r="I354" s="7"/>
      <c r="K354" s="7"/>
      <c r="M354" s="7"/>
    </row>
    <row r="355" spans="2:13" ht="14.25" customHeight="1" x14ac:dyDescent="0.3">
      <c r="B355" s="4"/>
      <c r="C355" s="5"/>
      <c r="D355" s="6"/>
      <c r="E355" s="7"/>
      <c r="G355" s="7"/>
      <c r="I355" s="7"/>
      <c r="K355" s="7"/>
      <c r="M355" s="7"/>
    </row>
    <row r="356" spans="2:13" ht="14.25" customHeight="1" x14ac:dyDescent="0.3">
      <c r="B356" s="4"/>
      <c r="C356" s="5"/>
      <c r="D356" s="6"/>
      <c r="E356" s="7"/>
      <c r="G356" s="7"/>
      <c r="I356" s="7"/>
      <c r="K356" s="7"/>
      <c r="M356" s="7"/>
    </row>
    <row r="357" spans="2:13" ht="14.25" customHeight="1" x14ac:dyDescent="0.3">
      <c r="B357" s="4"/>
      <c r="C357" s="5"/>
      <c r="D357" s="6"/>
      <c r="E357" s="7"/>
      <c r="G357" s="7"/>
      <c r="I357" s="7"/>
      <c r="K357" s="7"/>
      <c r="M357" s="7"/>
    </row>
    <row r="358" spans="2:13" ht="14.25" customHeight="1" x14ac:dyDescent="0.3">
      <c r="B358" s="4"/>
      <c r="C358" s="5"/>
      <c r="D358" s="6"/>
      <c r="E358" s="7"/>
      <c r="G358" s="7"/>
      <c r="I358" s="7"/>
      <c r="K358" s="7"/>
      <c r="M358" s="7"/>
    </row>
    <row r="359" spans="2:13" ht="14.25" customHeight="1" x14ac:dyDescent="0.3">
      <c r="B359" s="4"/>
      <c r="C359" s="5"/>
      <c r="D359" s="6"/>
      <c r="E359" s="7"/>
      <c r="G359" s="7"/>
      <c r="I359" s="7"/>
      <c r="K359" s="7"/>
      <c r="M359" s="7"/>
    </row>
    <row r="360" spans="2:13" ht="14.25" customHeight="1" x14ac:dyDescent="0.3">
      <c r="B360" s="4"/>
      <c r="C360" s="5"/>
      <c r="D360" s="6"/>
      <c r="E360" s="7"/>
      <c r="G360" s="7"/>
      <c r="I360" s="7"/>
      <c r="K360" s="7"/>
      <c r="M360" s="7"/>
    </row>
    <row r="361" spans="2:13" ht="14.25" customHeight="1" x14ac:dyDescent="0.3">
      <c r="B361" s="4"/>
      <c r="C361" s="5"/>
      <c r="D361" s="6"/>
      <c r="E361" s="7"/>
      <c r="G361" s="7"/>
      <c r="I361" s="7"/>
      <c r="K361" s="7"/>
      <c r="M361" s="7"/>
    </row>
    <row r="362" spans="2:13" ht="14.25" customHeight="1" x14ac:dyDescent="0.3">
      <c r="B362" s="4"/>
      <c r="C362" s="5"/>
      <c r="D362" s="6"/>
      <c r="E362" s="7"/>
      <c r="G362" s="7"/>
      <c r="I362" s="7"/>
      <c r="K362" s="7"/>
      <c r="M362" s="7"/>
    </row>
    <row r="363" spans="2:13" ht="14.25" customHeight="1" x14ac:dyDescent="0.3">
      <c r="B363" s="4"/>
      <c r="C363" s="5"/>
      <c r="D363" s="6"/>
      <c r="E363" s="7"/>
      <c r="G363" s="7"/>
      <c r="I363" s="7"/>
      <c r="K363" s="7"/>
      <c r="M363" s="7"/>
    </row>
    <row r="364" spans="2:13" ht="14.25" customHeight="1" x14ac:dyDescent="0.3">
      <c r="B364" s="4"/>
      <c r="C364" s="5"/>
      <c r="D364" s="6"/>
      <c r="E364" s="7"/>
      <c r="G364" s="7"/>
      <c r="I364" s="7"/>
      <c r="K364" s="7"/>
      <c r="M364" s="7"/>
    </row>
    <row r="365" spans="2:13" ht="14.25" customHeight="1" x14ac:dyDescent="0.3">
      <c r="B365" s="4"/>
      <c r="C365" s="5"/>
      <c r="D365" s="6"/>
      <c r="E365" s="7"/>
      <c r="G365" s="7"/>
      <c r="I365" s="7"/>
      <c r="K365" s="7"/>
      <c r="M365" s="7"/>
    </row>
    <row r="366" spans="2:13" ht="14.25" customHeight="1" x14ac:dyDescent="0.3">
      <c r="B366" s="4"/>
      <c r="C366" s="5"/>
      <c r="D366" s="6"/>
      <c r="E366" s="7"/>
      <c r="G366" s="7"/>
      <c r="I366" s="7"/>
      <c r="K366" s="7"/>
      <c r="M366" s="7"/>
    </row>
    <row r="367" spans="2:13" ht="14.25" customHeight="1" x14ac:dyDescent="0.3">
      <c r="B367" s="4"/>
      <c r="C367" s="5"/>
      <c r="D367" s="6"/>
      <c r="E367" s="7"/>
      <c r="G367" s="7"/>
      <c r="I367" s="7"/>
      <c r="K367" s="7"/>
      <c r="M367" s="7"/>
    </row>
    <row r="368" spans="2:13" ht="14.25" customHeight="1" x14ac:dyDescent="0.3">
      <c r="B368" s="4"/>
      <c r="C368" s="5"/>
      <c r="D368" s="6"/>
      <c r="E368" s="7"/>
      <c r="G368" s="7"/>
      <c r="I368" s="7"/>
      <c r="K368" s="7"/>
      <c r="M368" s="7"/>
    </row>
    <row r="369" spans="2:13" ht="14.25" customHeight="1" x14ac:dyDescent="0.3">
      <c r="B369" s="4"/>
      <c r="C369" s="5"/>
      <c r="D369" s="6"/>
      <c r="E369" s="7"/>
      <c r="G369" s="7"/>
      <c r="I369" s="7"/>
      <c r="K369" s="7"/>
      <c r="M369" s="7"/>
    </row>
    <row r="370" spans="2:13" ht="14.25" customHeight="1" x14ac:dyDescent="0.3">
      <c r="B370" s="4"/>
      <c r="C370" s="5"/>
      <c r="D370" s="6"/>
      <c r="E370" s="7"/>
      <c r="G370" s="7"/>
      <c r="I370" s="7"/>
      <c r="K370" s="7"/>
      <c r="M370" s="7"/>
    </row>
    <row r="371" spans="2:13" ht="14.25" customHeight="1" x14ac:dyDescent="0.3">
      <c r="B371" s="4"/>
      <c r="C371" s="5"/>
      <c r="D371" s="6"/>
      <c r="E371" s="7"/>
      <c r="G371" s="7"/>
      <c r="I371" s="7"/>
      <c r="K371" s="7"/>
      <c r="M371" s="7"/>
    </row>
    <row r="372" spans="2:13" ht="14.25" customHeight="1" x14ac:dyDescent="0.3">
      <c r="B372" s="4"/>
      <c r="C372" s="5"/>
      <c r="D372" s="6"/>
      <c r="E372" s="7"/>
      <c r="G372" s="7"/>
      <c r="I372" s="7"/>
      <c r="K372" s="7"/>
      <c r="M372" s="7"/>
    </row>
    <row r="373" spans="2:13" ht="14.25" customHeight="1" x14ac:dyDescent="0.3">
      <c r="B373" s="4"/>
      <c r="C373" s="5"/>
      <c r="D373" s="6"/>
      <c r="E373" s="7"/>
      <c r="G373" s="7"/>
      <c r="I373" s="7"/>
      <c r="K373" s="7"/>
      <c r="M373" s="7"/>
    </row>
    <row r="374" spans="2:13" ht="14.25" customHeight="1" x14ac:dyDescent="0.3">
      <c r="B374" s="4"/>
      <c r="C374" s="5"/>
      <c r="D374" s="6"/>
      <c r="E374" s="7"/>
      <c r="G374" s="7"/>
      <c r="I374" s="7"/>
      <c r="K374" s="7"/>
      <c r="M374" s="7"/>
    </row>
    <row r="375" spans="2:13" ht="14.25" customHeight="1" x14ac:dyDescent="0.3">
      <c r="B375" s="4"/>
      <c r="C375" s="5"/>
      <c r="D375" s="6"/>
      <c r="E375" s="7"/>
      <c r="G375" s="7"/>
      <c r="I375" s="7"/>
      <c r="K375" s="7"/>
      <c r="M375" s="7"/>
    </row>
    <row r="376" spans="2:13" ht="14.25" customHeight="1" x14ac:dyDescent="0.3">
      <c r="B376" s="4"/>
      <c r="C376" s="5"/>
      <c r="D376" s="6"/>
      <c r="E376" s="7"/>
      <c r="G376" s="7"/>
      <c r="I376" s="7"/>
      <c r="K376" s="7"/>
      <c r="M376" s="7"/>
    </row>
    <row r="377" spans="2:13" ht="14.25" customHeight="1" x14ac:dyDescent="0.3">
      <c r="B377" s="4"/>
      <c r="C377" s="5"/>
      <c r="D377" s="6"/>
      <c r="E377" s="7"/>
      <c r="G377" s="7"/>
      <c r="I377" s="7"/>
      <c r="K377" s="7"/>
      <c r="M377" s="7"/>
    </row>
    <row r="378" spans="2:13" ht="14.25" customHeight="1" x14ac:dyDescent="0.3">
      <c r="B378" s="4"/>
      <c r="C378" s="5"/>
      <c r="D378" s="6"/>
      <c r="E378" s="7"/>
      <c r="G378" s="7"/>
      <c r="I378" s="7"/>
      <c r="K378" s="7"/>
      <c r="M378" s="7"/>
    </row>
    <row r="379" spans="2:13" ht="14.25" customHeight="1" x14ac:dyDescent="0.3">
      <c r="B379" s="4"/>
      <c r="C379" s="5"/>
      <c r="D379" s="6"/>
      <c r="E379" s="7"/>
      <c r="G379" s="7"/>
      <c r="I379" s="7"/>
      <c r="K379" s="7"/>
      <c r="M379" s="7"/>
    </row>
    <row r="380" spans="2:13" ht="14.25" customHeight="1" x14ac:dyDescent="0.3">
      <c r="B380" s="4"/>
      <c r="C380" s="5"/>
      <c r="D380" s="6"/>
      <c r="E380" s="7"/>
      <c r="G380" s="7"/>
      <c r="I380" s="7"/>
      <c r="K380" s="7"/>
      <c r="M380" s="7"/>
    </row>
    <row r="381" spans="2:13" ht="14.25" customHeight="1" x14ac:dyDescent="0.3">
      <c r="B381" s="4"/>
      <c r="C381" s="5"/>
      <c r="D381" s="6"/>
      <c r="E381" s="7"/>
      <c r="G381" s="7"/>
      <c r="I381" s="7"/>
      <c r="K381" s="7"/>
      <c r="M381" s="7"/>
    </row>
    <row r="382" spans="2:13" ht="14.25" customHeight="1" x14ac:dyDescent="0.3">
      <c r="B382" s="4"/>
      <c r="C382" s="5"/>
      <c r="D382" s="6"/>
      <c r="E382" s="7"/>
      <c r="G382" s="7"/>
      <c r="I382" s="7"/>
      <c r="K382" s="7"/>
      <c r="M382" s="7"/>
    </row>
    <row r="383" spans="2:13" ht="14.25" customHeight="1" x14ac:dyDescent="0.3">
      <c r="B383" s="4"/>
      <c r="C383" s="5"/>
      <c r="D383" s="6"/>
      <c r="E383" s="7"/>
      <c r="G383" s="7"/>
      <c r="I383" s="7"/>
      <c r="K383" s="7"/>
      <c r="M383" s="7"/>
    </row>
    <row r="384" spans="2:13" ht="14.25" customHeight="1" x14ac:dyDescent="0.3">
      <c r="B384" s="4"/>
      <c r="C384" s="5"/>
      <c r="D384" s="6"/>
      <c r="E384" s="7"/>
      <c r="G384" s="7"/>
      <c r="I384" s="7"/>
      <c r="K384" s="7"/>
      <c r="M384" s="7"/>
    </row>
    <row r="385" spans="2:13" ht="14.25" customHeight="1" x14ac:dyDescent="0.3">
      <c r="B385" s="4"/>
      <c r="C385" s="5"/>
      <c r="D385" s="6"/>
      <c r="E385" s="7"/>
      <c r="G385" s="7"/>
      <c r="I385" s="7"/>
      <c r="K385" s="7"/>
      <c r="M385" s="7"/>
    </row>
    <row r="386" spans="2:13" ht="14.25" customHeight="1" x14ac:dyDescent="0.3">
      <c r="B386" s="4"/>
      <c r="C386" s="5"/>
      <c r="D386" s="6"/>
      <c r="E386" s="7"/>
      <c r="G386" s="7"/>
      <c r="I386" s="7"/>
      <c r="K386" s="7"/>
      <c r="M386" s="7"/>
    </row>
    <row r="387" spans="2:13" ht="14.25" customHeight="1" x14ac:dyDescent="0.3">
      <c r="B387" s="4"/>
      <c r="C387" s="5"/>
      <c r="D387" s="6"/>
      <c r="E387" s="7"/>
      <c r="G387" s="7"/>
      <c r="I387" s="7"/>
      <c r="K387" s="7"/>
      <c r="M387" s="7"/>
    </row>
    <row r="388" spans="2:13" ht="14.25" customHeight="1" x14ac:dyDescent="0.3">
      <c r="B388" s="4"/>
      <c r="C388" s="5"/>
      <c r="D388" s="6"/>
      <c r="E388" s="7"/>
      <c r="G388" s="7"/>
      <c r="I388" s="7"/>
      <c r="K388" s="7"/>
      <c r="M388" s="7"/>
    </row>
    <row r="389" spans="2:13" ht="14.25" customHeight="1" x14ac:dyDescent="0.3">
      <c r="B389" s="4"/>
      <c r="C389" s="5"/>
      <c r="D389" s="6"/>
      <c r="E389" s="7"/>
      <c r="G389" s="7"/>
      <c r="I389" s="7"/>
      <c r="K389" s="7"/>
      <c r="M389" s="7"/>
    </row>
    <row r="390" spans="2:13" ht="14.25" customHeight="1" x14ac:dyDescent="0.3">
      <c r="B390" s="4"/>
      <c r="C390" s="5"/>
      <c r="D390" s="6"/>
      <c r="E390" s="7"/>
      <c r="G390" s="7"/>
      <c r="I390" s="7"/>
      <c r="K390" s="7"/>
      <c r="M390" s="7"/>
    </row>
    <row r="391" spans="2:13" ht="14.25" customHeight="1" x14ac:dyDescent="0.3">
      <c r="B391" s="4"/>
      <c r="C391" s="5"/>
      <c r="D391" s="6"/>
      <c r="E391" s="7"/>
      <c r="G391" s="7"/>
      <c r="I391" s="7"/>
      <c r="K391" s="7"/>
      <c r="M391" s="7"/>
    </row>
    <row r="392" spans="2:13" ht="14.25" customHeight="1" x14ac:dyDescent="0.3">
      <c r="B392" s="4"/>
      <c r="C392" s="5"/>
      <c r="D392" s="6"/>
      <c r="E392" s="7"/>
      <c r="G392" s="7"/>
      <c r="I392" s="7"/>
      <c r="K392" s="7"/>
      <c r="M392" s="7"/>
    </row>
    <row r="393" spans="2:13" ht="14.25" customHeight="1" x14ac:dyDescent="0.3">
      <c r="B393" s="4"/>
      <c r="C393" s="5"/>
      <c r="D393" s="6"/>
      <c r="E393" s="7"/>
      <c r="G393" s="7"/>
      <c r="I393" s="7"/>
      <c r="K393" s="7"/>
      <c r="M393" s="7"/>
    </row>
    <row r="394" spans="2:13" ht="14.25" customHeight="1" x14ac:dyDescent="0.3">
      <c r="B394" s="4"/>
      <c r="C394" s="5"/>
      <c r="D394" s="6"/>
      <c r="E394" s="7"/>
      <c r="G394" s="7"/>
      <c r="I394" s="7"/>
      <c r="K394" s="7"/>
      <c r="M394" s="7"/>
    </row>
    <row r="395" spans="2:13" ht="14.25" customHeight="1" x14ac:dyDescent="0.3">
      <c r="B395" s="4"/>
      <c r="C395" s="5"/>
      <c r="D395" s="6"/>
      <c r="E395" s="7"/>
      <c r="G395" s="7"/>
      <c r="I395" s="7"/>
      <c r="K395" s="7"/>
      <c r="M395" s="7"/>
    </row>
    <row r="396" spans="2:13" ht="14.25" customHeight="1" x14ac:dyDescent="0.3">
      <c r="B396" s="4"/>
      <c r="C396" s="5"/>
      <c r="D396" s="6"/>
      <c r="E396" s="7"/>
      <c r="G396" s="7"/>
      <c r="I396" s="7"/>
      <c r="K396" s="7"/>
      <c r="M396" s="7"/>
    </row>
    <row r="397" spans="2:13" ht="14.25" customHeight="1" x14ac:dyDescent="0.3">
      <c r="B397" s="4"/>
      <c r="C397" s="5"/>
      <c r="D397" s="6"/>
      <c r="E397" s="7"/>
      <c r="G397" s="7"/>
      <c r="I397" s="7"/>
      <c r="K397" s="7"/>
      <c r="M397" s="7"/>
    </row>
    <row r="398" spans="2:13" ht="14.25" customHeight="1" x14ac:dyDescent="0.3">
      <c r="B398" s="4"/>
      <c r="C398" s="5"/>
      <c r="D398" s="6"/>
      <c r="E398" s="7"/>
      <c r="G398" s="7"/>
      <c r="I398" s="7"/>
      <c r="K398" s="7"/>
      <c r="M398" s="7"/>
    </row>
    <row r="399" spans="2:13" ht="14.25" customHeight="1" x14ac:dyDescent="0.3">
      <c r="B399" s="4"/>
      <c r="C399" s="5"/>
      <c r="D399" s="6"/>
      <c r="E399" s="7"/>
      <c r="G399" s="7"/>
      <c r="I399" s="7"/>
      <c r="K399" s="7"/>
      <c r="M399" s="7"/>
    </row>
    <row r="400" spans="2:13" ht="14.25" customHeight="1" x14ac:dyDescent="0.3">
      <c r="B400" s="4"/>
      <c r="C400" s="5"/>
      <c r="D400" s="6"/>
      <c r="E400" s="7"/>
      <c r="G400" s="7"/>
      <c r="I400" s="7"/>
      <c r="K400" s="7"/>
      <c r="M400" s="7"/>
    </row>
    <row r="401" spans="2:13" ht="14.25" customHeight="1" x14ac:dyDescent="0.3">
      <c r="B401" s="4"/>
      <c r="C401" s="5"/>
      <c r="D401" s="6"/>
      <c r="E401" s="7"/>
      <c r="G401" s="7"/>
      <c r="I401" s="7"/>
      <c r="K401" s="7"/>
      <c r="M401" s="7"/>
    </row>
    <row r="402" spans="2:13" ht="14.25" customHeight="1" x14ac:dyDescent="0.3">
      <c r="B402" s="4"/>
      <c r="C402" s="5"/>
      <c r="D402" s="6"/>
      <c r="E402" s="7"/>
      <c r="G402" s="7"/>
      <c r="I402" s="7"/>
      <c r="K402" s="7"/>
      <c r="M402" s="7"/>
    </row>
    <row r="403" spans="2:13" ht="14.25" customHeight="1" x14ac:dyDescent="0.3">
      <c r="B403" s="4"/>
      <c r="C403" s="5"/>
      <c r="D403" s="6"/>
      <c r="E403" s="7"/>
      <c r="G403" s="7"/>
      <c r="I403" s="7"/>
      <c r="K403" s="7"/>
      <c r="M403" s="7"/>
    </row>
    <row r="404" spans="2:13" ht="14.25" customHeight="1" x14ac:dyDescent="0.3">
      <c r="B404" s="4"/>
      <c r="C404" s="5"/>
      <c r="D404" s="6"/>
      <c r="E404" s="7"/>
      <c r="G404" s="7"/>
      <c r="I404" s="7"/>
      <c r="K404" s="7"/>
      <c r="M404" s="7"/>
    </row>
    <row r="405" spans="2:13" ht="14.25" customHeight="1" x14ac:dyDescent="0.3">
      <c r="B405" s="4"/>
      <c r="C405" s="5"/>
      <c r="D405" s="6"/>
      <c r="E405" s="7"/>
      <c r="G405" s="7"/>
      <c r="I405" s="7"/>
      <c r="K405" s="7"/>
      <c r="M405" s="7"/>
    </row>
    <row r="406" spans="2:13" ht="14.25" customHeight="1" x14ac:dyDescent="0.3">
      <c r="B406" s="4"/>
      <c r="C406" s="5"/>
      <c r="D406" s="6"/>
      <c r="E406" s="7"/>
      <c r="G406" s="7"/>
      <c r="I406" s="7"/>
      <c r="K406" s="7"/>
      <c r="M406" s="7"/>
    </row>
    <row r="407" spans="2:13" ht="14.25" customHeight="1" x14ac:dyDescent="0.3">
      <c r="B407" s="4"/>
      <c r="C407" s="5"/>
      <c r="D407" s="6"/>
      <c r="E407" s="7"/>
      <c r="G407" s="7"/>
      <c r="I407" s="7"/>
      <c r="K407" s="7"/>
      <c r="M407" s="7"/>
    </row>
    <row r="408" spans="2:13" ht="14.25" customHeight="1" x14ac:dyDescent="0.3">
      <c r="B408" s="4"/>
      <c r="C408" s="5"/>
      <c r="D408" s="6"/>
      <c r="E408" s="7"/>
      <c r="G408" s="7"/>
      <c r="I408" s="7"/>
      <c r="K408" s="7"/>
      <c r="M408" s="7"/>
    </row>
    <row r="409" spans="2:13" ht="14.25" customHeight="1" x14ac:dyDescent="0.3">
      <c r="B409" s="4"/>
      <c r="C409" s="5"/>
      <c r="D409" s="6"/>
      <c r="E409" s="7"/>
      <c r="G409" s="7"/>
      <c r="I409" s="7"/>
      <c r="K409" s="7"/>
      <c r="M409" s="7"/>
    </row>
    <row r="410" spans="2:13" ht="14.25" customHeight="1" x14ac:dyDescent="0.3">
      <c r="B410" s="4"/>
      <c r="C410" s="5"/>
      <c r="D410" s="6"/>
      <c r="E410" s="7"/>
      <c r="G410" s="7"/>
      <c r="I410" s="7"/>
      <c r="K410" s="7"/>
      <c r="M410" s="7"/>
    </row>
    <row r="411" spans="2:13" ht="14.25" customHeight="1" x14ac:dyDescent="0.3">
      <c r="B411" s="4"/>
      <c r="C411" s="5"/>
      <c r="D411" s="6"/>
      <c r="E411" s="7"/>
      <c r="G411" s="7"/>
      <c r="I411" s="7"/>
      <c r="K411" s="7"/>
      <c r="M411" s="7"/>
    </row>
    <row r="412" spans="2:13" ht="14.25" customHeight="1" x14ac:dyDescent="0.3">
      <c r="B412" s="4"/>
      <c r="C412" s="5"/>
      <c r="D412" s="6"/>
      <c r="E412" s="7"/>
      <c r="G412" s="7"/>
      <c r="I412" s="7"/>
      <c r="K412" s="7"/>
      <c r="M412" s="7"/>
    </row>
    <row r="413" spans="2:13" ht="14.25" customHeight="1" x14ac:dyDescent="0.3">
      <c r="B413" s="4"/>
      <c r="C413" s="5"/>
      <c r="D413" s="6"/>
      <c r="E413" s="7"/>
      <c r="G413" s="7"/>
      <c r="I413" s="7"/>
      <c r="K413" s="7"/>
      <c r="M413" s="7"/>
    </row>
    <row r="414" spans="2:13" ht="14.25" customHeight="1" x14ac:dyDescent="0.3">
      <c r="B414" s="4"/>
      <c r="C414" s="5"/>
      <c r="D414" s="6"/>
      <c r="E414" s="7"/>
      <c r="G414" s="7"/>
      <c r="I414" s="7"/>
      <c r="K414" s="7"/>
      <c r="M414" s="7"/>
    </row>
    <row r="415" spans="2:13" ht="14.25" customHeight="1" x14ac:dyDescent="0.3">
      <c r="B415" s="4"/>
      <c r="C415" s="5"/>
      <c r="D415" s="6"/>
      <c r="E415" s="7"/>
      <c r="G415" s="7"/>
      <c r="I415" s="7"/>
      <c r="K415" s="7"/>
      <c r="M415" s="7"/>
    </row>
    <row r="416" spans="2:13" ht="14.25" customHeight="1" x14ac:dyDescent="0.3">
      <c r="B416" s="4"/>
      <c r="C416" s="5"/>
      <c r="D416" s="6"/>
      <c r="E416" s="7"/>
      <c r="G416" s="7"/>
      <c r="I416" s="7"/>
      <c r="K416" s="7"/>
      <c r="M416" s="7"/>
    </row>
    <row r="417" spans="2:13" ht="14.25" customHeight="1" x14ac:dyDescent="0.3">
      <c r="B417" s="4"/>
      <c r="C417" s="5"/>
      <c r="D417" s="6"/>
      <c r="E417" s="7"/>
      <c r="G417" s="7"/>
      <c r="I417" s="7"/>
      <c r="K417" s="7"/>
      <c r="M417" s="7"/>
    </row>
    <row r="418" spans="2:13" ht="14.25" customHeight="1" x14ac:dyDescent="0.3">
      <c r="B418" s="4"/>
      <c r="C418" s="5"/>
      <c r="D418" s="6"/>
      <c r="E418" s="7"/>
      <c r="G418" s="7"/>
      <c r="I418" s="7"/>
      <c r="K418" s="7"/>
      <c r="M418" s="7"/>
    </row>
    <row r="419" spans="2:13" ht="14.25" customHeight="1" x14ac:dyDescent="0.3">
      <c r="B419" s="4"/>
      <c r="C419" s="5"/>
      <c r="D419" s="6"/>
      <c r="E419" s="7"/>
      <c r="G419" s="7"/>
      <c r="I419" s="7"/>
      <c r="K419" s="7"/>
      <c r="M419" s="7"/>
    </row>
    <row r="420" spans="2:13" ht="14.25" customHeight="1" x14ac:dyDescent="0.3">
      <c r="B420" s="4"/>
      <c r="C420" s="5"/>
      <c r="D420" s="6"/>
      <c r="E420" s="7"/>
      <c r="G420" s="7"/>
      <c r="I420" s="7"/>
      <c r="K420" s="7"/>
      <c r="M420" s="7"/>
    </row>
    <row r="421" spans="2:13" ht="14.25" customHeight="1" x14ac:dyDescent="0.3">
      <c r="B421" s="4"/>
      <c r="C421" s="5"/>
      <c r="D421" s="6"/>
      <c r="E421" s="7"/>
      <c r="G421" s="7"/>
      <c r="I421" s="7"/>
      <c r="K421" s="7"/>
      <c r="M421" s="7"/>
    </row>
    <row r="422" spans="2:13" ht="14.25" customHeight="1" x14ac:dyDescent="0.3">
      <c r="B422" s="4"/>
      <c r="C422" s="5"/>
      <c r="D422" s="6"/>
      <c r="E422" s="7"/>
      <c r="G422" s="7"/>
      <c r="I422" s="7"/>
      <c r="K422" s="7"/>
      <c r="M422" s="7"/>
    </row>
    <row r="423" spans="2:13" ht="14.25" customHeight="1" x14ac:dyDescent="0.3">
      <c r="B423" s="4"/>
      <c r="C423" s="5"/>
      <c r="D423" s="6"/>
      <c r="E423" s="7"/>
      <c r="G423" s="7"/>
      <c r="I423" s="7"/>
      <c r="K423" s="7"/>
      <c r="M423" s="7"/>
    </row>
    <row r="424" spans="2:13" ht="14.25" customHeight="1" x14ac:dyDescent="0.3">
      <c r="B424" s="4"/>
      <c r="C424" s="5"/>
      <c r="D424" s="6"/>
      <c r="E424" s="7"/>
      <c r="G424" s="7"/>
      <c r="I424" s="7"/>
      <c r="K424" s="7"/>
      <c r="M424" s="7"/>
    </row>
    <row r="425" spans="2:13" ht="14.25" customHeight="1" x14ac:dyDescent="0.3">
      <c r="B425" s="4"/>
      <c r="C425" s="5"/>
      <c r="D425" s="6"/>
      <c r="E425" s="7"/>
      <c r="G425" s="7"/>
      <c r="I425" s="7"/>
      <c r="K425" s="7"/>
      <c r="M425" s="7"/>
    </row>
    <row r="426" spans="2:13" ht="14.25" customHeight="1" x14ac:dyDescent="0.3">
      <c r="B426" s="4"/>
      <c r="C426" s="5"/>
      <c r="D426" s="6"/>
      <c r="E426" s="7"/>
      <c r="G426" s="7"/>
      <c r="I426" s="7"/>
      <c r="K426" s="7"/>
      <c r="M426" s="7"/>
    </row>
    <row r="427" spans="2:13" ht="14.25" customHeight="1" x14ac:dyDescent="0.3">
      <c r="B427" s="4"/>
      <c r="C427" s="5"/>
      <c r="D427" s="6"/>
      <c r="E427" s="7"/>
      <c r="G427" s="7"/>
      <c r="I427" s="7"/>
      <c r="K427" s="7"/>
      <c r="M427" s="7"/>
    </row>
    <row r="428" spans="2:13" ht="14.25" customHeight="1" x14ac:dyDescent="0.3">
      <c r="B428" s="4"/>
      <c r="C428" s="5"/>
      <c r="D428" s="6"/>
      <c r="E428" s="7"/>
      <c r="G428" s="7"/>
      <c r="I428" s="7"/>
      <c r="K428" s="7"/>
      <c r="M428" s="7"/>
    </row>
    <row r="429" spans="2:13" ht="14.25" customHeight="1" x14ac:dyDescent="0.3">
      <c r="B429" s="4"/>
      <c r="C429" s="5"/>
      <c r="D429" s="6"/>
      <c r="E429" s="7"/>
      <c r="G429" s="7"/>
      <c r="I429" s="7"/>
      <c r="K429" s="7"/>
      <c r="M429" s="7"/>
    </row>
    <row r="430" spans="2:13" ht="14.25" customHeight="1" x14ac:dyDescent="0.3">
      <c r="B430" s="4"/>
      <c r="C430" s="5"/>
      <c r="D430" s="6"/>
      <c r="E430" s="7"/>
      <c r="G430" s="7"/>
      <c r="I430" s="7"/>
      <c r="K430" s="7"/>
      <c r="M430" s="7"/>
    </row>
    <row r="431" spans="2:13" ht="14.25" customHeight="1" x14ac:dyDescent="0.3">
      <c r="B431" s="4"/>
      <c r="C431" s="5"/>
      <c r="D431" s="6"/>
      <c r="E431" s="7"/>
      <c r="G431" s="7"/>
      <c r="I431" s="7"/>
      <c r="K431" s="7"/>
      <c r="M431" s="7"/>
    </row>
    <row r="432" spans="2:13" ht="14.25" customHeight="1" x14ac:dyDescent="0.3">
      <c r="B432" s="4"/>
      <c r="C432" s="5"/>
      <c r="D432" s="6"/>
      <c r="E432" s="7"/>
      <c r="G432" s="7"/>
      <c r="I432" s="7"/>
      <c r="K432" s="7"/>
      <c r="M432" s="7"/>
    </row>
    <row r="433" spans="2:13" ht="14.25" customHeight="1" x14ac:dyDescent="0.3">
      <c r="B433" s="4"/>
      <c r="C433" s="5"/>
      <c r="D433" s="6"/>
      <c r="E433" s="7"/>
      <c r="G433" s="7"/>
      <c r="I433" s="7"/>
      <c r="K433" s="7"/>
      <c r="M433" s="7"/>
    </row>
    <row r="434" spans="2:13" ht="14.25" customHeight="1" x14ac:dyDescent="0.3">
      <c r="B434" s="4"/>
      <c r="C434" s="5"/>
      <c r="D434" s="6"/>
      <c r="E434" s="7"/>
      <c r="G434" s="7"/>
      <c r="I434" s="7"/>
      <c r="K434" s="7"/>
      <c r="M434" s="7"/>
    </row>
    <row r="435" spans="2:13" ht="14.25" customHeight="1" x14ac:dyDescent="0.3">
      <c r="B435" s="4"/>
      <c r="C435" s="5"/>
      <c r="D435" s="6"/>
      <c r="E435" s="7"/>
      <c r="G435" s="7"/>
      <c r="I435" s="7"/>
      <c r="K435" s="7"/>
      <c r="M435" s="7"/>
    </row>
    <row r="436" spans="2:13" ht="14.25" customHeight="1" x14ac:dyDescent="0.3">
      <c r="B436" s="4"/>
      <c r="C436" s="5"/>
      <c r="D436" s="6"/>
      <c r="E436" s="7"/>
      <c r="G436" s="7"/>
      <c r="I436" s="7"/>
      <c r="K436" s="7"/>
      <c r="M436" s="7"/>
    </row>
    <row r="437" spans="2:13" ht="14.25" customHeight="1" x14ac:dyDescent="0.3">
      <c r="B437" s="4"/>
      <c r="C437" s="5"/>
      <c r="D437" s="6"/>
      <c r="E437" s="7"/>
      <c r="G437" s="7"/>
      <c r="I437" s="7"/>
      <c r="K437" s="7"/>
      <c r="M437" s="7"/>
    </row>
    <row r="438" spans="2:13" ht="14.25" customHeight="1" x14ac:dyDescent="0.3">
      <c r="B438" s="4"/>
      <c r="C438" s="5"/>
      <c r="D438" s="6"/>
      <c r="E438" s="7"/>
      <c r="G438" s="7"/>
      <c r="I438" s="7"/>
      <c r="K438" s="7"/>
      <c r="M438" s="7"/>
    </row>
    <row r="439" spans="2:13" ht="14.25" customHeight="1" x14ac:dyDescent="0.3">
      <c r="B439" s="4"/>
      <c r="C439" s="5"/>
      <c r="D439" s="6"/>
      <c r="E439" s="7"/>
      <c r="G439" s="7"/>
      <c r="I439" s="7"/>
      <c r="K439" s="7"/>
      <c r="M439" s="7"/>
    </row>
    <row r="440" spans="2:13" ht="14.25" customHeight="1" x14ac:dyDescent="0.3">
      <c r="B440" s="4">
        <v>10257886056</v>
      </c>
      <c r="C440" s="5"/>
      <c r="D440" s="6"/>
      <c r="E440" s="7"/>
      <c r="G440" s="7" t="s">
        <v>450</v>
      </c>
      <c r="I440" s="7"/>
      <c r="K440" s="7"/>
      <c r="M440" s="7"/>
    </row>
    <row r="441" spans="2:13" ht="14.25" customHeight="1" x14ac:dyDescent="0.3">
      <c r="B441" s="4"/>
      <c r="C441" s="5"/>
      <c r="D441" s="6"/>
      <c r="E441" s="7"/>
      <c r="G441" s="7"/>
      <c r="I441" s="7"/>
      <c r="K441" s="7"/>
      <c r="M441" s="7"/>
    </row>
    <row r="442" spans="2:13" ht="14.25" customHeight="1" x14ac:dyDescent="0.3">
      <c r="B442" s="4"/>
      <c r="C442" s="5"/>
      <c r="D442" s="6"/>
      <c r="E442" s="7"/>
      <c r="G442" s="7"/>
      <c r="I442" s="7"/>
      <c r="K442" s="7"/>
      <c r="M442" s="7"/>
    </row>
    <row r="443" spans="2:13" ht="14.25" customHeight="1" x14ac:dyDescent="0.3">
      <c r="B443" s="4"/>
      <c r="C443" s="5"/>
      <c r="D443" s="6"/>
      <c r="E443" s="7"/>
      <c r="G443" s="7"/>
      <c r="I443" s="7"/>
      <c r="K443" s="7"/>
      <c r="M443" s="7"/>
    </row>
    <row r="444" spans="2:13" ht="14.25" customHeight="1" x14ac:dyDescent="0.3">
      <c r="B444" s="4"/>
      <c r="C444" s="5"/>
      <c r="D444" s="6"/>
      <c r="E444" s="7"/>
      <c r="G444" s="7"/>
      <c r="I444" s="7"/>
      <c r="K444" s="7"/>
      <c r="M444" s="7"/>
    </row>
    <row r="445" spans="2:13" ht="14.25" customHeight="1" x14ac:dyDescent="0.3">
      <c r="B445" s="4"/>
      <c r="C445" s="5"/>
      <c r="D445" s="6"/>
      <c r="E445" s="7"/>
      <c r="G445" s="7"/>
      <c r="I445" s="7"/>
      <c r="K445" s="7"/>
      <c r="M445" s="7"/>
    </row>
    <row r="446" spans="2:13" ht="14.25" customHeight="1" x14ac:dyDescent="0.3">
      <c r="B446" s="4"/>
      <c r="C446" s="5"/>
      <c r="D446" s="6"/>
      <c r="E446" s="7"/>
      <c r="G446" s="7"/>
      <c r="I446" s="7"/>
      <c r="K446" s="7"/>
      <c r="M446" s="7"/>
    </row>
    <row r="447" spans="2:13" ht="14.25" customHeight="1" x14ac:dyDescent="0.3">
      <c r="B447" s="4"/>
      <c r="C447" s="5"/>
      <c r="D447" s="6"/>
      <c r="E447" s="7"/>
      <c r="G447" s="7"/>
      <c r="I447" s="7"/>
      <c r="K447" s="7"/>
      <c r="M447" s="7"/>
    </row>
    <row r="448" spans="2:13" ht="14.25" customHeight="1" x14ac:dyDescent="0.3">
      <c r="B448" s="4"/>
      <c r="C448" s="5"/>
      <c r="D448" s="6"/>
      <c r="E448" s="7"/>
      <c r="G448" s="7"/>
      <c r="I448" s="7"/>
      <c r="K448" s="7"/>
      <c r="M448" s="7"/>
    </row>
    <row r="449" spans="2:13" ht="14.25" customHeight="1" x14ac:dyDescent="0.3">
      <c r="B449" s="4"/>
      <c r="C449" s="5"/>
      <c r="D449" s="6"/>
      <c r="E449" s="7"/>
      <c r="G449" s="7"/>
      <c r="I449" s="7"/>
      <c r="K449" s="7"/>
      <c r="M449" s="7"/>
    </row>
    <row r="450" spans="2:13" ht="14.25" customHeight="1" x14ac:dyDescent="0.3">
      <c r="B450" s="4"/>
      <c r="C450" s="5"/>
      <c r="D450" s="6"/>
      <c r="E450" s="7"/>
      <c r="G450" s="7"/>
      <c r="I450" s="7"/>
      <c r="K450" s="7"/>
      <c r="M450" s="7"/>
    </row>
    <row r="451" spans="2:13" ht="14.25" customHeight="1" x14ac:dyDescent="0.3">
      <c r="B451" s="4"/>
      <c r="C451" s="5"/>
      <c r="D451" s="6"/>
      <c r="E451" s="7"/>
      <c r="G451" s="7"/>
      <c r="I451" s="7"/>
      <c r="K451" s="7"/>
      <c r="M451" s="7"/>
    </row>
    <row r="452" spans="2:13" ht="14.25" customHeight="1" x14ac:dyDescent="0.3">
      <c r="B452" s="4"/>
      <c r="C452" s="5"/>
      <c r="D452" s="6"/>
      <c r="E452" s="7"/>
      <c r="G452" s="7"/>
      <c r="I452" s="7"/>
      <c r="K452" s="7"/>
      <c r="M452" s="7"/>
    </row>
    <row r="453" spans="2:13" ht="14.25" customHeight="1" x14ac:dyDescent="0.3">
      <c r="B453" s="4"/>
      <c r="C453" s="5"/>
      <c r="D453" s="6"/>
      <c r="E453" s="7"/>
      <c r="G453" s="7"/>
      <c r="I453" s="7"/>
      <c r="K453" s="7"/>
      <c r="M453" s="7"/>
    </row>
    <row r="454" spans="2:13" ht="14.25" customHeight="1" x14ac:dyDescent="0.3">
      <c r="B454" s="4"/>
      <c r="C454" s="5"/>
      <c r="D454" s="6"/>
      <c r="E454" s="7"/>
      <c r="G454" s="7"/>
      <c r="I454" s="7"/>
      <c r="K454" s="7"/>
      <c r="M454" s="7"/>
    </row>
    <row r="455" spans="2:13" ht="14.25" customHeight="1" x14ac:dyDescent="0.3">
      <c r="B455" s="4"/>
      <c r="C455" s="5"/>
      <c r="D455" s="6"/>
      <c r="E455" s="7"/>
      <c r="G455" s="7"/>
      <c r="I455" s="7"/>
      <c r="K455" s="7"/>
      <c r="M455" s="7"/>
    </row>
    <row r="456" spans="2:13" ht="14.25" customHeight="1" x14ac:dyDescent="0.3">
      <c r="B456" s="4"/>
      <c r="C456" s="5"/>
      <c r="D456" s="6"/>
      <c r="E456" s="7"/>
      <c r="G456" s="7"/>
      <c r="I456" s="7"/>
      <c r="K456" s="7"/>
      <c r="M456" s="7"/>
    </row>
    <row r="457" spans="2:13" ht="14.25" customHeight="1" x14ac:dyDescent="0.3">
      <c r="B457" s="4"/>
      <c r="C457" s="5"/>
      <c r="D457" s="6"/>
      <c r="E457" s="7"/>
      <c r="G457" s="7"/>
      <c r="I457" s="7"/>
      <c r="K457" s="7"/>
      <c r="M457" s="7"/>
    </row>
    <row r="458" spans="2:13" ht="14.25" customHeight="1" x14ac:dyDescent="0.3">
      <c r="B458" s="4"/>
      <c r="C458" s="5"/>
      <c r="D458" s="6"/>
      <c r="E458" s="7"/>
      <c r="G458" s="7"/>
      <c r="I458" s="7"/>
      <c r="K458" s="7"/>
      <c r="M458" s="7"/>
    </row>
    <row r="459" spans="2:13" ht="14.25" customHeight="1" x14ac:dyDescent="0.3">
      <c r="B459" s="4"/>
      <c r="C459" s="5"/>
      <c r="D459" s="6"/>
      <c r="E459" s="7"/>
      <c r="G459" s="7"/>
      <c r="I459" s="7"/>
      <c r="K459" s="7"/>
      <c r="M459" s="7"/>
    </row>
    <row r="460" spans="2:13" ht="14.25" customHeight="1" x14ac:dyDescent="0.3">
      <c r="B460" s="4"/>
      <c r="C460" s="5"/>
      <c r="D460" s="6"/>
      <c r="E460" s="7"/>
      <c r="G460" s="7"/>
      <c r="I460" s="7"/>
      <c r="K460" s="7"/>
      <c r="M460" s="7"/>
    </row>
    <row r="461" spans="2:13" ht="14.25" customHeight="1" x14ac:dyDescent="0.3">
      <c r="B461" s="4"/>
      <c r="C461" s="5"/>
      <c r="D461" s="6"/>
      <c r="E461" s="7"/>
      <c r="G461" s="7"/>
      <c r="I461" s="7"/>
      <c r="K461" s="7"/>
      <c r="M461" s="7"/>
    </row>
    <row r="462" spans="2:13" ht="14.25" customHeight="1" x14ac:dyDescent="0.3">
      <c r="B462" s="4"/>
      <c r="C462" s="5"/>
      <c r="D462" s="6"/>
      <c r="E462" s="7"/>
      <c r="G462" s="7"/>
      <c r="I462" s="7"/>
      <c r="K462" s="7"/>
      <c r="M462" s="7"/>
    </row>
    <row r="463" spans="2:13" ht="14.25" customHeight="1" x14ac:dyDescent="0.3">
      <c r="B463" s="4"/>
      <c r="C463" s="5"/>
      <c r="D463" s="6"/>
      <c r="E463" s="7"/>
      <c r="G463" s="7"/>
      <c r="I463" s="7"/>
      <c r="K463" s="7"/>
      <c r="M463" s="7"/>
    </row>
    <row r="464" spans="2:13" ht="14.25" customHeight="1" x14ac:dyDescent="0.3">
      <c r="B464" s="4"/>
      <c r="C464" s="5"/>
      <c r="D464" s="6"/>
      <c r="E464" s="7"/>
      <c r="G464" s="7"/>
      <c r="I464" s="7"/>
      <c r="K464" s="7"/>
      <c r="M464" s="7"/>
    </row>
    <row r="465" spans="2:13" ht="14.25" customHeight="1" x14ac:dyDescent="0.3">
      <c r="B465" s="4"/>
      <c r="C465" s="5"/>
      <c r="D465" s="6"/>
      <c r="E465" s="7"/>
      <c r="G465" s="7"/>
      <c r="I465" s="7"/>
      <c r="K465" s="7"/>
      <c r="M465" s="7"/>
    </row>
    <row r="466" spans="2:13" ht="14.25" customHeight="1" x14ac:dyDescent="0.3">
      <c r="B466" s="4"/>
      <c r="C466" s="5"/>
      <c r="D466" s="6"/>
      <c r="E466" s="7"/>
      <c r="G466" s="7"/>
      <c r="I466" s="7"/>
      <c r="K466" s="7"/>
      <c r="M466" s="7"/>
    </row>
    <row r="467" spans="2:13" ht="14.25" customHeight="1" x14ac:dyDescent="0.3">
      <c r="B467" s="4"/>
      <c r="C467" s="5"/>
      <c r="D467" s="6"/>
      <c r="E467" s="7"/>
      <c r="G467" s="7"/>
      <c r="I467" s="7"/>
      <c r="K467" s="7"/>
      <c r="M467" s="7"/>
    </row>
    <row r="468" spans="2:13" ht="14.25" customHeight="1" x14ac:dyDescent="0.3">
      <c r="B468" s="4"/>
      <c r="C468" s="5"/>
      <c r="D468" s="6"/>
      <c r="E468" s="7"/>
      <c r="G468" s="7"/>
      <c r="I468" s="7"/>
      <c r="K468" s="7"/>
      <c r="M468" s="7"/>
    </row>
    <row r="469" spans="2:13" ht="14.25" customHeight="1" x14ac:dyDescent="0.3">
      <c r="B469" s="4"/>
      <c r="C469" s="5"/>
      <c r="D469" s="6"/>
      <c r="E469" s="7"/>
      <c r="G469" s="7"/>
      <c r="I469" s="7"/>
      <c r="K469" s="7"/>
      <c r="M469" s="7"/>
    </row>
    <row r="470" spans="2:13" ht="14.25" customHeight="1" x14ac:dyDescent="0.3">
      <c r="B470" s="4"/>
      <c r="C470" s="5"/>
      <c r="D470" s="6"/>
      <c r="E470" s="7"/>
      <c r="G470" s="7"/>
      <c r="I470" s="7"/>
      <c r="K470" s="7"/>
      <c r="M470" s="7"/>
    </row>
    <row r="471" spans="2:13" ht="14.25" customHeight="1" x14ac:dyDescent="0.3">
      <c r="B471" s="4"/>
      <c r="C471" s="5"/>
      <c r="D471" s="6"/>
      <c r="E471" s="7"/>
      <c r="G471" s="7"/>
      <c r="I471" s="7"/>
      <c r="K471" s="7"/>
      <c r="M471" s="7"/>
    </row>
    <row r="472" spans="2:13" ht="14.25" customHeight="1" x14ac:dyDescent="0.3">
      <c r="B472" s="4"/>
      <c r="C472" s="5"/>
      <c r="D472" s="6"/>
      <c r="E472" s="7"/>
      <c r="G472" s="7"/>
      <c r="I472" s="7"/>
      <c r="K472" s="7"/>
      <c r="M472" s="7"/>
    </row>
    <row r="473" spans="2:13" ht="14.25" customHeight="1" x14ac:dyDescent="0.3">
      <c r="B473" s="4"/>
      <c r="C473" s="5"/>
      <c r="D473" s="6"/>
      <c r="E473" s="7"/>
      <c r="G473" s="7"/>
      <c r="I473" s="7"/>
      <c r="K473" s="7"/>
      <c r="M473" s="7"/>
    </row>
    <row r="474" spans="2:13" ht="14.25" customHeight="1" x14ac:dyDescent="0.3">
      <c r="B474" s="4"/>
      <c r="C474" s="5"/>
      <c r="D474" s="6"/>
      <c r="E474" s="7"/>
      <c r="G474" s="7"/>
      <c r="I474" s="7"/>
      <c r="K474" s="7"/>
      <c r="M474" s="7"/>
    </row>
    <row r="475" spans="2:13" ht="14.25" customHeight="1" x14ac:dyDescent="0.3">
      <c r="B475" s="4"/>
      <c r="C475" s="5"/>
      <c r="D475" s="6"/>
      <c r="E475" s="7"/>
      <c r="G475" s="7"/>
      <c r="I475" s="7"/>
      <c r="K475" s="7"/>
      <c r="M475" s="7"/>
    </row>
    <row r="476" spans="2:13" ht="14.25" customHeight="1" x14ac:dyDescent="0.3">
      <c r="B476" s="4"/>
      <c r="C476" s="5"/>
      <c r="D476" s="6"/>
      <c r="E476" s="7"/>
      <c r="G476" s="7"/>
      <c r="I476" s="7"/>
      <c r="K476" s="7"/>
      <c r="M476" s="7"/>
    </row>
    <row r="477" spans="2:13" ht="14.25" customHeight="1" x14ac:dyDescent="0.3">
      <c r="B477" s="4"/>
      <c r="C477" s="5"/>
      <c r="D477" s="6"/>
      <c r="E477" s="7"/>
      <c r="G477" s="7"/>
      <c r="I477" s="7"/>
      <c r="K477" s="7"/>
      <c r="M477" s="7"/>
    </row>
    <row r="478" spans="2:13" ht="14.25" customHeight="1" x14ac:dyDescent="0.3">
      <c r="B478" s="4"/>
      <c r="C478" s="5"/>
      <c r="D478" s="6"/>
      <c r="E478" s="7"/>
      <c r="G478" s="7"/>
      <c r="I478" s="7"/>
      <c r="K478" s="7"/>
      <c r="M478" s="7"/>
    </row>
    <row r="479" spans="2:13" ht="14.25" customHeight="1" x14ac:dyDescent="0.3">
      <c r="B479" s="4"/>
      <c r="C479" s="5"/>
      <c r="D479" s="6"/>
      <c r="E479" s="7"/>
      <c r="G479" s="7"/>
      <c r="I479" s="7"/>
      <c r="K479" s="7"/>
      <c r="M479" s="7"/>
    </row>
    <row r="480" spans="2:13" ht="14.25" customHeight="1" x14ac:dyDescent="0.3">
      <c r="B480" s="4"/>
      <c r="C480" s="5"/>
      <c r="D480" s="6"/>
      <c r="E480" s="7"/>
      <c r="G480" s="7"/>
      <c r="I480" s="7"/>
      <c r="K480" s="7"/>
      <c r="M480" s="7"/>
    </row>
    <row r="481" spans="2:13" ht="14.25" customHeight="1" x14ac:dyDescent="0.3">
      <c r="B481" s="4"/>
      <c r="C481" s="5"/>
      <c r="D481" s="6"/>
      <c r="E481" s="7"/>
      <c r="G481" s="7"/>
      <c r="I481" s="7"/>
      <c r="K481" s="7"/>
      <c r="M481" s="7"/>
    </row>
    <row r="482" spans="2:13" ht="14.25" customHeight="1" x14ac:dyDescent="0.3">
      <c r="B482" s="4"/>
      <c r="C482" s="5"/>
      <c r="D482" s="6"/>
      <c r="E482" s="7"/>
      <c r="G482" s="7"/>
      <c r="I482" s="7"/>
      <c r="K482" s="7"/>
      <c r="M482" s="7"/>
    </row>
    <row r="483" spans="2:13" ht="14.25" customHeight="1" x14ac:dyDescent="0.3">
      <c r="B483" s="4"/>
      <c r="C483" s="5"/>
      <c r="D483" s="6"/>
      <c r="E483" s="7"/>
      <c r="G483" s="7"/>
      <c r="I483" s="7"/>
      <c r="K483" s="7"/>
      <c r="M483" s="7"/>
    </row>
    <row r="484" spans="2:13" ht="14.25" customHeight="1" x14ac:dyDescent="0.3">
      <c r="B484" s="4"/>
      <c r="C484" s="5"/>
      <c r="D484" s="6"/>
      <c r="E484" s="7"/>
      <c r="G484" s="7"/>
      <c r="I484" s="7"/>
      <c r="K484" s="7"/>
      <c r="M484" s="7"/>
    </row>
    <row r="485" spans="2:13" ht="14.25" customHeight="1" x14ac:dyDescent="0.3">
      <c r="B485" s="4"/>
      <c r="C485" s="5"/>
      <c r="D485" s="6"/>
      <c r="E485" s="7"/>
      <c r="G485" s="7"/>
      <c r="I485" s="7"/>
      <c r="K485" s="7"/>
      <c r="M485" s="7"/>
    </row>
    <row r="486" spans="2:13" ht="14.25" customHeight="1" x14ac:dyDescent="0.3">
      <c r="B486" s="4"/>
      <c r="C486" s="5"/>
      <c r="D486" s="6"/>
      <c r="E486" s="7"/>
      <c r="G486" s="7"/>
      <c r="I486" s="7"/>
      <c r="K486" s="7"/>
      <c r="M486" s="7"/>
    </row>
    <row r="487" spans="2:13" ht="14.25" customHeight="1" x14ac:dyDescent="0.3">
      <c r="B487" s="4"/>
      <c r="C487" s="5"/>
      <c r="D487" s="6"/>
      <c r="E487" s="7"/>
      <c r="G487" s="7"/>
      <c r="I487" s="7"/>
      <c r="K487" s="7"/>
      <c r="M487" s="7"/>
    </row>
    <row r="488" spans="2:13" ht="14.25" customHeight="1" x14ac:dyDescent="0.3">
      <c r="B488" s="4"/>
      <c r="C488" s="5"/>
      <c r="D488" s="6"/>
      <c r="E488" s="7"/>
      <c r="G488" s="7"/>
      <c r="I488" s="7"/>
      <c r="K488" s="7"/>
      <c r="M488" s="7"/>
    </row>
    <row r="489" spans="2:13" ht="14.25" customHeight="1" x14ac:dyDescent="0.3">
      <c r="B489" s="4"/>
      <c r="C489" s="5"/>
      <c r="D489" s="6"/>
      <c r="E489" s="7"/>
      <c r="G489" s="7"/>
      <c r="I489" s="7"/>
      <c r="K489" s="7"/>
      <c r="M489" s="7"/>
    </row>
    <row r="490" spans="2:13" ht="14.25" customHeight="1" x14ac:dyDescent="0.3">
      <c r="B490" s="4"/>
      <c r="C490" s="5"/>
      <c r="D490" s="6"/>
      <c r="E490" s="7"/>
      <c r="G490" s="7"/>
      <c r="I490" s="7"/>
      <c r="K490" s="7"/>
      <c r="M490" s="7"/>
    </row>
    <row r="491" spans="2:13" ht="14.25" customHeight="1" x14ac:dyDescent="0.3">
      <c r="B491" s="4"/>
      <c r="C491" s="5"/>
      <c r="D491" s="6"/>
      <c r="E491" s="7"/>
      <c r="G491" s="7"/>
      <c r="I491" s="7"/>
      <c r="K491" s="7"/>
      <c r="M491" s="7"/>
    </row>
    <row r="492" spans="2:13" ht="14.25" customHeight="1" x14ac:dyDescent="0.3">
      <c r="B492" s="4"/>
      <c r="C492" s="5"/>
      <c r="D492" s="6"/>
      <c r="E492" s="7"/>
      <c r="G492" s="7"/>
      <c r="I492" s="7"/>
      <c r="K492" s="7"/>
      <c r="M492" s="7"/>
    </row>
    <row r="493" spans="2:13" ht="14.25" customHeight="1" x14ac:dyDescent="0.3">
      <c r="B493" s="4"/>
      <c r="C493" s="5"/>
      <c r="D493" s="6"/>
      <c r="E493" s="7"/>
      <c r="G493" s="7"/>
      <c r="I493" s="7"/>
      <c r="K493" s="7"/>
      <c r="M493" s="7"/>
    </row>
    <row r="494" spans="2:13" ht="14.25" customHeight="1" x14ac:dyDescent="0.3">
      <c r="B494" s="4"/>
      <c r="C494" s="5"/>
      <c r="D494" s="6"/>
      <c r="E494" s="7"/>
      <c r="G494" s="7"/>
      <c r="I494" s="7"/>
      <c r="K494" s="7"/>
      <c r="M494" s="7"/>
    </row>
    <row r="495" spans="2:13" ht="14.25" customHeight="1" x14ac:dyDescent="0.3">
      <c r="B495" s="4"/>
      <c r="C495" s="5"/>
      <c r="D495" s="6"/>
      <c r="E495" s="7"/>
      <c r="G495" s="7"/>
      <c r="I495" s="7"/>
      <c r="K495" s="7"/>
      <c r="M495" s="7"/>
    </row>
    <row r="496" spans="2:13" ht="14.25" customHeight="1" x14ac:dyDescent="0.3">
      <c r="B496" s="4"/>
      <c r="C496" s="5"/>
      <c r="D496" s="6"/>
      <c r="E496" s="7"/>
      <c r="G496" s="7"/>
      <c r="I496" s="7"/>
      <c r="K496" s="7"/>
      <c r="M496" s="7"/>
    </row>
    <row r="497" spans="2:13" ht="14.25" customHeight="1" x14ac:dyDescent="0.3">
      <c r="B497" s="4"/>
      <c r="C497" s="5"/>
      <c r="D497" s="6"/>
      <c r="E497" s="7"/>
      <c r="G497" s="7"/>
      <c r="I497" s="7"/>
      <c r="K497" s="7"/>
      <c r="M497" s="7"/>
    </row>
    <row r="498" spans="2:13" ht="14.25" customHeight="1" x14ac:dyDescent="0.3">
      <c r="B498" s="4"/>
      <c r="C498" s="5"/>
      <c r="D498" s="6"/>
      <c r="E498" s="7"/>
      <c r="G498" s="7"/>
      <c r="I498" s="7"/>
      <c r="K498" s="7"/>
      <c r="M498" s="7"/>
    </row>
    <row r="499" spans="2:13" ht="14.25" customHeight="1" x14ac:dyDescent="0.3">
      <c r="B499" s="4"/>
      <c r="C499" s="5"/>
      <c r="D499" s="6"/>
      <c r="E499" s="7"/>
      <c r="G499" s="7"/>
      <c r="I499" s="7"/>
      <c r="K499" s="7"/>
      <c r="M499" s="7"/>
    </row>
    <row r="500" spans="2:13" ht="14.25" customHeight="1" x14ac:dyDescent="0.3">
      <c r="B500" s="4"/>
      <c r="C500" s="5"/>
      <c r="D500" s="6"/>
      <c r="E500" s="7"/>
      <c r="G500" s="7"/>
      <c r="I500" s="7"/>
      <c r="K500" s="7"/>
      <c r="M500" s="7"/>
    </row>
    <row r="501" spans="2:13" ht="14.25" customHeight="1" x14ac:dyDescent="0.3">
      <c r="B501" s="4"/>
      <c r="C501" s="5"/>
      <c r="D501" s="6"/>
      <c r="E501" s="7"/>
      <c r="G501" s="7"/>
      <c r="I501" s="7"/>
      <c r="K501" s="7"/>
      <c r="M501" s="7"/>
    </row>
    <row r="502" spans="2:13" ht="14.25" customHeight="1" x14ac:dyDescent="0.3">
      <c r="B502" s="4"/>
      <c r="C502" s="5"/>
      <c r="D502" s="6"/>
      <c r="E502" s="7"/>
      <c r="G502" s="7"/>
      <c r="I502" s="7"/>
      <c r="K502" s="7"/>
      <c r="M502" s="7"/>
    </row>
    <row r="503" spans="2:13" ht="14.25" customHeight="1" x14ac:dyDescent="0.3">
      <c r="B503" s="4"/>
      <c r="C503" s="5"/>
      <c r="D503" s="6"/>
      <c r="E503" s="7"/>
      <c r="G503" s="7"/>
      <c r="I503" s="7"/>
      <c r="K503" s="7"/>
      <c r="M503" s="7"/>
    </row>
    <row r="504" spans="2:13" ht="14.25" customHeight="1" x14ac:dyDescent="0.3">
      <c r="B504" s="4"/>
      <c r="C504" s="5"/>
      <c r="D504" s="6"/>
      <c r="E504" s="7"/>
      <c r="G504" s="7"/>
      <c r="I504" s="7"/>
      <c r="K504" s="7"/>
      <c r="M504" s="7"/>
    </row>
    <row r="505" spans="2:13" ht="14.25" customHeight="1" x14ac:dyDescent="0.3">
      <c r="B505" s="4"/>
      <c r="C505" s="5"/>
      <c r="D505" s="6"/>
      <c r="E505" s="7"/>
      <c r="G505" s="7"/>
      <c r="I505" s="7"/>
      <c r="K505" s="7"/>
      <c r="M505" s="7"/>
    </row>
    <row r="506" spans="2:13" ht="14.25" customHeight="1" x14ac:dyDescent="0.3">
      <c r="B506" s="4"/>
      <c r="C506" s="5"/>
      <c r="D506" s="6"/>
      <c r="E506" s="7"/>
      <c r="G506" s="7"/>
      <c r="I506" s="7"/>
      <c r="K506" s="7"/>
      <c r="M506" s="7"/>
    </row>
    <row r="507" spans="2:13" ht="14.25" customHeight="1" x14ac:dyDescent="0.3">
      <c r="B507" s="4"/>
      <c r="C507" s="5"/>
      <c r="D507" s="6"/>
      <c r="E507" s="7"/>
      <c r="G507" s="7"/>
      <c r="I507" s="7"/>
      <c r="K507" s="7"/>
      <c r="M507" s="7"/>
    </row>
    <row r="508" spans="2:13" ht="14.25" customHeight="1" x14ac:dyDescent="0.3">
      <c r="B508" s="4"/>
      <c r="C508" s="5"/>
      <c r="D508" s="6"/>
      <c r="E508" s="7"/>
      <c r="G508" s="7"/>
      <c r="I508" s="7"/>
      <c r="K508" s="7"/>
      <c r="M508" s="7"/>
    </row>
    <row r="509" spans="2:13" ht="14.25" customHeight="1" x14ac:dyDescent="0.3">
      <c r="B509" s="4"/>
      <c r="C509" s="5"/>
      <c r="D509" s="6"/>
      <c r="E509" s="7"/>
      <c r="G509" s="7"/>
      <c r="I509" s="7"/>
      <c r="K509" s="7"/>
      <c r="M509" s="7"/>
    </row>
    <row r="510" spans="2:13" ht="14.25" customHeight="1" x14ac:dyDescent="0.3">
      <c r="B510" s="4"/>
      <c r="C510" s="5"/>
      <c r="D510" s="6"/>
      <c r="E510" s="7"/>
      <c r="G510" s="7"/>
      <c r="I510" s="7"/>
      <c r="K510" s="7"/>
      <c r="M510" s="7"/>
    </row>
    <row r="511" spans="2:13" ht="14.25" customHeight="1" x14ac:dyDescent="0.3">
      <c r="B511" s="4"/>
      <c r="C511" s="5"/>
      <c r="D511" s="6"/>
      <c r="E511" s="7"/>
      <c r="G511" s="7"/>
      <c r="I511" s="7"/>
      <c r="K511" s="7"/>
      <c r="M511" s="7"/>
    </row>
    <row r="512" spans="2:13" ht="14.25" customHeight="1" x14ac:dyDescent="0.3">
      <c r="B512" s="4"/>
      <c r="C512" s="5"/>
      <c r="D512" s="6"/>
      <c r="E512" s="7"/>
      <c r="G512" s="7"/>
      <c r="I512" s="7"/>
      <c r="K512" s="7"/>
      <c r="M512" s="7"/>
    </row>
    <row r="513" spans="2:13" ht="14.25" customHeight="1" x14ac:dyDescent="0.3">
      <c r="B513" s="4"/>
      <c r="C513" s="5"/>
      <c r="D513" s="6"/>
      <c r="E513" s="7"/>
      <c r="G513" s="7"/>
      <c r="I513" s="7"/>
      <c r="K513" s="7"/>
      <c r="M513" s="7"/>
    </row>
    <row r="514" spans="2:13" ht="14.25" customHeight="1" x14ac:dyDescent="0.3">
      <c r="B514" s="4"/>
      <c r="C514" s="5"/>
      <c r="D514" s="6"/>
      <c r="E514" s="7"/>
      <c r="G514" s="7"/>
      <c r="I514" s="7"/>
      <c r="K514" s="7"/>
      <c r="M514" s="7"/>
    </row>
    <row r="515" spans="2:13" ht="14.25" customHeight="1" x14ac:dyDescent="0.3">
      <c r="B515" s="4"/>
      <c r="C515" s="5"/>
      <c r="D515" s="6"/>
      <c r="E515" s="7"/>
      <c r="G515" s="7"/>
      <c r="I515" s="7"/>
      <c r="K515" s="7"/>
      <c r="M515" s="7"/>
    </row>
    <row r="516" spans="2:13" ht="14.25" customHeight="1" x14ac:dyDescent="0.3">
      <c r="B516" s="4"/>
      <c r="C516" s="5"/>
      <c r="D516" s="6"/>
      <c r="E516" s="7"/>
      <c r="G516" s="7"/>
      <c r="I516" s="7"/>
      <c r="K516" s="7"/>
      <c r="M516" s="7"/>
    </row>
    <row r="517" spans="2:13" ht="14.25" customHeight="1" x14ac:dyDescent="0.3">
      <c r="B517" s="4"/>
      <c r="C517" s="5"/>
      <c r="D517" s="6"/>
      <c r="E517" s="7"/>
      <c r="G517" s="7"/>
      <c r="I517" s="7"/>
      <c r="K517" s="7"/>
      <c r="M517" s="7"/>
    </row>
    <row r="518" spans="2:13" ht="14.25" customHeight="1" x14ac:dyDescent="0.3">
      <c r="B518" s="4"/>
      <c r="C518" s="5"/>
      <c r="D518" s="6"/>
      <c r="E518" s="7"/>
      <c r="G518" s="7"/>
      <c r="I518" s="7"/>
      <c r="K518" s="7"/>
      <c r="M518" s="7"/>
    </row>
    <row r="519" spans="2:13" ht="14.25" customHeight="1" x14ac:dyDescent="0.3">
      <c r="B519" s="4"/>
      <c r="C519" s="5"/>
      <c r="D519" s="6"/>
      <c r="E519" s="7"/>
      <c r="G519" s="7"/>
      <c r="I519" s="7"/>
      <c r="K519" s="7"/>
      <c r="M519" s="7"/>
    </row>
    <row r="520" spans="2:13" ht="14.25" customHeight="1" x14ac:dyDescent="0.3">
      <c r="B520" s="4"/>
      <c r="C520" s="5"/>
      <c r="D520" s="6"/>
      <c r="E520" s="7"/>
      <c r="G520" s="7"/>
      <c r="I520" s="7"/>
      <c r="K520" s="7"/>
      <c r="M520" s="7"/>
    </row>
    <row r="521" spans="2:13" ht="14.25" customHeight="1" x14ac:dyDescent="0.3">
      <c r="B521" s="4"/>
      <c r="C521" s="5"/>
      <c r="D521" s="6"/>
      <c r="E521" s="7"/>
      <c r="G521" s="7"/>
      <c r="I521" s="7"/>
      <c r="K521" s="7"/>
      <c r="M521" s="7"/>
    </row>
    <row r="522" spans="2:13" ht="14.25" customHeight="1" x14ac:dyDescent="0.3">
      <c r="B522" s="4"/>
      <c r="C522" s="5"/>
      <c r="D522" s="6"/>
      <c r="E522" s="7"/>
      <c r="G522" s="7"/>
      <c r="I522" s="7"/>
      <c r="K522" s="7"/>
      <c r="M522" s="7"/>
    </row>
    <row r="523" spans="2:13" ht="14.25" customHeight="1" x14ac:dyDescent="0.3">
      <c r="B523" s="4"/>
      <c r="C523" s="5"/>
      <c r="D523" s="6"/>
      <c r="E523" s="7"/>
      <c r="G523" s="7"/>
      <c r="I523" s="7"/>
      <c r="K523" s="7"/>
      <c r="M523" s="7"/>
    </row>
    <row r="524" spans="2:13" ht="14.25" customHeight="1" x14ac:dyDescent="0.3">
      <c r="B524" s="4"/>
      <c r="C524" s="5"/>
      <c r="D524" s="6"/>
      <c r="E524" s="7"/>
      <c r="G524" s="7"/>
      <c r="I524" s="7"/>
      <c r="K524" s="7"/>
      <c r="M524" s="7"/>
    </row>
    <row r="525" spans="2:13" ht="14.25" customHeight="1" x14ac:dyDescent="0.3">
      <c r="B525" s="4"/>
      <c r="C525" s="5"/>
      <c r="D525" s="6"/>
      <c r="E525" s="7"/>
      <c r="G525" s="7"/>
      <c r="I525" s="7"/>
      <c r="K525" s="7"/>
      <c r="M525" s="7"/>
    </row>
    <row r="526" spans="2:13" ht="14.25" customHeight="1" x14ac:dyDescent="0.3">
      <c r="B526" s="4"/>
      <c r="C526" s="5"/>
      <c r="D526" s="6"/>
      <c r="E526" s="7"/>
      <c r="G526" s="7"/>
      <c r="I526" s="7"/>
      <c r="K526" s="7"/>
      <c r="M526" s="7"/>
    </row>
    <row r="527" spans="2:13" ht="14.25" customHeight="1" x14ac:dyDescent="0.3">
      <c r="B527" s="4"/>
      <c r="C527" s="5"/>
      <c r="D527" s="6"/>
      <c r="E527" s="7"/>
      <c r="G527" s="7"/>
      <c r="I527" s="7"/>
      <c r="K527" s="7"/>
      <c r="M527" s="7"/>
    </row>
    <row r="528" spans="2:13" ht="14.25" customHeight="1" x14ac:dyDescent="0.3">
      <c r="B528" s="4"/>
      <c r="C528" s="5"/>
      <c r="D528" s="6"/>
      <c r="E528" s="7"/>
      <c r="G528" s="7"/>
      <c r="I528" s="7"/>
      <c r="K528" s="7"/>
      <c r="M528" s="7"/>
    </row>
    <row r="529" spans="2:13" ht="14.25" customHeight="1" x14ac:dyDescent="0.3">
      <c r="B529" s="4"/>
      <c r="C529" s="5"/>
      <c r="D529" s="6"/>
      <c r="E529" s="7"/>
      <c r="G529" s="7"/>
      <c r="I529" s="7"/>
      <c r="K529" s="7"/>
      <c r="M529" s="7"/>
    </row>
    <row r="530" spans="2:13" ht="14.25" customHeight="1" x14ac:dyDescent="0.3">
      <c r="B530" s="4"/>
      <c r="C530" s="5"/>
      <c r="D530" s="6"/>
      <c r="E530" s="7"/>
      <c r="G530" s="7"/>
      <c r="I530" s="7"/>
      <c r="K530" s="7"/>
      <c r="M530" s="7"/>
    </row>
    <row r="531" spans="2:13" ht="14.25" customHeight="1" x14ac:dyDescent="0.3">
      <c r="B531" s="4"/>
      <c r="C531" s="5"/>
      <c r="D531" s="6"/>
      <c r="E531" s="7"/>
      <c r="G531" s="7"/>
      <c r="I531" s="7"/>
      <c r="K531" s="7"/>
      <c r="M531" s="7"/>
    </row>
    <row r="532" spans="2:13" ht="14.25" customHeight="1" x14ac:dyDescent="0.3">
      <c r="B532" s="4"/>
      <c r="C532" s="5"/>
      <c r="D532" s="6"/>
      <c r="E532" s="7"/>
      <c r="G532" s="7"/>
      <c r="I532" s="7"/>
      <c r="K532" s="7"/>
      <c r="M532" s="7"/>
    </row>
    <row r="533" spans="2:13" ht="14.25" customHeight="1" x14ac:dyDescent="0.3">
      <c r="B533" s="4"/>
      <c r="C533" s="5"/>
      <c r="D533" s="6"/>
      <c r="E533" s="7"/>
      <c r="G533" s="7"/>
      <c r="I533" s="7"/>
      <c r="K533" s="7"/>
      <c r="M533" s="7"/>
    </row>
    <row r="534" spans="2:13" ht="14.25" customHeight="1" x14ac:dyDescent="0.3">
      <c r="B534" s="4"/>
      <c r="C534" s="5"/>
      <c r="D534" s="6"/>
      <c r="E534" s="7"/>
      <c r="G534" s="7"/>
      <c r="I534" s="7"/>
      <c r="K534" s="7"/>
      <c r="M534" s="7"/>
    </row>
    <row r="535" spans="2:13" ht="14.25" customHeight="1" x14ac:dyDescent="0.3">
      <c r="B535" s="4"/>
      <c r="C535" s="5"/>
      <c r="D535" s="6"/>
      <c r="E535" s="7"/>
      <c r="G535" s="7"/>
      <c r="I535" s="7"/>
      <c r="K535" s="7"/>
      <c r="M535" s="7"/>
    </row>
    <row r="536" spans="2:13" ht="14.25" customHeight="1" x14ac:dyDescent="0.3">
      <c r="B536" s="4"/>
      <c r="C536" s="5"/>
      <c r="D536" s="6"/>
      <c r="E536" s="7"/>
      <c r="G536" s="7"/>
      <c r="I536" s="7"/>
      <c r="K536" s="7"/>
      <c r="M536" s="7"/>
    </row>
    <row r="537" spans="2:13" ht="14.25" customHeight="1" x14ac:dyDescent="0.3">
      <c r="B537" s="4"/>
      <c r="C537" s="5"/>
      <c r="D537" s="6"/>
      <c r="E537" s="7"/>
      <c r="G537" s="7"/>
      <c r="I537" s="7"/>
      <c r="K537" s="7"/>
      <c r="M537" s="7"/>
    </row>
    <row r="538" spans="2:13" ht="14.25" customHeight="1" x14ac:dyDescent="0.3">
      <c r="B538" s="4"/>
      <c r="C538" s="5"/>
      <c r="D538" s="6"/>
      <c r="E538" s="7"/>
      <c r="G538" s="7"/>
      <c r="I538" s="7"/>
      <c r="K538" s="7"/>
      <c r="M538" s="7"/>
    </row>
    <row r="539" spans="2:13" ht="14.25" customHeight="1" x14ac:dyDescent="0.3">
      <c r="B539" s="4"/>
      <c r="C539" s="5"/>
      <c r="D539" s="6"/>
      <c r="E539" s="7"/>
      <c r="G539" s="7"/>
      <c r="I539" s="7"/>
      <c r="K539" s="7"/>
      <c r="M539" s="7"/>
    </row>
    <row r="540" spans="2:13" ht="14.25" customHeight="1" x14ac:dyDescent="0.3">
      <c r="B540" s="4"/>
      <c r="C540" s="5"/>
      <c r="D540" s="6"/>
      <c r="E540" s="7"/>
      <c r="G540" s="7"/>
      <c r="I540" s="7"/>
      <c r="K540" s="7"/>
      <c r="M540" s="7"/>
    </row>
    <row r="541" spans="2:13" ht="14.25" customHeight="1" x14ac:dyDescent="0.3">
      <c r="B541" s="4"/>
      <c r="C541" s="5"/>
      <c r="D541" s="6"/>
      <c r="E541" s="7"/>
      <c r="G541" s="7"/>
      <c r="I541" s="7"/>
      <c r="K541" s="7"/>
      <c r="M541" s="7"/>
    </row>
    <row r="542" spans="2:13" ht="14.25" customHeight="1" x14ac:dyDescent="0.3">
      <c r="B542" s="4"/>
      <c r="C542" s="5"/>
      <c r="D542" s="6"/>
      <c r="E542" s="7"/>
      <c r="G542" s="7"/>
      <c r="I542" s="7"/>
      <c r="K542" s="7"/>
      <c r="M542" s="7"/>
    </row>
    <row r="543" spans="2:13" ht="14.25" customHeight="1" x14ac:dyDescent="0.3">
      <c r="B543" s="4"/>
      <c r="C543" s="5"/>
      <c r="D543" s="6"/>
      <c r="E543" s="7"/>
      <c r="G543" s="7"/>
      <c r="I543" s="7"/>
      <c r="K543" s="7"/>
      <c r="M543" s="7"/>
    </row>
    <row r="544" spans="2:13" ht="14.25" customHeight="1" x14ac:dyDescent="0.3">
      <c r="B544" s="4"/>
      <c r="C544" s="5"/>
      <c r="D544" s="6"/>
      <c r="E544" s="7"/>
      <c r="G544" s="7"/>
      <c r="I544" s="7"/>
      <c r="K544" s="7"/>
      <c r="M544" s="7"/>
    </row>
    <row r="545" spans="2:13" ht="14.25" customHeight="1" x14ac:dyDescent="0.3">
      <c r="B545" s="4"/>
      <c r="C545" s="5"/>
      <c r="D545" s="6"/>
      <c r="E545" s="7"/>
      <c r="G545" s="7"/>
      <c r="I545" s="7"/>
      <c r="K545" s="7"/>
      <c r="M545" s="7"/>
    </row>
    <row r="546" spans="2:13" ht="14.25" customHeight="1" x14ac:dyDescent="0.3">
      <c r="B546" s="4"/>
      <c r="C546" s="5"/>
      <c r="D546" s="6"/>
      <c r="E546" s="7"/>
      <c r="G546" s="7"/>
      <c r="I546" s="7"/>
      <c r="K546" s="7"/>
      <c r="M546" s="7"/>
    </row>
    <row r="547" spans="2:13" ht="14.25" customHeight="1" x14ac:dyDescent="0.3">
      <c r="B547" s="4"/>
      <c r="C547" s="5"/>
      <c r="D547" s="6"/>
      <c r="E547" s="7"/>
      <c r="G547" s="7"/>
      <c r="I547" s="7"/>
      <c r="K547" s="7"/>
      <c r="M547" s="7"/>
    </row>
    <row r="548" spans="2:13" ht="14.25" customHeight="1" x14ac:dyDescent="0.3">
      <c r="B548" s="4"/>
      <c r="C548" s="5"/>
      <c r="D548" s="6"/>
      <c r="E548" s="7"/>
      <c r="G548" s="7"/>
      <c r="I548" s="7"/>
      <c r="K548" s="7"/>
      <c r="M548" s="7"/>
    </row>
    <row r="549" spans="2:13" ht="14.25" customHeight="1" x14ac:dyDescent="0.3">
      <c r="B549" s="4"/>
      <c r="C549" s="5"/>
      <c r="D549" s="6"/>
      <c r="E549" s="7"/>
      <c r="G549" s="7"/>
      <c r="I549" s="7"/>
      <c r="K549" s="7"/>
      <c r="M549" s="7"/>
    </row>
    <row r="550" spans="2:13" ht="14.25" customHeight="1" x14ac:dyDescent="0.3">
      <c r="B550" s="4"/>
      <c r="C550" s="5"/>
      <c r="D550" s="6"/>
      <c r="E550" s="7"/>
      <c r="G550" s="7"/>
      <c r="I550" s="7"/>
      <c r="K550" s="7"/>
      <c r="M550" s="7"/>
    </row>
    <row r="551" spans="2:13" ht="14.25" customHeight="1" x14ac:dyDescent="0.3">
      <c r="B551" s="4"/>
      <c r="C551" s="5"/>
      <c r="D551" s="6"/>
      <c r="E551" s="7"/>
      <c r="G551" s="7"/>
      <c r="I551" s="7"/>
      <c r="K551" s="7"/>
      <c r="M551" s="7"/>
    </row>
    <row r="552" spans="2:13" ht="14.25" customHeight="1" x14ac:dyDescent="0.3">
      <c r="B552" s="4"/>
      <c r="C552" s="5"/>
      <c r="D552" s="6"/>
      <c r="E552" s="7"/>
      <c r="G552" s="7"/>
      <c r="I552" s="7"/>
      <c r="K552" s="7"/>
      <c r="M552" s="7"/>
    </row>
    <row r="553" spans="2:13" ht="14.25" customHeight="1" x14ac:dyDescent="0.3">
      <c r="B553" s="4"/>
      <c r="C553" s="5"/>
      <c r="D553" s="6"/>
      <c r="E553" s="7"/>
      <c r="G553" s="7"/>
      <c r="I553" s="7"/>
      <c r="K553" s="7"/>
      <c r="M553" s="7"/>
    </row>
    <row r="554" spans="2:13" ht="14.25" customHeight="1" x14ac:dyDescent="0.3">
      <c r="B554" s="4"/>
      <c r="C554" s="5"/>
      <c r="D554" s="6"/>
      <c r="E554" s="7"/>
      <c r="G554" s="7"/>
      <c r="I554" s="7"/>
      <c r="K554" s="7"/>
      <c r="M554" s="7"/>
    </row>
    <row r="555" spans="2:13" ht="14.25" customHeight="1" x14ac:dyDescent="0.3">
      <c r="B555" s="4"/>
      <c r="C555" s="5"/>
      <c r="D555" s="6"/>
      <c r="E555" s="7"/>
      <c r="G555" s="7"/>
      <c r="I555" s="7"/>
      <c r="K555" s="7"/>
      <c r="M555" s="7"/>
    </row>
    <row r="556" spans="2:13" ht="14.25" customHeight="1" x14ac:dyDescent="0.3">
      <c r="B556" s="4"/>
      <c r="C556" s="5"/>
      <c r="D556" s="6"/>
      <c r="E556" s="7"/>
      <c r="G556" s="7"/>
      <c r="I556" s="7"/>
      <c r="K556" s="7"/>
      <c r="M556" s="7"/>
    </row>
    <row r="557" spans="2:13" ht="14.25" customHeight="1" x14ac:dyDescent="0.3">
      <c r="B557" s="4"/>
      <c r="C557" s="5"/>
      <c r="D557" s="6"/>
      <c r="E557" s="7"/>
      <c r="G557" s="7"/>
      <c r="I557" s="7"/>
      <c r="K557" s="7"/>
      <c r="M557" s="7"/>
    </row>
    <row r="558" spans="2:13" ht="14.25" customHeight="1" x14ac:dyDescent="0.3">
      <c r="B558" s="4"/>
      <c r="C558" s="5"/>
      <c r="D558" s="6"/>
      <c r="E558" s="7"/>
      <c r="G558" s="7"/>
      <c r="I558" s="7"/>
      <c r="K558" s="7"/>
      <c r="M558" s="7"/>
    </row>
    <row r="559" spans="2:13" ht="14.25" customHeight="1" x14ac:dyDescent="0.3">
      <c r="B559" s="4"/>
      <c r="C559" s="5"/>
      <c r="D559" s="6"/>
      <c r="E559" s="7"/>
      <c r="G559" s="7"/>
      <c r="I559" s="7"/>
      <c r="K559" s="7"/>
      <c r="M559" s="7"/>
    </row>
    <row r="560" spans="2:13" ht="14.25" customHeight="1" x14ac:dyDescent="0.3">
      <c r="B560" s="4"/>
      <c r="C560" s="5"/>
      <c r="D560" s="6"/>
      <c r="E560" s="7"/>
      <c r="G560" s="7"/>
      <c r="I560" s="7"/>
      <c r="K560" s="7"/>
      <c r="M560" s="7"/>
    </row>
    <row r="561" spans="2:13" ht="14.25" customHeight="1" x14ac:dyDescent="0.3">
      <c r="B561" s="4"/>
      <c r="C561" s="5"/>
      <c r="D561" s="6"/>
      <c r="E561" s="7"/>
      <c r="G561" s="7"/>
      <c r="I561" s="7"/>
      <c r="K561" s="7"/>
      <c r="M561" s="7"/>
    </row>
    <row r="562" spans="2:13" ht="14.25" customHeight="1" x14ac:dyDescent="0.3">
      <c r="B562" s="4"/>
      <c r="C562" s="5"/>
      <c r="D562" s="6"/>
      <c r="E562" s="7"/>
      <c r="G562" s="7"/>
      <c r="I562" s="7"/>
      <c r="K562" s="7"/>
      <c r="M562" s="7"/>
    </row>
    <row r="563" spans="2:13" ht="14.25" customHeight="1" x14ac:dyDescent="0.3">
      <c r="B563" s="4"/>
      <c r="C563" s="5"/>
      <c r="D563" s="6"/>
      <c r="E563" s="7"/>
      <c r="G563" s="7"/>
      <c r="I563" s="7"/>
      <c r="K563" s="7"/>
      <c r="M563" s="7"/>
    </row>
    <row r="564" spans="2:13" ht="14.25" customHeight="1" x14ac:dyDescent="0.3">
      <c r="B564" s="4"/>
      <c r="C564" s="5"/>
      <c r="D564" s="6"/>
      <c r="E564" s="7"/>
      <c r="G564" s="7"/>
      <c r="I564" s="7"/>
      <c r="K564" s="7"/>
      <c r="M564" s="7"/>
    </row>
    <row r="565" spans="2:13" ht="14.25" customHeight="1" x14ac:dyDescent="0.3">
      <c r="B565" s="4"/>
      <c r="C565" s="5"/>
      <c r="D565" s="6"/>
      <c r="E565" s="7"/>
      <c r="G565" s="7"/>
      <c r="I565" s="7"/>
      <c r="K565" s="7"/>
      <c r="M565" s="7"/>
    </row>
    <row r="566" spans="2:13" ht="14.25" customHeight="1" x14ac:dyDescent="0.3">
      <c r="B566" s="4"/>
      <c r="C566" s="5"/>
      <c r="D566" s="6"/>
      <c r="E566" s="7"/>
      <c r="G566" s="7"/>
      <c r="I566" s="7"/>
      <c r="K566" s="7"/>
      <c r="M566" s="7"/>
    </row>
    <row r="567" spans="2:13" ht="14.25" customHeight="1" x14ac:dyDescent="0.3">
      <c r="B567" s="4"/>
      <c r="C567" s="5"/>
      <c r="D567" s="6"/>
      <c r="E567" s="7"/>
      <c r="G567" s="7"/>
      <c r="I567" s="7"/>
      <c r="K567" s="7"/>
      <c r="M567" s="7"/>
    </row>
    <row r="568" spans="2:13" ht="14.25" customHeight="1" x14ac:dyDescent="0.3">
      <c r="B568" s="4"/>
      <c r="C568" s="5"/>
      <c r="D568" s="6"/>
      <c r="E568" s="7"/>
      <c r="G568" s="7"/>
      <c r="I568" s="7"/>
      <c r="K568" s="7"/>
      <c r="M568" s="7"/>
    </row>
    <row r="569" spans="2:13" ht="14.25" customHeight="1" x14ac:dyDescent="0.3">
      <c r="B569" s="4"/>
      <c r="C569" s="5"/>
      <c r="D569" s="6"/>
      <c r="E569" s="7"/>
      <c r="G569" s="7"/>
      <c r="I569" s="7"/>
      <c r="K569" s="7"/>
      <c r="M569" s="7"/>
    </row>
    <row r="570" spans="2:13" ht="14.25" customHeight="1" x14ac:dyDescent="0.3">
      <c r="B570" s="4"/>
      <c r="C570" s="5"/>
      <c r="D570" s="6"/>
      <c r="E570" s="7"/>
      <c r="G570" s="7"/>
      <c r="I570" s="7"/>
      <c r="K570" s="7"/>
      <c r="M570" s="7"/>
    </row>
    <row r="571" spans="2:13" ht="14.25" customHeight="1" x14ac:dyDescent="0.3">
      <c r="B571" s="4"/>
      <c r="C571" s="5"/>
      <c r="D571" s="6"/>
      <c r="E571" s="7"/>
      <c r="G571" s="7"/>
      <c r="I571" s="7"/>
      <c r="K571" s="7"/>
      <c r="M571" s="7"/>
    </row>
    <row r="572" spans="2:13" ht="14.25" customHeight="1" x14ac:dyDescent="0.3">
      <c r="B572" s="4"/>
      <c r="C572" s="5"/>
      <c r="D572" s="6"/>
      <c r="E572" s="7"/>
      <c r="G572" s="7"/>
      <c r="I572" s="7"/>
      <c r="K572" s="7"/>
      <c r="M572" s="7"/>
    </row>
    <row r="573" spans="2:13" ht="14.25" customHeight="1" x14ac:dyDescent="0.3">
      <c r="B573" s="4"/>
      <c r="C573" s="5"/>
      <c r="D573" s="6"/>
      <c r="E573" s="7"/>
      <c r="G573" s="7"/>
      <c r="I573" s="7"/>
      <c r="K573" s="7"/>
      <c r="M573" s="7"/>
    </row>
    <row r="574" spans="2:13" ht="14.25" customHeight="1" x14ac:dyDescent="0.3">
      <c r="B574" s="4"/>
      <c r="C574" s="5"/>
      <c r="D574" s="6"/>
      <c r="E574" s="7"/>
      <c r="G574" s="7"/>
      <c r="I574" s="7"/>
      <c r="K574" s="7"/>
      <c r="M574" s="7"/>
    </row>
    <row r="575" spans="2:13" ht="14.25" customHeight="1" x14ac:dyDescent="0.3">
      <c r="B575" s="4"/>
      <c r="C575" s="5"/>
      <c r="D575" s="6"/>
      <c r="E575" s="7"/>
      <c r="G575" s="7"/>
      <c r="I575" s="7"/>
      <c r="K575" s="7"/>
      <c r="M575" s="7"/>
    </row>
    <row r="576" spans="2:13" ht="14.25" customHeight="1" x14ac:dyDescent="0.3">
      <c r="B576" s="4"/>
      <c r="C576" s="5"/>
      <c r="D576" s="6"/>
      <c r="E576" s="7"/>
      <c r="G576" s="7"/>
      <c r="I576" s="7"/>
      <c r="K576" s="7"/>
      <c r="M576" s="7"/>
    </row>
    <row r="577" spans="2:13" ht="14.25" customHeight="1" x14ac:dyDescent="0.3">
      <c r="B577" s="4"/>
      <c r="C577" s="5"/>
      <c r="D577" s="6"/>
      <c r="E577" s="7"/>
      <c r="G577" s="7"/>
      <c r="I577" s="7"/>
      <c r="K577" s="7"/>
      <c r="M577" s="7"/>
    </row>
    <row r="578" spans="2:13" ht="14.25" customHeight="1" x14ac:dyDescent="0.3">
      <c r="B578" s="4"/>
      <c r="C578" s="5"/>
      <c r="D578" s="6"/>
      <c r="E578" s="7"/>
      <c r="G578" s="7"/>
      <c r="I578" s="7"/>
      <c r="K578" s="7"/>
      <c r="M578" s="7"/>
    </row>
    <row r="579" spans="2:13" ht="14.25" customHeight="1" x14ac:dyDescent="0.3">
      <c r="B579" s="4"/>
      <c r="C579" s="5"/>
      <c r="D579" s="6"/>
      <c r="E579" s="7"/>
      <c r="G579" s="7"/>
      <c r="I579" s="7"/>
      <c r="K579" s="7"/>
      <c r="M579" s="7"/>
    </row>
    <row r="580" spans="2:13" ht="14.25" customHeight="1" x14ac:dyDescent="0.3">
      <c r="B580" s="4"/>
      <c r="C580" s="5"/>
      <c r="D580" s="6"/>
      <c r="E580" s="7"/>
      <c r="G580" s="7"/>
      <c r="I580" s="7"/>
      <c r="K580" s="7"/>
      <c r="M580" s="7"/>
    </row>
    <row r="581" spans="2:13" ht="14.25" customHeight="1" x14ac:dyDescent="0.3">
      <c r="B581" s="4"/>
      <c r="C581" s="5"/>
      <c r="D581" s="6"/>
      <c r="E581" s="7"/>
      <c r="G581" s="7"/>
      <c r="I581" s="7"/>
      <c r="K581" s="7"/>
      <c r="M581" s="7"/>
    </row>
    <row r="582" spans="2:13" ht="14.25" customHeight="1" x14ac:dyDescent="0.3">
      <c r="B582" s="4"/>
      <c r="C582" s="5"/>
      <c r="D582" s="6"/>
      <c r="E582" s="7"/>
      <c r="G582" s="7"/>
      <c r="I582" s="7"/>
      <c r="K582" s="7"/>
      <c r="M582" s="7"/>
    </row>
    <row r="583" spans="2:13" ht="14.25" customHeight="1" x14ac:dyDescent="0.3">
      <c r="B583" s="4"/>
      <c r="C583" s="5"/>
      <c r="D583" s="6"/>
      <c r="E583" s="7"/>
      <c r="G583" s="7"/>
      <c r="I583" s="7"/>
      <c r="K583" s="7"/>
      <c r="M583" s="7"/>
    </row>
    <row r="584" spans="2:13" ht="14.25" customHeight="1" x14ac:dyDescent="0.3">
      <c r="B584" s="4"/>
      <c r="C584" s="5"/>
      <c r="D584" s="6"/>
      <c r="E584" s="7"/>
      <c r="G584" s="7"/>
      <c r="I584" s="7"/>
      <c r="K584" s="7"/>
      <c r="M584" s="7"/>
    </row>
    <row r="585" spans="2:13" ht="14.25" customHeight="1" x14ac:dyDescent="0.3">
      <c r="B585" s="4"/>
      <c r="C585" s="5"/>
      <c r="D585" s="6"/>
      <c r="E585" s="7"/>
      <c r="G585" s="7"/>
      <c r="I585" s="7"/>
      <c r="K585" s="7"/>
      <c r="M585" s="7"/>
    </row>
    <row r="586" spans="2:13" ht="14.25" customHeight="1" x14ac:dyDescent="0.3">
      <c r="B586" s="4"/>
      <c r="C586" s="5"/>
      <c r="D586" s="6"/>
      <c r="E586" s="7"/>
      <c r="G586" s="7"/>
      <c r="I586" s="7"/>
      <c r="K586" s="7"/>
      <c r="M586" s="7"/>
    </row>
    <row r="587" spans="2:13" ht="14.25" customHeight="1" x14ac:dyDescent="0.3">
      <c r="B587" s="4"/>
      <c r="C587" s="5"/>
      <c r="D587" s="6"/>
      <c r="E587" s="7"/>
      <c r="G587" s="7"/>
      <c r="I587" s="7"/>
      <c r="K587" s="7"/>
      <c r="M587" s="7"/>
    </row>
    <row r="588" spans="2:13" ht="14.25" customHeight="1" x14ac:dyDescent="0.3">
      <c r="B588" s="4"/>
      <c r="C588" s="5"/>
      <c r="D588" s="6"/>
      <c r="E588" s="7"/>
      <c r="G588" s="7"/>
      <c r="I588" s="7"/>
      <c r="K588" s="7"/>
      <c r="M588" s="7"/>
    </row>
    <row r="589" spans="2:13" ht="14.25" customHeight="1" x14ac:dyDescent="0.3">
      <c r="B589" s="4"/>
      <c r="C589" s="5"/>
      <c r="D589" s="6"/>
      <c r="E589" s="7"/>
      <c r="G589" s="7"/>
      <c r="I589" s="7"/>
      <c r="K589" s="7"/>
      <c r="M589" s="7"/>
    </row>
    <row r="590" spans="2:13" ht="14.25" customHeight="1" x14ac:dyDescent="0.3">
      <c r="B590" s="4"/>
      <c r="C590" s="5"/>
      <c r="D590" s="6"/>
      <c r="E590" s="7"/>
      <c r="G590" s="7"/>
      <c r="I590" s="7"/>
      <c r="K590" s="7"/>
      <c r="M590" s="7"/>
    </row>
    <row r="591" spans="2:13" ht="14.25" customHeight="1" x14ac:dyDescent="0.3">
      <c r="B591" s="4"/>
      <c r="C591" s="5"/>
      <c r="D591" s="6"/>
      <c r="E591" s="7"/>
      <c r="G591" s="7"/>
      <c r="I591" s="7"/>
      <c r="K591" s="7"/>
      <c r="M591" s="7"/>
    </row>
    <row r="592" spans="2:13" ht="14.25" customHeight="1" x14ac:dyDescent="0.3">
      <c r="B592" s="4"/>
      <c r="C592" s="5"/>
      <c r="D592" s="6"/>
      <c r="E592" s="7"/>
      <c r="G592" s="7"/>
      <c r="I592" s="7"/>
      <c r="K592" s="7"/>
      <c r="M592" s="7"/>
    </row>
    <row r="593" spans="2:13" ht="14.25" customHeight="1" x14ac:dyDescent="0.3">
      <c r="B593" s="4"/>
      <c r="C593" s="5"/>
      <c r="D593" s="6"/>
      <c r="E593" s="7"/>
      <c r="G593" s="7"/>
      <c r="I593" s="7"/>
      <c r="K593" s="7"/>
      <c r="M593" s="7"/>
    </row>
    <row r="594" spans="2:13" ht="14.25" customHeight="1" x14ac:dyDescent="0.3">
      <c r="B594" s="4"/>
      <c r="C594" s="5"/>
      <c r="D594" s="6"/>
      <c r="E594" s="7"/>
      <c r="G594" s="7"/>
      <c r="I594" s="7"/>
      <c r="K594" s="7"/>
      <c r="M594" s="7"/>
    </row>
    <row r="595" spans="2:13" ht="14.25" customHeight="1" x14ac:dyDescent="0.3">
      <c r="B595" s="4"/>
      <c r="C595" s="5"/>
      <c r="D595" s="6"/>
      <c r="E595" s="7"/>
      <c r="G595" s="7"/>
      <c r="I595" s="7"/>
      <c r="K595" s="7"/>
      <c r="M595" s="7"/>
    </row>
    <row r="596" spans="2:13" ht="14.25" customHeight="1" x14ac:dyDescent="0.3">
      <c r="B596" s="4"/>
      <c r="C596" s="5"/>
      <c r="D596" s="6"/>
      <c r="E596" s="7"/>
      <c r="G596" s="7"/>
      <c r="I596" s="7"/>
      <c r="K596" s="7"/>
      <c r="M596" s="7"/>
    </row>
    <row r="597" spans="2:13" ht="14.25" customHeight="1" x14ac:dyDescent="0.3">
      <c r="B597" s="4"/>
      <c r="C597" s="5"/>
      <c r="D597" s="6"/>
      <c r="E597" s="7"/>
      <c r="G597" s="7"/>
      <c r="I597" s="7"/>
      <c r="K597" s="7"/>
      <c r="M597" s="7"/>
    </row>
    <row r="598" spans="2:13" ht="14.25" customHeight="1" x14ac:dyDescent="0.3">
      <c r="B598" s="4"/>
      <c r="C598" s="5"/>
      <c r="D598" s="6"/>
      <c r="E598" s="7"/>
      <c r="G598" s="7"/>
      <c r="I598" s="7"/>
      <c r="K598" s="7"/>
      <c r="M598" s="7"/>
    </row>
    <row r="599" spans="2:13" ht="14.25" customHeight="1" x14ac:dyDescent="0.3">
      <c r="B599" s="4"/>
      <c r="C599" s="5"/>
      <c r="D599" s="6"/>
      <c r="E599" s="7"/>
      <c r="G599" s="7"/>
      <c r="I599" s="7"/>
      <c r="K599" s="7"/>
      <c r="M599" s="7"/>
    </row>
    <row r="600" spans="2:13" ht="14.25" customHeight="1" x14ac:dyDescent="0.3">
      <c r="B600" s="4"/>
      <c r="C600" s="5"/>
      <c r="D600" s="6"/>
      <c r="E600" s="7"/>
      <c r="G600" s="7"/>
      <c r="I600" s="7"/>
      <c r="K600" s="7"/>
      <c r="M600" s="7"/>
    </row>
    <row r="601" spans="2:13" ht="14.25" customHeight="1" x14ac:dyDescent="0.3">
      <c r="B601" s="4"/>
      <c r="C601" s="5"/>
      <c r="D601" s="6"/>
      <c r="E601" s="7"/>
      <c r="G601" s="7"/>
      <c r="I601" s="7"/>
      <c r="K601" s="7"/>
      <c r="M601" s="7"/>
    </row>
    <row r="602" spans="2:13" ht="14.25" customHeight="1" x14ac:dyDescent="0.3">
      <c r="B602" s="4"/>
      <c r="C602" s="5"/>
      <c r="D602" s="6"/>
      <c r="E602" s="7"/>
      <c r="G602" s="7"/>
      <c r="I602" s="7"/>
      <c r="K602" s="7"/>
      <c r="M602" s="7"/>
    </row>
    <row r="603" spans="2:13" ht="14.25" customHeight="1" x14ac:dyDescent="0.3">
      <c r="B603" s="4"/>
      <c r="C603" s="5"/>
      <c r="D603" s="6"/>
      <c r="E603" s="7"/>
      <c r="G603" s="7"/>
      <c r="I603" s="7"/>
      <c r="K603" s="7"/>
      <c r="M603" s="7"/>
    </row>
    <row r="604" spans="2:13" ht="14.25" customHeight="1" x14ac:dyDescent="0.3">
      <c r="B604" s="4"/>
      <c r="C604" s="5"/>
      <c r="D604" s="6"/>
      <c r="E604" s="7"/>
      <c r="G604" s="7"/>
      <c r="I604" s="7"/>
      <c r="K604" s="7"/>
      <c r="M604" s="7"/>
    </row>
    <row r="605" spans="2:13" ht="14.25" customHeight="1" x14ac:dyDescent="0.3">
      <c r="B605" s="4"/>
      <c r="C605" s="5"/>
      <c r="D605" s="6"/>
      <c r="E605" s="7"/>
      <c r="G605" s="7"/>
      <c r="I605" s="7"/>
      <c r="K605" s="7"/>
      <c r="M605" s="7"/>
    </row>
    <row r="606" spans="2:13" ht="14.25" customHeight="1" x14ac:dyDescent="0.3">
      <c r="B606" s="4"/>
      <c r="C606" s="5"/>
      <c r="D606" s="6"/>
      <c r="E606" s="7"/>
      <c r="G606" s="7"/>
      <c r="I606" s="7"/>
      <c r="K606" s="7"/>
      <c r="M606" s="7"/>
    </row>
    <row r="607" spans="2:13" ht="14.25" customHeight="1" x14ac:dyDescent="0.3">
      <c r="B607" s="4"/>
      <c r="C607" s="5"/>
      <c r="D607" s="6"/>
      <c r="E607" s="7"/>
      <c r="G607" s="7"/>
      <c r="I607" s="7"/>
      <c r="K607" s="7"/>
      <c r="M607" s="7"/>
    </row>
    <row r="608" spans="2:13" ht="14.25" customHeight="1" x14ac:dyDescent="0.3">
      <c r="B608" s="4"/>
      <c r="C608" s="5"/>
      <c r="D608" s="6"/>
      <c r="E608" s="7"/>
      <c r="G608" s="7"/>
      <c r="I608" s="7"/>
      <c r="K608" s="7"/>
      <c r="M608" s="7"/>
    </row>
    <row r="609" spans="2:13" ht="14.25" customHeight="1" x14ac:dyDescent="0.3">
      <c r="B609" s="4"/>
      <c r="C609" s="5"/>
      <c r="D609" s="6"/>
      <c r="E609" s="7"/>
      <c r="G609" s="7"/>
      <c r="I609" s="7"/>
      <c r="K609" s="7"/>
      <c r="M609" s="7"/>
    </row>
    <row r="610" spans="2:13" ht="14.25" customHeight="1" x14ac:dyDescent="0.3">
      <c r="B610" s="4"/>
      <c r="C610" s="5"/>
      <c r="D610" s="6"/>
      <c r="E610" s="7"/>
      <c r="G610" s="7"/>
      <c r="I610" s="7"/>
      <c r="K610" s="7"/>
      <c r="M610" s="7"/>
    </row>
    <row r="611" spans="2:13" ht="14.25" customHeight="1" x14ac:dyDescent="0.3">
      <c r="B611" s="4"/>
      <c r="C611" s="5"/>
      <c r="D611" s="6"/>
      <c r="E611" s="7"/>
      <c r="G611" s="7"/>
      <c r="I611" s="7"/>
      <c r="K611" s="7"/>
      <c r="M611" s="7"/>
    </row>
    <row r="612" spans="2:13" ht="14.25" customHeight="1" x14ac:dyDescent="0.3">
      <c r="B612" s="4"/>
      <c r="C612" s="5"/>
      <c r="D612" s="6"/>
      <c r="E612" s="7"/>
      <c r="G612" s="7"/>
      <c r="I612" s="7"/>
      <c r="K612" s="7"/>
      <c r="M612" s="7"/>
    </row>
    <row r="613" spans="2:13" ht="14.25" customHeight="1" x14ac:dyDescent="0.3">
      <c r="B613" s="4"/>
      <c r="C613" s="5"/>
      <c r="D613" s="6"/>
      <c r="E613" s="7"/>
      <c r="G613" s="7"/>
      <c r="I613" s="7"/>
      <c r="K613" s="7"/>
      <c r="M613" s="7"/>
    </row>
    <row r="614" spans="2:13" ht="14.25" customHeight="1" x14ac:dyDescent="0.3">
      <c r="B614" s="4"/>
      <c r="C614" s="5"/>
      <c r="D614" s="6"/>
      <c r="E614" s="7"/>
      <c r="G614" s="7"/>
      <c r="I614" s="7"/>
      <c r="K614" s="7"/>
      <c r="M614" s="7"/>
    </row>
    <row r="615" spans="2:13" ht="14.25" customHeight="1" x14ac:dyDescent="0.3">
      <c r="B615" s="4"/>
      <c r="C615" s="5"/>
      <c r="D615" s="6"/>
      <c r="E615" s="7"/>
      <c r="G615" s="7"/>
      <c r="I615" s="7"/>
      <c r="K615" s="7"/>
      <c r="M615" s="7"/>
    </row>
    <row r="616" spans="2:13" ht="14.25" customHeight="1" x14ac:dyDescent="0.3">
      <c r="B616" s="4"/>
      <c r="C616" s="5"/>
      <c r="D616" s="6"/>
      <c r="E616" s="7"/>
      <c r="G616" s="7"/>
      <c r="I616" s="7"/>
      <c r="K616" s="7"/>
      <c r="M616" s="7"/>
    </row>
    <row r="617" spans="2:13" ht="14.25" customHeight="1" x14ac:dyDescent="0.3">
      <c r="B617" s="4"/>
      <c r="C617" s="5"/>
      <c r="D617" s="6"/>
      <c r="E617" s="7"/>
      <c r="G617" s="7"/>
      <c r="I617" s="7"/>
      <c r="K617" s="7"/>
      <c r="M617" s="7"/>
    </row>
    <row r="618" spans="2:13" ht="14.25" customHeight="1" x14ac:dyDescent="0.3">
      <c r="B618" s="4"/>
      <c r="C618" s="5"/>
      <c r="D618" s="6"/>
      <c r="E618" s="7"/>
      <c r="G618" s="7"/>
      <c r="I618" s="7"/>
      <c r="K618" s="7"/>
      <c r="M618" s="7"/>
    </row>
    <row r="619" spans="2:13" ht="14.25" customHeight="1" x14ac:dyDescent="0.3">
      <c r="B619" s="4"/>
      <c r="C619" s="5"/>
      <c r="D619" s="6"/>
      <c r="E619" s="7"/>
      <c r="G619" s="7"/>
      <c r="I619" s="7"/>
      <c r="K619" s="7"/>
      <c r="M619" s="7"/>
    </row>
    <row r="620" spans="2:13" ht="14.25" customHeight="1" x14ac:dyDescent="0.3">
      <c r="B620" s="4"/>
      <c r="C620" s="5"/>
      <c r="D620" s="6"/>
      <c r="E620" s="7"/>
      <c r="G620" s="7"/>
      <c r="I620" s="7"/>
      <c r="K620" s="7"/>
      <c r="M620" s="7"/>
    </row>
    <row r="621" spans="2:13" ht="14.25" customHeight="1" x14ac:dyDescent="0.3">
      <c r="B621" s="4"/>
      <c r="C621" s="5"/>
      <c r="D621" s="6"/>
      <c r="E621" s="7"/>
      <c r="G621" s="7"/>
      <c r="I621" s="7"/>
      <c r="K621" s="7"/>
      <c r="M621" s="7"/>
    </row>
    <row r="622" spans="2:13" ht="14.25" customHeight="1" x14ac:dyDescent="0.3">
      <c r="B622" s="4"/>
      <c r="C622" s="5"/>
      <c r="D622" s="6"/>
      <c r="E622" s="7"/>
      <c r="G622" s="7"/>
      <c r="I622" s="7"/>
      <c r="K622" s="7"/>
      <c r="M622" s="7"/>
    </row>
    <row r="623" spans="2:13" ht="14.25" customHeight="1" x14ac:dyDescent="0.3">
      <c r="B623" s="4"/>
      <c r="C623" s="5"/>
      <c r="D623" s="6"/>
      <c r="E623" s="7"/>
      <c r="G623" s="7"/>
      <c r="I623" s="7"/>
      <c r="K623" s="7"/>
      <c r="M623" s="7"/>
    </row>
    <row r="624" spans="2:13" ht="14.25" customHeight="1" x14ac:dyDescent="0.3">
      <c r="B624" s="4"/>
      <c r="C624" s="5"/>
      <c r="D624" s="6"/>
      <c r="E624" s="7"/>
      <c r="G624" s="7"/>
      <c r="I624" s="7"/>
      <c r="K624" s="7"/>
      <c r="M624" s="7"/>
    </row>
    <row r="625" spans="2:13" ht="14.25" customHeight="1" x14ac:dyDescent="0.3">
      <c r="B625" s="4"/>
      <c r="C625" s="5"/>
      <c r="D625" s="6"/>
      <c r="E625" s="7"/>
      <c r="G625" s="7"/>
      <c r="I625" s="7"/>
      <c r="K625" s="7"/>
      <c r="M625" s="7"/>
    </row>
    <row r="626" spans="2:13" ht="14.25" customHeight="1" x14ac:dyDescent="0.3">
      <c r="B626" s="4"/>
      <c r="C626" s="5"/>
      <c r="D626" s="6"/>
      <c r="E626" s="7"/>
      <c r="G626" s="7"/>
      <c r="I626" s="7"/>
      <c r="K626" s="7"/>
      <c r="M626" s="7"/>
    </row>
    <row r="627" spans="2:13" ht="14.25" customHeight="1" x14ac:dyDescent="0.3">
      <c r="B627" s="4"/>
      <c r="C627" s="5"/>
      <c r="D627" s="6"/>
      <c r="E627" s="7"/>
      <c r="G627" s="7"/>
      <c r="I627" s="7"/>
      <c r="K627" s="7"/>
      <c r="M627" s="7"/>
    </row>
    <row r="628" spans="2:13" ht="14.25" customHeight="1" x14ac:dyDescent="0.3">
      <c r="B628" s="4"/>
      <c r="C628" s="5"/>
      <c r="D628" s="6"/>
      <c r="E628" s="7"/>
      <c r="G628" s="7"/>
      <c r="I628" s="7"/>
      <c r="K628" s="7"/>
      <c r="M628" s="7"/>
    </row>
    <row r="629" spans="2:13" ht="14.25" customHeight="1" x14ac:dyDescent="0.3">
      <c r="B629" s="4"/>
      <c r="C629" s="5"/>
      <c r="D629" s="6"/>
      <c r="E629" s="7"/>
      <c r="G629" s="7"/>
      <c r="I629" s="7"/>
      <c r="K629" s="7"/>
      <c r="M629" s="7"/>
    </row>
    <row r="630" spans="2:13" ht="14.25" customHeight="1" x14ac:dyDescent="0.3">
      <c r="B630" s="4"/>
      <c r="C630" s="5"/>
      <c r="D630" s="6"/>
      <c r="E630" s="7"/>
      <c r="G630" s="7"/>
      <c r="I630" s="7"/>
      <c r="K630" s="7"/>
      <c r="M630" s="7"/>
    </row>
    <row r="631" spans="2:13" ht="14.25" customHeight="1" x14ac:dyDescent="0.3">
      <c r="B631" s="4"/>
      <c r="C631" s="5"/>
      <c r="D631" s="6"/>
      <c r="E631" s="7"/>
      <c r="G631" s="7"/>
      <c r="I631" s="7"/>
      <c r="K631" s="7"/>
      <c r="M631" s="7"/>
    </row>
    <row r="632" spans="2:13" ht="14.25" customHeight="1" x14ac:dyDescent="0.3">
      <c r="B632" s="4"/>
      <c r="C632" s="5"/>
      <c r="D632" s="6"/>
      <c r="E632" s="7"/>
      <c r="G632" s="7"/>
      <c r="I632" s="7"/>
      <c r="K632" s="7"/>
      <c r="M632" s="7"/>
    </row>
    <row r="633" spans="2:13" ht="14.25" customHeight="1" x14ac:dyDescent="0.3">
      <c r="B633" s="4"/>
      <c r="C633" s="5"/>
      <c r="D633" s="6"/>
      <c r="E633" s="7"/>
      <c r="G633" s="7"/>
      <c r="I633" s="7"/>
      <c r="K633" s="7"/>
      <c r="M633" s="7"/>
    </row>
    <row r="634" spans="2:13" ht="14.25" customHeight="1" x14ac:dyDescent="0.3">
      <c r="B634" s="4"/>
      <c r="C634" s="5"/>
      <c r="D634" s="6"/>
      <c r="E634" s="7"/>
      <c r="G634" s="7"/>
      <c r="I634" s="7"/>
      <c r="K634" s="7"/>
      <c r="M634" s="7"/>
    </row>
    <row r="635" spans="2:13" ht="14.25" customHeight="1" x14ac:dyDescent="0.3">
      <c r="B635" s="4"/>
      <c r="C635" s="5"/>
      <c r="D635" s="6"/>
      <c r="E635" s="7"/>
      <c r="G635" s="7"/>
      <c r="I635" s="7"/>
      <c r="K635" s="7"/>
      <c r="M635" s="7"/>
    </row>
    <row r="636" spans="2:13" ht="14.25" customHeight="1" x14ac:dyDescent="0.3">
      <c r="B636" s="4"/>
      <c r="C636" s="5"/>
      <c r="D636" s="6"/>
      <c r="E636" s="7"/>
      <c r="G636" s="7"/>
      <c r="I636" s="7"/>
      <c r="K636" s="7"/>
      <c r="M636" s="7"/>
    </row>
    <row r="637" spans="2:13" ht="14.25" customHeight="1" x14ac:dyDescent="0.3">
      <c r="B637" s="4"/>
      <c r="C637" s="5"/>
      <c r="D637" s="6"/>
      <c r="E637" s="7"/>
      <c r="G637" s="7"/>
      <c r="I637" s="7"/>
      <c r="K637" s="7"/>
      <c r="M637" s="7"/>
    </row>
    <row r="638" spans="2:13" ht="14.25" customHeight="1" x14ac:dyDescent="0.3">
      <c r="B638" s="4"/>
      <c r="C638" s="5"/>
      <c r="D638" s="6"/>
      <c r="E638" s="7"/>
      <c r="G638" s="7"/>
      <c r="I638" s="7"/>
      <c r="K638" s="7"/>
      <c r="M638" s="7"/>
    </row>
    <row r="639" spans="2:13" ht="14.25" customHeight="1" x14ac:dyDescent="0.3">
      <c r="B639" s="4"/>
      <c r="C639" s="5"/>
      <c r="D639" s="6"/>
      <c r="E639" s="7"/>
      <c r="G639" s="7"/>
      <c r="I639" s="7"/>
      <c r="K639" s="7"/>
      <c r="M639" s="7"/>
    </row>
    <row r="640" spans="2:13" ht="14.25" customHeight="1" x14ac:dyDescent="0.3">
      <c r="B640" s="4"/>
      <c r="C640" s="5"/>
      <c r="D640" s="6"/>
      <c r="E640" s="7"/>
      <c r="G640" s="7"/>
      <c r="I640" s="7"/>
      <c r="K640" s="7"/>
      <c r="M640" s="7"/>
    </row>
    <row r="641" spans="2:13" ht="14.25" customHeight="1" x14ac:dyDescent="0.3">
      <c r="B641" s="4"/>
      <c r="C641" s="5"/>
      <c r="D641" s="6"/>
      <c r="E641" s="7"/>
      <c r="G641" s="7"/>
      <c r="I641" s="7"/>
      <c r="K641" s="7"/>
      <c r="M641" s="7"/>
    </row>
    <row r="642" spans="2:13" ht="14.25" customHeight="1" x14ac:dyDescent="0.3">
      <c r="B642" s="4"/>
      <c r="C642" s="5"/>
      <c r="D642" s="6"/>
      <c r="E642" s="7"/>
      <c r="G642" s="7"/>
      <c r="I642" s="7"/>
      <c r="K642" s="7"/>
      <c r="M642" s="7"/>
    </row>
    <row r="643" spans="2:13" ht="14.25" customHeight="1" x14ac:dyDescent="0.3">
      <c r="B643" s="4"/>
      <c r="C643" s="5"/>
      <c r="D643" s="6"/>
      <c r="E643" s="7"/>
      <c r="G643" s="7"/>
      <c r="I643" s="7"/>
      <c r="K643" s="7"/>
      <c r="M643" s="7"/>
    </row>
    <row r="644" spans="2:13" ht="14.25" customHeight="1" x14ac:dyDescent="0.3">
      <c r="B644" s="4"/>
      <c r="C644" s="5"/>
      <c r="D644" s="6"/>
      <c r="E644" s="7"/>
      <c r="G644" s="7"/>
      <c r="I644" s="7"/>
      <c r="K644" s="7"/>
      <c r="M644" s="7"/>
    </row>
    <row r="645" spans="2:13" ht="14.25" customHeight="1" x14ac:dyDescent="0.3">
      <c r="B645" s="4"/>
      <c r="C645" s="5"/>
      <c r="D645" s="6"/>
      <c r="E645" s="7"/>
      <c r="G645" s="7"/>
      <c r="I645" s="7"/>
      <c r="K645" s="7"/>
      <c r="M645" s="7"/>
    </row>
    <row r="646" spans="2:13" ht="14.25" customHeight="1" x14ac:dyDescent="0.3">
      <c r="B646" s="4"/>
      <c r="C646" s="5"/>
      <c r="D646" s="6"/>
      <c r="E646" s="7"/>
      <c r="G646" s="7"/>
      <c r="I646" s="7"/>
      <c r="K646" s="7"/>
      <c r="M646" s="7"/>
    </row>
    <row r="647" spans="2:13" ht="14.25" customHeight="1" x14ac:dyDescent="0.3">
      <c r="B647" s="4"/>
      <c r="C647" s="5"/>
      <c r="D647" s="6"/>
      <c r="E647" s="7"/>
      <c r="G647" s="7"/>
      <c r="I647" s="7"/>
      <c r="K647" s="7"/>
      <c r="M647" s="7"/>
    </row>
    <row r="648" spans="2:13" ht="14.25" customHeight="1" x14ac:dyDescent="0.3">
      <c r="B648" s="4"/>
      <c r="C648" s="5"/>
      <c r="D648" s="6"/>
      <c r="E648" s="7"/>
      <c r="G648" s="7"/>
      <c r="I648" s="7"/>
      <c r="K648" s="7"/>
      <c r="M648" s="7"/>
    </row>
    <row r="649" spans="2:13" ht="14.25" customHeight="1" x14ac:dyDescent="0.3">
      <c r="B649" s="4"/>
      <c r="C649" s="5"/>
      <c r="D649" s="6"/>
      <c r="E649" s="7"/>
      <c r="G649" s="7"/>
      <c r="I649" s="7"/>
      <c r="K649" s="7"/>
      <c r="M649" s="7"/>
    </row>
    <row r="650" spans="2:13" ht="14.25" customHeight="1" x14ac:dyDescent="0.3">
      <c r="B650" s="4"/>
      <c r="C650" s="5"/>
      <c r="D650" s="6"/>
      <c r="E650" s="7"/>
      <c r="G650" s="7"/>
      <c r="I650" s="7"/>
      <c r="K650" s="7"/>
      <c r="M650" s="7"/>
    </row>
    <row r="651" spans="2:13" ht="14.25" customHeight="1" x14ac:dyDescent="0.3">
      <c r="B651" s="4"/>
      <c r="C651" s="5"/>
      <c r="D651" s="6"/>
      <c r="E651" s="7"/>
      <c r="G651" s="7"/>
      <c r="I651" s="7"/>
      <c r="K651" s="7"/>
      <c r="M651" s="7"/>
    </row>
    <row r="652" spans="2:13" ht="14.25" customHeight="1" x14ac:dyDescent="0.3">
      <c r="B652" s="4"/>
      <c r="C652" s="5"/>
      <c r="D652" s="6"/>
      <c r="E652" s="7"/>
      <c r="G652" s="7"/>
      <c r="I652" s="7"/>
      <c r="K652" s="7"/>
      <c r="M652" s="7"/>
    </row>
    <row r="653" spans="2:13" ht="14.25" customHeight="1" x14ac:dyDescent="0.3">
      <c r="B653" s="4"/>
      <c r="C653" s="5"/>
      <c r="D653" s="6"/>
      <c r="E653" s="7"/>
      <c r="G653" s="7"/>
      <c r="I653" s="7"/>
      <c r="K653" s="7"/>
      <c r="M653" s="7"/>
    </row>
    <row r="654" spans="2:13" ht="14.25" customHeight="1" x14ac:dyDescent="0.3">
      <c r="B654" s="4"/>
      <c r="C654" s="5"/>
      <c r="D654" s="6"/>
      <c r="E654" s="7"/>
      <c r="G654" s="7"/>
      <c r="I654" s="7"/>
      <c r="K654" s="7"/>
      <c r="M654" s="7"/>
    </row>
    <row r="655" spans="2:13" ht="14.25" customHeight="1" x14ac:dyDescent="0.3">
      <c r="B655" s="4"/>
      <c r="C655" s="5"/>
      <c r="D655" s="6"/>
      <c r="E655" s="7"/>
      <c r="G655" s="7"/>
      <c r="I655" s="7"/>
      <c r="K655" s="7"/>
      <c r="M655" s="7"/>
    </row>
    <row r="656" spans="2:13" ht="14.25" customHeight="1" x14ac:dyDescent="0.3">
      <c r="B656" s="4"/>
      <c r="C656" s="5"/>
      <c r="D656" s="6"/>
      <c r="E656" s="7"/>
      <c r="G656" s="7"/>
      <c r="I656" s="7"/>
      <c r="K656" s="7"/>
      <c r="M656" s="7"/>
    </row>
    <row r="657" spans="2:13" ht="14.25" customHeight="1" x14ac:dyDescent="0.3">
      <c r="B657" s="4"/>
      <c r="C657" s="5"/>
      <c r="D657" s="6"/>
      <c r="E657" s="7"/>
      <c r="G657" s="7"/>
      <c r="I657" s="7"/>
      <c r="K657" s="7"/>
      <c r="M657" s="7"/>
    </row>
    <row r="658" spans="2:13" ht="14.25" customHeight="1" x14ac:dyDescent="0.3">
      <c r="B658" s="4"/>
      <c r="C658" s="5"/>
      <c r="D658" s="6"/>
      <c r="E658" s="7"/>
      <c r="G658" s="7"/>
      <c r="I658" s="7"/>
      <c r="K658" s="7"/>
      <c r="M658" s="7"/>
    </row>
    <row r="659" spans="2:13" ht="14.25" customHeight="1" x14ac:dyDescent="0.3">
      <c r="B659" s="4"/>
      <c r="C659" s="5"/>
      <c r="D659" s="6"/>
      <c r="E659" s="7"/>
      <c r="G659" s="7"/>
      <c r="I659" s="7"/>
      <c r="K659" s="7"/>
      <c r="M659" s="7"/>
    </row>
    <row r="660" spans="2:13" ht="14.25" customHeight="1" x14ac:dyDescent="0.3">
      <c r="B660" s="4"/>
      <c r="C660" s="5"/>
      <c r="D660" s="6"/>
      <c r="E660" s="7"/>
      <c r="G660" s="7"/>
      <c r="I660" s="7"/>
      <c r="K660" s="7"/>
      <c r="M660" s="7"/>
    </row>
    <row r="661" spans="2:13" ht="14.25" customHeight="1" x14ac:dyDescent="0.3">
      <c r="B661" s="4"/>
      <c r="C661" s="5"/>
      <c r="D661" s="6"/>
      <c r="E661" s="7"/>
      <c r="G661" s="7"/>
      <c r="I661" s="7"/>
      <c r="K661" s="7"/>
      <c r="M661" s="7"/>
    </row>
    <row r="662" spans="2:13" ht="14.25" customHeight="1" x14ac:dyDescent="0.3">
      <c r="B662" s="4"/>
      <c r="C662" s="5"/>
      <c r="D662" s="6"/>
      <c r="E662" s="7"/>
      <c r="G662" s="7"/>
      <c r="I662" s="7"/>
      <c r="K662" s="7"/>
      <c r="M662" s="7"/>
    </row>
    <row r="663" spans="2:13" ht="14.25" customHeight="1" x14ac:dyDescent="0.3">
      <c r="B663" s="4"/>
      <c r="C663" s="5"/>
      <c r="D663" s="6"/>
      <c r="E663" s="7"/>
      <c r="G663" s="7"/>
      <c r="I663" s="7"/>
      <c r="K663" s="7"/>
      <c r="M663" s="7"/>
    </row>
    <row r="664" spans="2:13" ht="14.25" customHeight="1" x14ac:dyDescent="0.3">
      <c r="B664" s="4"/>
      <c r="C664" s="5"/>
      <c r="D664" s="6"/>
      <c r="E664" s="7"/>
      <c r="G664" s="7"/>
      <c r="I664" s="7"/>
      <c r="K664" s="7"/>
      <c r="M664" s="7"/>
    </row>
    <row r="665" spans="2:13" ht="14.25" customHeight="1" x14ac:dyDescent="0.3">
      <c r="B665" s="4"/>
      <c r="C665" s="5"/>
      <c r="D665" s="6"/>
      <c r="E665" s="7"/>
      <c r="G665" s="7"/>
      <c r="I665" s="7"/>
      <c r="K665" s="7"/>
      <c r="M665" s="7"/>
    </row>
    <row r="666" spans="2:13" ht="14.25" customHeight="1" x14ac:dyDescent="0.3">
      <c r="B666" s="4"/>
      <c r="C666" s="5"/>
      <c r="D666" s="6"/>
      <c r="E666" s="7"/>
      <c r="G666" s="7"/>
      <c r="I666" s="7"/>
      <c r="K666" s="7"/>
      <c r="M666" s="7"/>
    </row>
    <row r="667" spans="2:13" ht="14.25" customHeight="1" x14ac:dyDescent="0.3">
      <c r="B667" s="4"/>
      <c r="C667" s="5"/>
      <c r="D667" s="6"/>
      <c r="E667" s="7"/>
      <c r="G667" s="7"/>
      <c r="I667" s="7"/>
      <c r="K667" s="7"/>
      <c r="M667" s="7"/>
    </row>
    <row r="668" spans="2:13" ht="14.25" customHeight="1" x14ac:dyDescent="0.3">
      <c r="B668" s="4"/>
      <c r="C668" s="5"/>
      <c r="D668" s="6"/>
      <c r="E668" s="7"/>
      <c r="G668" s="7"/>
      <c r="I668" s="7"/>
      <c r="K668" s="7"/>
      <c r="M668" s="7"/>
    </row>
    <row r="669" spans="2:13" ht="14.25" customHeight="1" x14ac:dyDescent="0.3">
      <c r="B669" s="4"/>
      <c r="C669" s="5"/>
      <c r="D669" s="6"/>
      <c r="E669" s="7"/>
      <c r="G669" s="7"/>
      <c r="I669" s="7"/>
      <c r="K669" s="7"/>
      <c r="M669" s="7"/>
    </row>
    <row r="670" spans="2:13" ht="14.25" customHeight="1" x14ac:dyDescent="0.3">
      <c r="B670" s="4"/>
      <c r="C670" s="5"/>
      <c r="D670" s="6"/>
      <c r="E670" s="7"/>
      <c r="G670" s="7"/>
      <c r="I670" s="7"/>
      <c r="K670" s="7"/>
      <c r="M670" s="7"/>
    </row>
    <row r="671" spans="2:13" ht="14.25" customHeight="1" x14ac:dyDescent="0.3">
      <c r="B671" s="4"/>
      <c r="C671" s="5"/>
      <c r="D671" s="6"/>
      <c r="E671" s="7"/>
      <c r="G671" s="7"/>
      <c r="I671" s="7"/>
      <c r="K671" s="7"/>
      <c r="M671" s="7"/>
    </row>
    <row r="672" spans="2:13" ht="14.25" customHeight="1" x14ac:dyDescent="0.3">
      <c r="B672" s="4"/>
      <c r="C672" s="5"/>
      <c r="D672" s="6"/>
      <c r="E672" s="7"/>
      <c r="G672" s="7"/>
      <c r="I672" s="7"/>
      <c r="K672" s="7"/>
      <c r="M672" s="7"/>
    </row>
    <row r="673" spans="2:13" ht="14.25" customHeight="1" x14ac:dyDescent="0.3">
      <c r="B673" s="4"/>
      <c r="C673" s="5"/>
      <c r="D673" s="6"/>
      <c r="E673" s="7"/>
      <c r="G673" s="7"/>
      <c r="I673" s="7"/>
      <c r="K673" s="7"/>
      <c r="M673" s="7"/>
    </row>
    <row r="674" spans="2:13" ht="14.25" customHeight="1" x14ac:dyDescent="0.3">
      <c r="B674" s="4"/>
      <c r="C674" s="5"/>
      <c r="D674" s="6"/>
      <c r="E674" s="7"/>
      <c r="G674" s="7"/>
      <c r="I674" s="7"/>
      <c r="K674" s="7"/>
      <c r="M674" s="7"/>
    </row>
    <row r="675" spans="2:13" ht="14.25" customHeight="1" x14ac:dyDescent="0.3">
      <c r="B675" s="4"/>
      <c r="C675" s="5"/>
      <c r="D675" s="6"/>
      <c r="E675" s="7"/>
      <c r="G675" s="7"/>
      <c r="I675" s="7"/>
      <c r="K675" s="7"/>
      <c r="M675" s="7"/>
    </row>
    <row r="676" spans="2:13" ht="14.25" customHeight="1" x14ac:dyDescent="0.3">
      <c r="B676" s="4"/>
      <c r="C676" s="5"/>
      <c r="D676" s="6"/>
      <c r="E676" s="7"/>
      <c r="G676" s="7"/>
      <c r="I676" s="7"/>
      <c r="K676" s="7"/>
      <c r="M676" s="7"/>
    </row>
    <row r="677" spans="2:13" ht="14.25" customHeight="1" x14ac:dyDescent="0.3">
      <c r="B677" s="4"/>
      <c r="C677" s="5"/>
      <c r="D677" s="6"/>
      <c r="E677" s="7"/>
      <c r="G677" s="7"/>
      <c r="I677" s="7"/>
      <c r="K677" s="7"/>
      <c r="M677" s="7"/>
    </row>
    <row r="678" spans="2:13" ht="14.25" customHeight="1" x14ac:dyDescent="0.3">
      <c r="B678" s="4"/>
      <c r="C678" s="5"/>
      <c r="D678" s="6"/>
      <c r="E678" s="7"/>
      <c r="G678" s="7"/>
      <c r="I678" s="7"/>
      <c r="K678" s="7"/>
      <c r="M678" s="7"/>
    </row>
    <row r="679" spans="2:13" ht="14.25" customHeight="1" x14ac:dyDescent="0.3">
      <c r="B679" s="4"/>
      <c r="C679" s="5"/>
      <c r="D679" s="6"/>
      <c r="E679" s="7"/>
      <c r="G679" s="7"/>
      <c r="I679" s="7"/>
      <c r="K679" s="7"/>
      <c r="M679" s="7"/>
    </row>
    <row r="680" spans="2:13" ht="14.25" customHeight="1" x14ac:dyDescent="0.3">
      <c r="B680" s="4"/>
      <c r="C680" s="5"/>
      <c r="D680" s="6"/>
      <c r="E680" s="7"/>
      <c r="G680" s="7"/>
      <c r="I680" s="7"/>
      <c r="K680" s="7"/>
      <c r="M680" s="7"/>
    </row>
    <row r="681" spans="2:13" ht="14.25" customHeight="1" x14ac:dyDescent="0.3">
      <c r="B681" s="4"/>
      <c r="C681" s="5"/>
      <c r="D681" s="6"/>
      <c r="E681" s="7"/>
      <c r="G681" s="7"/>
      <c r="I681" s="7"/>
      <c r="K681" s="7"/>
      <c r="M681" s="7"/>
    </row>
    <row r="682" spans="2:13" ht="14.25" customHeight="1" x14ac:dyDescent="0.3">
      <c r="B682" s="4"/>
      <c r="C682" s="5"/>
      <c r="D682" s="6"/>
      <c r="E682" s="7"/>
      <c r="G682" s="7"/>
      <c r="I682" s="7"/>
      <c r="K682" s="7"/>
      <c r="M682" s="7"/>
    </row>
    <row r="683" spans="2:13" ht="14.25" customHeight="1" x14ac:dyDescent="0.3">
      <c r="B683" s="4"/>
      <c r="C683" s="5"/>
      <c r="D683" s="6"/>
      <c r="E683" s="7"/>
      <c r="G683" s="7"/>
      <c r="I683" s="7"/>
      <c r="K683" s="7"/>
      <c r="M683" s="7"/>
    </row>
    <row r="684" spans="2:13" ht="14.25" customHeight="1" x14ac:dyDescent="0.3">
      <c r="B684" s="4"/>
      <c r="C684" s="5"/>
      <c r="D684" s="6"/>
      <c r="E684" s="7"/>
      <c r="G684" s="7"/>
      <c r="I684" s="7"/>
      <c r="K684" s="7"/>
      <c r="M684" s="7"/>
    </row>
    <row r="685" spans="2:13" ht="14.25" customHeight="1" x14ac:dyDescent="0.3">
      <c r="B685" s="4"/>
      <c r="C685" s="5"/>
      <c r="D685" s="6"/>
      <c r="E685" s="7"/>
      <c r="G685" s="7"/>
      <c r="I685" s="7"/>
      <c r="K685" s="7"/>
      <c r="M685" s="7"/>
    </row>
    <row r="686" spans="2:13" ht="14.25" customHeight="1" x14ac:dyDescent="0.3">
      <c r="B686" s="4"/>
      <c r="C686" s="5"/>
      <c r="D686" s="6"/>
      <c r="E686" s="7"/>
      <c r="G686" s="7"/>
      <c r="I686" s="7"/>
      <c r="K686" s="7"/>
      <c r="M686" s="7"/>
    </row>
    <row r="687" spans="2:13" ht="14.25" customHeight="1" x14ac:dyDescent="0.3">
      <c r="B687" s="4"/>
      <c r="C687" s="5"/>
      <c r="D687" s="6"/>
      <c r="E687" s="7"/>
      <c r="G687" s="7"/>
      <c r="I687" s="7"/>
      <c r="K687" s="7"/>
      <c r="M687" s="7"/>
    </row>
    <row r="688" spans="2:13" ht="14.25" customHeight="1" x14ac:dyDescent="0.3">
      <c r="B688" s="4"/>
      <c r="C688" s="5"/>
      <c r="D688" s="6"/>
      <c r="E688" s="7"/>
      <c r="G688" s="7"/>
      <c r="I688" s="7"/>
      <c r="K688" s="7"/>
      <c r="M688" s="7"/>
    </row>
    <row r="689" spans="2:13" ht="14.25" customHeight="1" x14ac:dyDescent="0.3">
      <c r="B689" s="4"/>
      <c r="C689" s="5"/>
      <c r="D689" s="6"/>
      <c r="E689" s="7"/>
      <c r="G689" s="7"/>
      <c r="I689" s="7"/>
      <c r="K689" s="7"/>
      <c r="M689" s="7"/>
    </row>
    <row r="690" spans="2:13" ht="14.25" customHeight="1" x14ac:dyDescent="0.3">
      <c r="B690" s="4"/>
      <c r="C690" s="5"/>
      <c r="D690" s="6"/>
      <c r="E690" s="7"/>
      <c r="G690" s="7"/>
      <c r="I690" s="7"/>
      <c r="K690" s="7"/>
      <c r="M690" s="7"/>
    </row>
    <row r="691" spans="2:13" ht="14.25" customHeight="1" x14ac:dyDescent="0.3">
      <c r="B691" s="4"/>
      <c r="C691" s="5"/>
      <c r="D691" s="6"/>
      <c r="E691" s="7"/>
      <c r="G691" s="7"/>
      <c r="I691" s="7"/>
      <c r="K691" s="7"/>
      <c r="M691" s="7"/>
    </row>
    <row r="692" spans="2:13" ht="14.25" customHeight="1" x14ac:dyDescent="0.3">
      <c r="B692" s="4"/>
      <c r="C692" s="5"/>
      <c r="D692" s="6"/>
      <c r="E692" s="7"/>
      <c r="G692" s="7"/>
      <c r="I692" s="7"/>
      <c r="K692" s="7"/>
      <c r="M692" s="7"/>
    </row>
    <row r="693" spans="2:13" ht="14.25" customHeight="1" x14ac:dyDescent="0.3">
      <c r="B693" s="4"/>
      <c r="C693" s="5"/>
      <c r="D693" s="6"/>
      <c r="E693" s="7"/>
      <c r="G693" s="7"/>
      <c r="I693" s="7"/>
      <c r="K693" s="7"/>
      <c r="M693" s="7"/>
    </row>
    <row r="694" spans="2:13" ht="14.25" customHeight="1" x14ac:dyDescent="0.3">
      <c r="B694" s="4"/>
      <c r="C694" s="5"/>
      <c r="D694" s="6"/>
      <c r="E694" s="7"/>
      <c r="G694" s="7"/>
      <c r="I694" s="7"/>
      <c r="K694" s="7"/>
      <c r="M694" s="7"/>
    </row>
    <row r="695" spans="2:13" ht="14.25" customHeight="1" x14ac:dyDescent="0.3">
      <c r="B695" s="4"/>
      <c r="C695" s="5"/>
      <c r="D695" s="6"/>
      <c r="E695" s="7"/>
      <c r="G695" s="7"/>
      <c r="I695" s="7"/>
      <c r="K695" s="7"/>
      <c r="M695" s="7"/>
    </row>
    <row r="696" spans="2:13" ht="14.25" customHeight="1" x14ac:dyDescent="0.3">
      <c r="B696" s="4"/>
      <c r="C696" s="5"/>
      <c r="D696" s="6"/>
      <c r="E696" s="7"/>
      <c r="G696" s="7"/>
      <c r="I696" s="7"/>
      <c r="K696" s="7"/>
      <c r="M696" s="7"/>
    </row>
    <row r="697" spans="2:13" ht="14.25" customHeight="1" x14ac:dyDescent="0.3">
      <c r="B697" s="4"/>
      <c r="C697" s="5"/>
      <c r="D697" s="6"/>
      <c r="E697" s="7"/>
      <c r="G697" s="7"/>
      <c r="I697" s="7"/>
      <c r="K697" s="7"/>
      <c r="M697" s="7"/>
    </row>
    <row r="698" spans="2:13" ht="14.25" customHeight="1" x14ac:dyDescent="0.3">
      <c r="B698" s="4"/>
      <c r="C698" s="5"/>
      <c r="D698" s="6"/>
      <c r="E698" s="7"/>
      <c r="G698" s="7"/>
      <c r="I698" s="7"/>
      <c r="K698" s="7"/>
      <c r="M698" s="7"/>
    </row>
    <row r="699" spans="2:13" ht="14.25" customHeight="1" x14ac:dyDescent="0.3">
      <c r="B699" s="4"/>
      <c r="C699" s="5"/>
      <c r="D699" s="6"/>
      <c r="E699" s="7"/>
      <c r="G699" s="7"/>
      <c r="I699" s="7"/>
      <c r="K699" s="7"/>
      <c r="M699" s="7"/>
    </row>
    <row r="700" spans="2:13" ht="14.25" customHeight="1" x14ac:dyDescent="0.3">
      <c r="B700" s="4"/>
      <c r="C700" s="5"/>
      <c r="D700" s="6"/>
      <c r="E700" s="7"/>
      <c r="G700" s="7"/>
      <c r="I700" s="7"/>
      <c r="K700" s="7"/>
      <c r="M700" s="7"/>
    </row>
    <row r="701" spans="2:13" ht="14.25" customHeight="1" x14ac:dyDescent="0.3">
      <c r="B701" s="4"/>
      <c r="C701" s="5"/>
      <c r="D701" s="6"/>
      <c r="E701" s="7"/>
      <c r="G701" s="7"/>
      <c r="I701" s="7"/>
      <c r="K701" s="7"/>
      <c r="M701" s="7"/>
    </row>
    <row r="702" spans="2:13" ht="14.25" customHeight="1" x14ac:dyDescent="0.3">
      <c r="B702" s="4"/>
      <c r="C702" s="5"/>
      <c r="D702" s="6"/>
      <c r="E702" s="7"/>
      <c r="G702" s="7"/>
      <c r="I702" s="7"/>
      <c r="K702" s="7"/>
      <c r="M702" s="7"/>
    </row>
    <row r="703" spans="2:13" ht="14.25" customHeight="1" x14ac:dyDescent="0.3">
      <c r="B703" s="4"/>
      <c r="C703" s="5"/>
      <c r="D703" s="6"/>
      <c r="E703" s="7"/>
      <c r="G703" s="7"/>
      <c r="I703" s="7"/>
      <c r="K703" s="7"/>
      <c r="M703" s="7"/>
    </row>
    <row r="704" spans="2:13" ht="14.25" customHeight="1" x14ac:dyDescent="0.3">
      <c r="B704" s="4"/>
      <c r="C704" s="5"/>
      <c r="D704" s="6"/>
      <c r="E704" s="7"/>
      <c r="G704" s="7"/>
      <c r="I704" s="7"/>
      <c r="K704" s="7"/>
      <c r="M704" s="7"/>
    </row>
    <row r="705" spans="2:13" ht="14.25" customHeight="1" x14ac:dyDescent="0.3">
      <c r="B705" s="4"/>
      <c r="C705" s="5"/>
      <c r="D705" s="6"/>
      <c r="E705" s="7"/>
      <c r="G705" s="7"/>
      <c r="I705" s="7"/>
      <c r="K705" s="7"/>
      <c r="M705" s="7"/>
    </row>
    <row r="706" spans="2:13" ht="14.25" customHeight="1" x14ac:dyDescent="0.3">
      <c r="B706" s="4"/>
      <c r="C706" s="5"/>
      <c r="D706" s="6"/>
      <c r="E706" s="7"/>
      <c r="G706" s="7"/>
      <c r="I706" s="7"/>
      <c r="K706" s="7"/>
      <c r="M706" s="7"/>
    </row>
    <row r="707" spans="2:13" ht="14.25" customHeight="1" x14ac:dyDescent="0.3">
      <c r="B707" s="4"/>
      <c r="C707" s="5"/>
      <c r="D707" s="6"/>
      <c r="E707" s="7"/>
      <c r="G707" s="7"/>
      <c r="I707" s="7"/>
      <c r="K707" s="7"/>
      <c r="M707" s="7"/>
    </row>
    <row r="708" spans="2:13" ht="14.25" customHeight="1" x14ac:dyDescent="0.3">
      <c r="B708" s="4"/>
      <c r="C708" s="5"/>
      <c r="D708" s="6"/>
      <c r="E708" s="7"/>
      <c r="G708" s="7"/>
      <c r="I708" s="7"/>
      <c r="K708" s="7"/>
      <c r="M708" s="7"/>
    </row>
    <row r="709" spans="2:13" ht="14.25" customHeight="1" x14ac:dyDescent="0.3">
      <c r="B709" s="4"/>
      <c r="C709" s="5"/>
      <c r="D709" s="6"/>
      <c r="E709" s="7"/>
      <c r="G709" s="7"/>
      <c r="I709" s="7"/>
      <c r="K709" s="7"/>
      <c r="M709" s="7"/>
    </row>
    <row r="710" spans="2:13" ht="14.25" customHeight="1" x14ac:dyDescent="0.3">
      <c r="B710" s="4"/>
      <c r="C710" s="5"/>
      <c r="D710" s="6"/>
      <c r="E710" s="7"/>
      <c r="G710" s="7"/>
      <c r="I710" s="7"/>
      <c r="K710" s="7"/>
      <c r="M710" s="7"/>
    </row>
    <row r="711" spans="2:13" ht="14.25" customHeight="1" x14ac:dyDescent="0.3">
      <c r="B711" s="4"/>
      <c r="C711" s="5"/>
      <c r="D711" s="6"/>
      <c r="E711" s="7"/>
      <c r="G711" s="7"/>
      <c r="I711" s="7"/>
      <c r="K711" s="7"/>
      <c r="M711" s="7"/>
    </row>
    <row r="712" spans="2:13" ht="14.25" customHeight="1" x14ac:dyDescent="0.3">
      <c r="B712" s="4"/>
      <c r="C712" s="5"/>
      <c r="D712" s="6"/>
      <c r="E712" s="7"/>
      <c r="G712" s="7"/>
      <c r="I712" s="7"/>
      <c r="K712" s="7"/>
      <c r="M712" s="7"/>
    </row>
    <row r="713" spans="2:13" ht="14.25" customHeight="1" x14ac:dyDescent="0.3">
      <c r="B713" s="4"/>
      <c r="C713" s="5"/>
      <c r="D713" s="6"/>
      <c r="E713" s="7"/>
      <c r="G713" s="7"/>
      <c r="I713" s="7"/>
      <c r="K713" s="7"/>
      <c r="M713" s="7"/>
    </row>
    <row r="714" spans="2:13" ht="14.25" customHeight="1" x14ac:dyDescent="0.3">
      <c r="B714" s="4"/>
      <c r="C714" s="5"/>
      <c r="D714" s="6"/>
      <c r="E714" s="7"/>
      <c r="G714" s="7"/>
      <c r="I714" s="7"/>
      <c r="K714" s="7"/>
      <c r="M714" s="7"/>
    </row>
    <row r="715" spans="2:13" ht="14.25" customHeight="1" x14ac:dyDescent="0.3">
      <c r="B715" s="4"/>
      <c r="C715" s="5"/>
      <c r="D715" s="6"/>
      <c r="E715" s="7"/>
      <c r="G715" s="7"/>
      <c r="I715" s="7"/>
      <c r="K715" s="7"/>
      <c r="M715" s="7"/>
    </row>
    <row r="716" spans="2:13" ht="14.25" customHeight="1" x14ac:dyDescent="0.3">
      <c r="B716" s="4"/>
      <c r="C716" s="5"/>
      <c r="D716" s="6"/>
      <c r="E716" s="7"/>
      <c r="G716" s="7"/>
      <c r="I716" s="7"/>
      <c r="K716" s="7"/>
      <c r="M716" s="7"/>
    </row>
    <row r="717" spans="2:13" ht="14.25" customHeight="1" x14ac:dyDescent="0.3">
      <c r="B717" s="4"/>
      <c r="C717" s="5"/>
      <c r="D717" s="6"/>
      <c r="E717" s="7"/>
      <c r="G717" s="7"/>
      <c r="I717" s="7"/>
      <c r="K717" s="7"/>
      <c r="M717" s="7"/>
    </row>
    <row r="718" spans="2:13" ht="14.25" customHeight="1" x14ac:dyDescent="0.3">
      <c r="B718" s="4"/>
      <c r="C718" s="5"/>
      <c r="D718" s="6"/>
      <c r="E718" s="7"/>
      <c r="G718" s="7"/>
      <c r="I718" s="7"/>
      <c r="K718" s="7"/>
      <c r="M718" s="7"/>
    </row>
    <row r="719" spans="2:13" ht="14.25" customHeight="1" x14ac:dyDescent="0.3">
      <c r="B719" s="4"/>
      <c r="C719" s="5"/>
      <c r="D719" s="6"/>
      <c r="E719" s="7"/>
      <c r="G719" s="7"/>
      <c r="I719" s="7"/>
      <c r="K719" s="7"/>
      <c r="M719" s="7"/>
    </row>
    <row r="720" spans="2:13" ht="14.25" customHeight="1" x14ac:dyDescent="0.3">
      <c r="B720" s="4"/>
      <c r="C720" s="5"/>
      <c r="D720" s="6"/>
      <c r="E720" s="7"/>
      <c r="G720" s="7"/>
      <c r="I720" s="7"/>
      <c r="K720" s="7"/>
      <c r="M720" s="7"/>
    </row>
    <row r="721" spans="2:13" ht="14.25" customHeight="1" x14ac:dyDescent="0.3">
      <c r="B721" s="4"/>
      <c r="C721" s="5"/>
      <c r="D721" s="6"/>
      <c r="E721" s="7"/>
      <c r="G721" s="7"/>
      <c r="I721" s="7"/>
      <c r="K721" s="7"/>
      <c r="M721" s="7"/>
    </row>
    <row r="722" spans="2:13" ht="14.25" customHeight="1" x14ac:dyDescent="0.3">
      <c r="B722" s="4"/>
      <c r="C722" s="5"/>
      <c r="D722" s="6"/>
      <c r="E722" s="7"/>
      <c r="G722" s="7"/>
      <c r="I722" s="7"/>
      <c r="K722" s="7"/>
      <c r="M722" s="7"/>
    </row>
    <row r="723" spans="2:13" ht="14.25" customHeight="1" x14ac:dyDescent="0.3">
      <c r="B723" s="4"/>
      <c r="C723" s="5"/>
      <c r="D723" s="6"/>
      <c r="E723" s="7"/>
      <c r="G723" s="7"/>
      <c r="I723" s="7"/>
      <c r="K723" s="7"/>
      <c r="M723" s="7"/>
    </row>
    <row r="724" spans="2:13" ht="14.25" customHeight="1" x14ac:dyDescent="0.3">
      <c r="B724" s="4"/>
      <c r="C724" s="5"/>
      <c r="D724" s="6"/>
      <c r="E724" s="7"/>
      <c r="G724" s="7"/>
      <c r="I724" s="7"/>
      <c r="K724" s="7"/>
      <c r="M724" s="7"/>
    </row>
    <row r="725" spans="2:13" ht="14.25" customHeight="1" x14ac:dyDescent="0.3">
      <c r="B725" s="4"/>
      <c r="C725" s="5"/>
      <c r="D725" s="6"/>
      <c r="E725" s="7"/>
      <c r="G725" s="7"/>
      <c r="I725" s="7"/>
      <c r="K725" s="7"/>
      <c r="M725" s="7"/>
    </row>
    <row r="726" spans="2:13" ht="14.25" customHeight="1" x14ac:dyDescent="0.3">
      <c r="B726" s="4"/>
      <c r="C726" s="5"/>
      <c r="D726" s="6"/>
      <c r="E726" s="7"/>
      <c r="G726" s="7"/>
      <c r="I726" s="7"/>
      <c r="K726" s="7"/>
      <c r="M726" s="7"/>
    </row>
    <row r="727" spans="2:13" ht="14.25" customHeight="1" x14ac:dyDescent="0.3">
      <c r="B727" s="4"/>
      <c r="C727" s="5"/>
      <c r="D727" s="6"/>
      <c r="E727" s="7"/>
      <c r="G727" s="7"/>
      <c r="I727" s="7"/>
      <c r="K727" s="7"/>
      <c r="M727" s="7"/>
    </row>
    <row r="728" spans="2:13" ht="14.25" customHeight="1" x14ac:dyDescent="0.3">
      <c r="B728" s="4"/>
      <c r="C728" s="5"/>
      <c r="D728" s="6"/>
      <c r="E728" s="7"/>
      <c r="G728" s="7"/>
      <c r="I728" s="7"/>
      <c r="K728" s="7"/>
      <c r="M728" s="7"/>
    </row>
    <row r="729" spans="2:13" ht="14.25" customHeight="1" x14ac:dyDescent="0.3">
      <c r="B729" s="4"/>
      <c r="C729" s="5"/>
      <c r="D729" s="6"/>
      <c r="E729" s="7"/>
      <c r="G729" s="7"/>
      <c r="I729" s="7"/>
      <c r="K729" s="7"/>
      <c r="M729" s="7"/>
    </row>
    <row r="730" spans="2:13" ht="14.25" customHeight="1" x14ac:dyDescent="0.3">
      <c r="B730" s="4"/>
      <c r="C730" s="5"/>
      <c r="D730" s="6"/>
      <c r="E730" s="7"/>
      <c r="G730" s="7"/>
      <c r="I730" s="7"/>
      <c r="K730" s="7"/>
      <c r="M730" s="7"/>
    </row>
    <row r="731" spans="2:13" ht="14.25" customHeight="1" x14ac:dyDescent="0.3">
      <c r="B731" s="4"/>
      <c r="C731" s="5"/>
      <c r="D731" s="6"/>
      <c r="E731" s="7"/>
      <c r="G731" s="7"/>
      <c r="I731" s="7"/>
      <c r="K731" s="7"/>
      <c r="M731" s="7"/>
    </row>
    <row r="732" spans="2:13" ht="14.25" customHeight="1" x14ac:dyDescent="0.3">
      <c r="B732" s="4"/>
      <c r="C732" s="5"/>
      <c r="D732" s="6"/>
      <c r="E732" s="7"/>
      <c r="G732" s="7"/>
      <c r="I732" s="7"/>
      <c r="K732" s="7"/>
      <c r="M732" s="7"/>
    </row>
    <row r="733" spans="2:13" ht="14.25" customHeight="1" x14ac:dyDescent="0.3">
      <c r="B733" s="4"/>
      <c r="C733" s="5"/>
      <c r="D733" s="6"/>
      <c r="E733" s="7"/>
      <c r="G733" s="7"/>
      <c r="I733" s="7"/>
      <c r="K733" s="7"/>
      <c r="M733" s="7"/>
    </row>
    <row r="734" spans="2:13" ht="14.25" customHeight="1" x14ac:dyDescent="0.3">
      <c r="B734" s="4"/>
      <c r="C734" s="5"/>
      <c r="D734" s="6"/>
      <c r="E734" s="7"/>
      <c r="G734" s="7"/>
      <c r="I734" s="7"/>
      <c r="K734" s="7"/>
      <c r="M734" s="7"/>
    </row>
    <row r="735" spans="2:13" ht="14.25" customHeight="1" x14ac:dyDescent="0.3">
      <c r="B735" s="4"/>
      <c r="C735" s="5"/>
      <c r="D735" s="6"/>
      <c r="E735" s="7"/>
      <c r="G735" s="7"/>
      <c r="I735" s="7"/>
      <c r="K735" s="7"/>
      <c r="M735" s="7"/>
    </row>
    <row r="736" spans="2:13" ht="14.25" customHeight="1" x14ac:dyDescent="0.3">
      <c r="B736" s="4"/>
      <c r="C736" s="5"/>
      <c r="D736" s="6"/>
      <c r="E736" s="7"/>
      <c r="G736" s="7"/>
      <c r="I736" s="7"/>
      <c r="K736" s="7"/>
      <c r="M736" s="7"/>
    </row>
    <row r="737" spans="2:13" ht="14.25" customHeight="1" x14ac:dyDescent="0.3">
      <c r="B737" s="4"/>
      <c r="C737" s="5"/>
      <c r="D737" s="6"/>
      <c r="E737" s="7"/>
      <c r="G737" s="7"/>
      <c r="I737" s="7"/>
      <c r="K737" s="7"/>
      <c r="M737" s="7"/>
    </row>
    <row r="738" spans="2:13" ht="14.25" customHeight="1" x14ac:dyDescent="0.3">
      <c r="B738" s="4"/>
      <c r="C738" s="5"/>
      <c r="D738" s="6"/>
      <c r="E738" s="7"/>
      <c r="G738" s="7"/>
      <c r="I738" s="7"/>
      <c r="K738" s="7"/>
      <c r="M738" s="7"/>
    </row>
    <row r="739" spans="2:13" ht="14.25" customHeight="1" x14ac:dyDescent="0.3">
      <c r="B739" s="4"/>
      <c r="C739" s="5"/>
      <c r="D739" s="6"/>
      <c r="E739" s="7"/>
      <c r="G739" s="7"/>
      <c r="I739" s="7"/>
      <c r="K739" s="7"/>
      <c r="M739" s="7"/>
    </row>
    <row r="740" spans="2:13" ht="14.25" customHeight="1" x14ac:dyDescent="0.3">
      <c r="B740" s="4"/>
      <c r="C740" s="5"/>
      <c r="D740" s="6"/>
      <c r="E740" s="7"/>
      <c r="G740" s="7"/>
      <c r="I740" s="7"/>
      <c r="K740" s="7"/>
      <c r="M740" s="7"/>
    </row>
    <row r="741" spans="2:13" ht="14.25" customHeight="1" x14ac:dyDescent="0.3">
      <c r="B741" s="4"/>
      <c r="C741" s="5"/>
      <c r="D741" s="6"/>
      <c r="E741" s="7"/>
      <c r="G741" s="7"/>
      <c r="I741" s="7"/>
      <c r="K741" s="7"/>
      <c r="M741" s="7"/>
    </row>
    <row r="742" spans="2:13" ht="14.25" customHeight="1" x14ac:dyDescent="0.3">
      <c r="B742" s="4"/>
      <c r="C742" s="5"/>
      <c r="D742" s="6"/>
      <c r="E742" s="7"/>
      <c r="G742" s="7"/>
      <c r="I742" s="7"/>
      <c r="K742" s="7"/>
      <c r="M742" s="7"/>
    </row>
    <row r="743" spans="2:13" ht="14.25" customHeight="1" x14ac:dyDescent="0.3">
      <c r="B743" s="4"/>
      <c r="C743" s="5"/>
      <c r="D743" s="6"/>
      <c r="E743" s="7"/>
      <c r="G743" s="7"/>
      <c r="I743" s="7"/>
      <c r="K743" s="7"/>
      <c r="M743" s="7"/>
    </row>
    <row r="744" spans="2:13" ht="14.25" customHeight="1" x14ac:dyDescent="0.3">
      <c r="B744" s="4"/>
      <c r="C744" s="5"/>
      <c r="D744" s="6"/>
      <c r="E744" s="7"/>
      <c r="G744" s="7"/>
      <c r="I744" s="7"/>
      <c r="K744" s="7"/>
      <c r="M744" s="7"/>
    </row>
    <row r="745" spans="2:13" ht="14.25" customHeight="1" x14ac:dyDescent="0.3">
      <c r="B745" s="4"/>
      <c r="C745" s="5"/>
      <c r="D745" s="6"/>
      <c r="E745" s="7"/>
      <c r="G745" s="7"/>
      <c r="I745" s="7"/>
      <c r="K745" s="7"/>
      <c r="M745" s="7"/>
    </row>
    <row r="746" spans="2:13" ht="14.25" customHeight="1" x14ac:dyDescent="0.3">
      <c r="B746" s="4"/>
      <c r="C746" s="5"/>
      <c r="D746" s="6"/>
      <c r="E746" s="7"/>
      <c r="G746" s="7"/>
      <c r="I746" s="7"/>
      <c r="K746" s="7"/>
      <c r="M746" s="7"/>
    </row>
    <row r="747" spans="2:13" ht="14.25" customHeight="1" x14ac:dyDescent="0.3">
      <c r="B747" s="4"/>
      <c r="C747" s="5"/>
      <c r="D747" s="6"/>
      <c r="E747" s="7"/>
      <c r="G747" s="7"/>
      <c r="I747" s="7"/>
      <c r="K747" s="7"/>
      <c r="M747" s="7"/>
    </row>
    <row r="748" spans="2:13" ht="14.25" customHeight="1" x14ac:dyDescent="0.3">
      <c r="B748" s="4"/>
      <c r="C748" s="5"/>
      <c r="D748" s="6"/>
      <c r="E748" s="7"/>
      <c r="G748" s="7"/>
      <c r="I748" s="7"/>
      <c r="K748" s="7"/>
      <c r="M748" s="7"/>
    </row>
    <row r="749" spans="2:13" ht="14.25" customHeight="1" x14ac:dyDescent="0.3">
      <c r="B749" s="4"/>
      <c r="C749" s="5"/>
      <c r="D749" s="6"/>
      <c r="E749" s="7"/>
      <c r="G749" s="7"/>
      <c r="I749" s="7"/>
      <c r="K749" s="7"/>
      <c r="M749" s="7"/>
    </row>
    <row r="750" spans="2:13" ht="14.25" customHeight="1" x14ac:dyDescent="0.3">
      <c r="B750" s="4"/>
      <c r="C750" s="5"/>
      <c r="D750" s="6"/>
      <c r="E750" s="7"/>
      <c r="G750" s="7"/>
      <c r="I750" s="7"/>
      <c r="K750" s="7"/>
      <c r="M750" s="7"/>
    </row>
    <row r="751" spans="2:13" ht="14.25" customHeight="1" x14ac:dyDescent="0.3">
      <c r="B751" s="4"/>
      <c r="C751" s="5"/>
      <c r="D751" s="6"/>
      <c r="E751" s="7"/>
      <c r="G751" s="7"/>
      <c r="I751" s="7"/>
      <c r="K751" s="7"/>
      <c r="M751" s="7"/>
    </row>
    <row r="752" spans="2:13" ht="14.25" customHeight="1" x14ac:dyDescent="0.3">
      <c r="B752" s="4"/>
      <c r="C752" s="5"/>
      <c r="D752" s="6"/>
      <c r="E752" s="7"/>
      <c r="G752" s="7"/>
      <c r="I752" s="7"/>
      <c r="K752" s="7"/>
      <c r="M752" s="7"/>
    </row>
    <row r="753" spans="2:13" ht="14.25" customHeight="1" x14ac:dyDescent="0.3">
      <c r="B753" s="4"/>
      <c r="C753" s="5"/>
      <c r="D753" s="6"/>
      <c r="E753" s="7"/>
      <c r="G753" s="7"/>
      <c r="I753" s="7"/>
      <c r="K753" s="7"/>
      <c r="M753" s="7"/>
    </row>
    <row r="754" spans="2:13" ht="14.25" customHeight="1" x14ac:dyDescent="0.3">
      <c r="B754" s="4"/>
      <c r="C754" s="5"/>
      <c r="D754" s="6"/>
      <c r="E754" s="7"/>
      <c r="G754" s="7"/>
      <c r="I754" s="7"/>
      <c r="K754" s="7"/>
      <c r="M754" s="7"/>
    </row>
    <row r="755" spans="2:13" ht="14.25" customHeight="1" x14ac:dyDescent="0.3">
      <c r="B755" s="4"/>
      <c r="C755" s="5"/>
      <c r="D755" s="6"/>
      <c r="E755" s="7"/>
      <c r="G755" s="7"/>
      <c r="I755" s="7"/>
      <c r="K755" s="7"/>
      <c r="M755" s="7"/>
    </row>
    <row r="756" spans="2:13" ht="14.25" customHeight="1" x14ac:dyDescent="0.3">
      <c r="B756" s="4"/>
      <c r="C756" s="5"/>
      <c r="D756" s="6"/>
      <c r="E756" s="7"/>
      <c r="G756" s="7"/>
      <c r="I756" s="7"/>
      <c r="K756" s="7"/>
      <c r="M756" s="7"/>
    </row>
    <row r="757" spans="2:13" ht="14.25" customHeight="1" x14ac:dyDescent="0.3">
      <c r="B757" s="4"/>
      <c r="C757" s="5"/>
      <c r="D757" s="6"/>
      <c r="E757" s="7"/>
      <c r="G757" s="7"/>
      <c r="I757" s="7"/>
      <c r="K757" s="7"/>
      <c r="M757" s="7"/>
    </row>
    <row r="758" spans="2:13" ht="14.25" customHeight="1" x14ac:dyDescent="0.3">
      <c r="B758" s="4"/>
      <c r="C758" s="5"/>
      <c r="D758" s="6"/>
      <c r="E758" s="7"/>
      <c r="G758" s="7"/>
      <c r="I758" s="7"/>
      <c r="K758" s="7"/>
      <c r="M758" s="7"/>
    </row>
    <row r="759" spans="2:13" ht="14.25" customHeight="1" x14ac:dyDescent="0.3">
      <c r="B759" s="4"/>
      <c r="C759" s="5"/>
      <c r="D759" s="6"/>
      <c r="E759" s="7"/>
      <c r="G759" s="7"/>
      <c r="I759" s="7"/>
      <c r="K759" s="7"/>
      <c r="M759" s="7"/>
    </row>
    <row r="760" spans="2:13" ht="14.25" customHeight="1" x14ac:dyDescent="0.3">
      <c r="B760" s="4"/>
      <c r="C760" s="5"/>
      <c r="D760" s="6"/>
      <c r="E760" s="7"/>
      <c r="G760" s="7"/>
      <c r="I760" s="7"/>
      <c r="K760" s="7"/>
      <c r="M760" s="7"/>
    </row>
    <row r="761" spans="2:13" ht="14.25" customHeight="1" x14ac:dyDescent="0.3">
      <c r="B761" s="4"/>
      <c r="C761" s="5"/>
      <c r="D761" s="6"/>
      <c r="E761" s="7"/>
      <c r="G761" s="7"/>
      <c r="I761" s="7"/>
      <c r="K761" s="7"/>
      <c r="M761" s="7"/>
    </row>
    <row r="762" spans="2:13" ht="14.25" customHeight="1" x14ac:dyDescent="0.3">
      <c r="B762" s="4"/>
      <c r="C762" s="5"/>
      <c r="D762" s="6"/>
      <c r="E762" s="7"/>
      <c r="G762" s="7"/>
      <c r="I762" s="7"/>
      <c r="K762" s="7"/>
      <c r="M762" s="7"/>
    </row>
    <row r="763" spans="2:13" ht="14.25" customHeight="1" x14ac:dyDescent="0.3">
      <c r="B763" s="4"/>
      <c r="C763" s="5"/>
      <c r="D763" s="6"/>
      <c r="E763" s="7"/>
      <c r="G763" s="7"/>
      <c r="I763" s="7"/>
      <c r="K763" s="7"/>
      <c r="M763" s="7"/>
    </row>
    <row r="764" spans="2:13" ht="14.25" customHeight="1" x14ac:dyDescent="0.3">
      <c r="B764" s="4"/>
      <c r="C764" s="5"/>
      <c r="D764" s="6"/>
      <c r="E764" s="7"/>
      <c r="G764" s="7"/>
      <c r="I764" s="7"/>
      <c r="K764" s="7"/>
      <c r="M764" s="7"/>
    </row>
    <row r="765" spans="2:13" ht="14.25" customHeight="1" x14ac:dyDescent="0.3">
      <c r="B765" s="4"/>
      <c r="C765" s="5"/>
      <c r="D765" s="6"/>
      <c r="E765" s="7"/>
      <c r="G765" s="7"/>
      <c r="I765" s="7"/>
      <c r="K765" s="7"/>
      <c r="M765" s="7"/>
    </row>
    <row r="766" spans="2:13" ht="14.25" customHeight="1" x14ac:dyDescent="0.3">
      <c r="B766" s="4"/>
      <c r="C766" s="5"/>
      <c r="D766" s="6"/>
      <c r="E766" s="7"/>
      <c r="G766" s="7"/>
      <c r="I766" s="7"/>
      <c r="K766" s="7"/>
      <c r="M766" s="7"/>
    </row>
    <row r="767" spans="2:13" ht="14.25" customHeight="1" x14ac:dyDescent="0.3">
      <c r="B767" s="4"/>
      <c r="C767" s="5"/>
      <c r="D767" s="6"/>
      <c r="E767" s="7"/>
      <c r="G767" s="7"/>
      <c r="I767" s="7"/>
      <c r="K767" s="7"/>
      <c r="M767" s="7"/>
    </row>
    <row r="768" spans="2:13" ht="14.25" customHeight="1" x14ac:dyDescent="0.3">
      <c r="B768" s="4"/>
      <c r="C768" s="5"/>
      <c r="D768" s="6"/>
      <c r="E768" s="7"/>
      <c r="G768" s="7"/>
      <c r="I768" s="7"/>
      <c r="K768" s="7"/>
      <c r="M768" s="7"/>
    </row>
    <row r="769" spans="2:13" ht="14.25" customHeight="1" x14ac:dyDescent="0.3">
      <c r="B769" s="4"/>
      <c r="C769" s="5"/>
      <c r="D769" s="6"/>
      <c r="E769" s="7"/>
      <c r="G769" s="7"/>
      <c r="I769" s="7"/>
      <c r="K769" s="7"/>
      <c r="M769" s="7"/>
    </row>
    <row r="770" spans="2:13" ht="14.25" customHeight="1" x14ac:dyDescent="0.3">
      <c r="B770" s="4"/>
      <c r="C770" s="5"/>
      <c r="D770" s="6"/>
      <c r="E770" s="7"/>
      <c r="G770" s="7"/>
      <c r="I770" s="7"/>
      <c r="K770" s="7"/>
      <c r="M770" s="7"/>
    </row>
    <row r="771" spans="2:13" ht="14.25" customHeight="1" x14ac:dyDescent="0.3">
      <c r="B771" s="4"/>
      <c r="C771" s="5"/>
      <c r="D771" s="6"/>
      <c r="E771" s="7"/>
      <c r="G771" s="7"/>
      <c r="I771" s="7"/>
      <c r="K771" s="7"/>
      <c r="M771" s="7"/>
    </row>
    <row r="772" spans="2:13" ht="14.25" customHeight="1" x14ac:dyDescent="0.3">
      <c r="B772" s="4"/>
      <c r="C772" s="5"/>
      <c r="D772" s="6"/>
      <c r="E772" s="7"/>
      <c r="G772" s="7"/>
      <c r="I772" s="7"/>
      <c r="K772" s="7"/>
      <c r="M772" s="7"/>
    </row>
    <row r="773" spans="2:13" ht="14.25" customHeight="1" x14ac:dyDescent="0.3">
      <c r="B773" s="4"/>
      <c r="C773" s="5"/>
      <c r="D773" s="6"/>
      <c r="E773" s="7"/>
      <c r="G773" s="7"/>
      <c r="I773" s="7"/>
      <c r="K773" s="7"/>
      <c r="M773" s="7"/>
    </row>
    <row r="774" spans="2:13" ht="14.25" customHeight="1" x14ac:dyDescent="0.3">
      <c r="B774" s="4"/>
      <c r="C774" s="5"/>
      <c r="D774" s="6"/>
      <c r="E774" s="7"/>
      <c r="G774" s="7"/>
      <c r="I774" s="7"/>
      <c r="K774" s="7"/>
      <c r="M774" s="7"/>
    </row>
    <row r="775" spans="2:13" ht="14.25" customHeight="1" x14ac:dyDescent="0.3">
      <c r="B775" s="4"/>
      <c r="C775" s="5"/>
      <c r="D775" s="6"/>
      <c r="E775" s="7"/>
      <c r="G775" s="7"/>
      <c r="I775" s="7"/>
      <c r="K775" s="7"/>
      <c r="M775" s="7"/>
    </row>
    <row r="776" spans="2:13" ht="14.25" customHeight="1" x14ac:dyDescent="0.3">
      <c r="B776" s="4"/>
      <c r="C776" s="5"/>
      <c r="D776" s="6"/>
      <c r="E776" s="7"/>
      <c r="G776" s="7"/>
      <c r="I776" s="7"/>
      <c r="K776" s="7"/>
      <c r="M776" s="7"/>
    </row>
    <row r="777" spans="2:13" ht="14.25" customHeight="1" x14ac:dyDescent="0.3">
      <c r="B777" s="4"/>
      <c r="C777" s="5"/>
      <c r="D777" s="6"/>
      <c r="E777" s="7"/>
      <c r="G777" s="7"/>
      <c r="I777" s="7"/>
      <c r="K777" s="7"/>
      <c r="M777" s="7"/>
    </row>
    <row r="778" spans="2:13" ht="14.25" customHeight="1" x14ac:dyDescent="0.3">
      <c r="B778" s="4"/>
      <c r="C778" s="5"/>
      <c r="D778" s="6"/>
      <c r="E778" s="7"/>
      <c r="G778" s="7"/>
      <c r="I778" s="7"/>
      <c r="K778" s="7"/>
      <c r="M778" s="7"/>
    </row>
    <row r="779" spans="2:13" ht="14.25" customHeight="1" x14ac:dyDescent="0.3">
      <c r="B779" s="4"/>
      <c r="C779" s="5"/>
      <c r="D779" s="6"/>
      <c r="E779" s="7"/>
      <c r="G779" s="7"/>
      <c r="I779" s="7"/>
      <c r="K779" s="7"/>
      <c r="M779" s="7"/>
    </row>
    <row r="780" spans="2:13" ht="14.25" customHeight="1" x14ac:dyDescent="0.3">
      <c r="B780" s="4"/>
      <c r="C780" s="5"/>
      <c r="D780" s="6"/>
      <c r="E780" s="7"/>
      <c r="G780" s="7"/>
      <c r="I780" s="7"/>
      <c r="K780" s="7"/>
      <c r="M780" s="7"/>
    </row>
    <row r="781" spans="2:13" ht="14.25" customHeight="1" x14ac:dyDescent="0.3">
      <c r="B781" s="4"/>
      <c r="C781" s="5"/>
      <c r="D781" s="6"/>
      <c r="E781" s="7"/>
      <c r="G781" s="7"/>
      <c r="I781" s="7"/>
      <c r="K781" s="7"/>
      <c r="M781" s="7"/>
    </row>
    <row r="782" spans="2:13" ht="14.25" customHeight="1" x14ac:dyDescent="0.3">
      <c r="B782" s="4"/>
      <c r="C782" s="5"/>
      <c r="D782" s="6"/>
      <c r="E782" s="7"/>
      <c r="G782" s="7"/>
      <c r="I782" s="7"/>
      <c r="K782" s="7"/>
      <c r="M782" s="7"/>
    </row>
    <row r="783" spans="2:13" ht="14.25" customHeight="1" x14ac:dyDescent="0.3">
      <c r="B783" s="4"/>
      <c r="C783" s="5"/>
      <c r="D783" s="6"/>
      <c r="E783" s="7"/>
      <c r="G783" s="7"/>
      <c r="I783" s="7"/>
      <c r="K783" s="7"/>
      <c r="M783" s="7"/>
    </row>
    <row r="784" spans="2:13" ht="14.25" customHeight="1" x14ac:dyDescent="0.3">
      <c r="B784" s="4"/>
      <c r="C784" s="5"/>
      <c r="D784" s="6"/>
      <c r="E784" s="7"/>
      <c r="G784" s="7"/>
      <c r="I784" s="7"/>
      <c r="K784" s="7"/>
      <c r="M784" s="7"/>
    </row>
    <row r="785" spans="2:13" ht="14.25" customHeight="1" x14ac:dyDescent="0.3">
      <c r="B785" s="4"/>
      <c r="C785" s="5"/>
      <c r="D785" s="6"/>
      <c r="E785" s="7"/>
      <c r="G785" s="7"/>
      <c r="I785" s="7"/>
      <c r="K785" s="7"/>
      <c r="M785" s="7"/>
    </row>
    <row r="786" spans="2:13" ht="14.25" customHeight="1" x14ac:dyDescent="0.3">
      <c r="B786" s="4"/>
      <c r="C786" s="5"/>
      <c r="D786" s="6"/>
      <c r="E786" s="7"/>
      <c r="G786" s="7"/>
      <c r="I786" s="7"/>
      <c r="K786" s="7"/>
      <c r="M786" s="7"/>
    </row>
    <row r="787" spans="2:13" ht="14.25" customHeight="1" x14ac:dyDescent="0.3">
      <c r="B787" s="4"/>
      <c r="C787" s="5"/>
      <c r="D787" s="6"/>
      <c r="E787" s="7"/>
      <c r="G787" s="7"/>
      <c r="I787" s="7"/>
      <c r="K787" s="7"/>
      <c r="M787" s="7"/>
    </row>
    <row r="788" spans="2:13" ht="14.25" customHeight="1" x14ac:dyDescent="0.3">
      <c r="B788" s="4"/>
      <c r="C788" s="5"/>
      <c r="D788" s="6"/>
      <c r="E788" s="7"/>
      <c r="G788" s="7"/>
      <c r="I788" s="7"/>
      <c r="K788" s="7"/>
      <c r="M788" s="7"/>
    </row>
    <row r="789" spans="2:13" ht="14.25" customHeight="1" x14ac:dyDescent="0.3">
      <c r="B789" s="4"/>
      <c r="C789" s="5"/>
      <c r="D789" s="6"/>
      <c r="E789" s="7"/>
      <c r="G789" s="7"/>
      <c r="I789" s="7"/>
      <c r="K789" s="7"/>
      <c r="M789" s="7"/>
    </row>
    <row r="790" spans="2:13" ht="14.25" customHeight="1" x14ac:dyDescent="0.3">
      <c r="B790" s="4"/>
      <c r="C790" s="5"/>
      <c r="D790" s="6"/>
      <c r="E790" s="7"/>
      <c r="G790" s="7"/>
      <c r="I790" s="7"/>
      <c r="K790" s="7"/>
      <c r="M790" s="7"/>
    </row>
    <row r="791" spans="2:13" ht="14.25" customHeight="1" x14ac:dyDescent="0.3">
      <c r="B791" s="4"/>
      <c r="C791" s="5"/>
      <c r="D791" s="6"/>
      <c r="E791" s="7"/>
      <c r="G791" s="7"/>
      <c r="I791" s="7"/>
      <c r="K791" s="7"/>
      <c r="M791" s="7"/>
    </row>
    <row r="792" spans="2:13" ht="14.25" customHeight="1" x14ac:dyDescent="0.3">
      <c r="B792" s="4"/>
      <c r="C792" s="5"/>
      <c r="D792" s="6"/>
      <c r="E792" s="7"/>
      <c r="G792" s="7"/>
      <c r="I792" s="7"/>
      <c r="K792" s="7"/>
      <c r="M792" s="7"/>
    </row>
    <row r="793" spans="2:13" ht="14.25" customHeight="1" x14ac:dyDescent="0.3">
      <c r="B793" s="4"/>
      <c r="C793" s="5"/>
      <c r="D793" s="6"/>
      <c r="E793" s="7"/>
      <c r="G793" s="7"/>
      <c r="I793" s="7"/>
      <c r="K793" s="7"/>
      <c r="M793" s="7"/>
    </row>
    <row r="794" spans="2:13" ht="14.25" customHeight="1" x14ac:dyDescent="0.3">
      <c r="B794" s="4"/>
      <c r="C794" s="5"/>
      <c r="D794" s="6"/>
      <c r="E794" s="7"/>
      <c r="G794" s="7"/>
      <c r="I794" s="7"/>
      <c r="K794" s="7"/>
      <c r="M794" s="7"/>
    </row>
    <row r="795" spans="2:13" ht="14.25" customHeight="1" x14ac:dyDescent="0.3">
      <c r="B795" s="4"/>
      <c r="C795" s="5"/>
      <c r="D795" s="6"/>
      <c r="E795" s="7"/>
      <c r="G795" s="7"/>
      <c r="I795" s="7"/>
      <c r="K795" s="7"/>
      <c r="M795" s="7"/>
    </row>
    <row r="796" spans="2:13" ht="14.25" customHeight="1" x14ac:dyDescent="0.3">
      <c r="B796" s="4"/>
      <c r="C796" s="5"/>
      <c r="D796" s="6"/>
      <c r="E796" s="7"/>
      <c r="G796" s="7"/>
      <c r="I796" s="7"/>
      <c r="K796" s="7"/>
      <c r="M796" s="7"/>
    </row>
    <row r="797" spans="2:13" ht="14.25" customHeight="1" x14ac:dyDescent="0.3">
      <c r="B797" s="4"/>
      <c r="C797" s="5"/>
      <c r="D797" s="6"/>
      <c r="E797" s="7"/>
      <c r="G797" s="7"/>
      <c r="I797" s="7"/>
      <c r="K797" s="7"/>
      <c r="M797" s="7"/>
    </row>
    <row r="798" spans="2:13" ht="14.25" customHeight="1" x14ac:dyDescent="0.3">
      <c r="B798" s="4"/>
      <c r="C798" s="5"/>
      <c r="D798" s="6"/>
      <c r="E798" s="7"/>
      <c r="G798" s="7"/>
      <c r="I798" s="7"/>
      <c r="K798" s="7"/>
      <c r="M798" s="7"/>
    </row>
    <row r="799" spans="2:13" ht="14.25" customHeight="1" x14ac:dyDescent="0.3">
      <c r="B799" s="4"/>
      <c r="C799" s="5"/>
      <c r="D799" s="6"/>
      <c r="E799" s="7"/>
      <c r="G799" s="7"/>
      <c r="I799" s="7"/>
      <c r="K799" s="7"/>
      <c r="M799" s="7"/>
    </row>
    <row r="800" spans="2:13" ht="14.25" customHeight="1" x14ac:dyDescent="0.3">
      <c r="B800" s="4"/>
      <c r="C800" s="5"/>
      <c r="D800" s="6"/>
      <c r="E800" s="7"/>
      <c r="G800" s="7"/>
      <c r="I800" s="7"/>
      <c r="K800" s="7"/>
      <c r="M800" s="7"/>
    </row>
    <row r="801" spans="2:13" ht="14.25" customHeight="1" x14ac:dyDescent="0.3">
      <c r="B801" s="4"/>
      <c r="C801" s="5"/>
      <c r="D801" s="6"/>
      <c r="E801" s="7"/>
      <c r="G801" s="7"/>
      <c r="I801" s="7"/>
      <c r="K801" s="7"/>
      <c r="M801" s="7"/>
    </row>
    <row r="802" spans="2:13" ht="14.25" customHeight="1" x14ac:dyDescent="0.3">
      <c r="B802" s="4"/>
      <c r="C802" s="5"/>
      <c r="D802" s="6"/>
      <c r="E802" s="7"/>
      <c r="G802" s="7"/>
      <c r="I802" s="7"/>
      <c r="K802" s="7"/>
      <c r="M802" s="7"/>
    </row>
    <row r="803" spans="2:13" ht="14.25" customHeight="1" x14ac:dyDescent="0.3">
      <c r="B803" s="4"/>
      <c r="C803" s="5"/>
      <c r="D803" s="6"/>
      <c r="E803" s="7"/>
      <c r="G803" s="7"/>
      <c r="I803" s="7"/>
      <c r="K803" s="7"/>
      <c r="M803" s="7"/>
    </row>
    <row r="804" spans="2:13" ht="14.25" customHeight="1" x14ac:dyDescent="0.3">
      <c r="B804" s="4"/>
      <c r="C804" s="5"/>
      <c r="D804" s="6"/>
      <c r="E804" s="7"/>
      <c r="G804" s="7"/>
      <c r="I804" s="7"/>
      <c r="K804" s="7"/>
      <c r="M804" s="7"/>
    </row>
    <row r="805" spans="2:13" ht="14.25" customHeight="1" x14ac:dyDescent="0.3">
      <c r="B805" s="4"/>
      <c r="C805" s="5"/>
      <c r="D805" s="6"/>
      <c r="E805" s="7"/>
      <c r="G805" s="7"/>
      <c r="I805" s="7"/>
      <c r="K805" s="7"/>
      <c r="M805" s="7"/>
    </row>
    <row r="806" spans="2:13" ht="14.25" customHeight="1" x14ac:dyDescent="0.3">
      <c r="B806" s="4"/>
      <c r="C806" s="5"/>
      <c r="D806" s="6"/>
      <c r="E806" s="7"/>
      <c r="G806" s="7"/>
      <c r="I806" s="7"/>
      <c r="K806" s="7"/>
      <c r="M806" s="7"/>
    </row>
    <row r="807" spans="2:13" ht="14.25" customHeight="1" x14ac:dyDescent="0.3">
      <c r="B807" s="4"/>
      <c r="C807" s="5"/>
      <c r="D807" s="6"/>
      <c r="E807" s="7"/>
      <c r="G807" s="7"/>
      <c r="I807" s="7"/>
      <c r="K807" s="7"/>
      <c r="M807" s="7"/>
    </row>
    <row r="808" spans="2:13" ht="14.25" customHeight="1" x14ac:dyDescent="0.3">
      <c r="B808" s="4"/>
      <c r="C808" s="5"/>
      <c r="D808" s="6"/>
      <c r="E808" s="7"/>
      <c r="G808" s="7"/>
      <c r="I808" s="7"/>
      <c r="K808" s="7"/>
      <c r="M808" s="7"/>
    </row>
    <row r="809" spans="2:13" ht="14.25" customHeight="1" x14ac:dyDescent="0.3">
      <c r="B809" s="4"/>
      <c r="C809" s="5"/>
      <c r="D809" s="6"/>
      <c r="E809" s="7"/>
      <c r="G809" s="7"/>
      <c r="I809" s="7"/>
      <c r="K809" s="7"/>
      <c r="M809" s="7"/>
    </row>
    <row r="810" spans="2:13" ht="14.25" customHeight="1" x14ac:dyDescent="0.3">
      <c r="B810" s="4"/>
      <c r="C810" s="5"/>
      <c r="D810" s="6"/>
      <c r="E810" s="7"/>
      <c r="G810" s="7"/>
      <c r="I810" s="7"/>
      <c r="K810" s="7"/>
      <c r="M810" s="7"/>
    </row>
    <row r="811" spans="2:13" ht="14.25" customHeight="1" x14ac:dyDescent="0.3">
      <c r="B811" s="4"/>
      <c r="C811" s="5"/>
      <c r="D811" s="6"/>
      <c r="E811" s="7"/>
      <c r="G811" s="7"/>
      <c r="I811" s="7"/>
      <c r="K811" s="7"/>
      <c r="M811" s="7"/>
    </row>
    <row r="812" spans="2:13" ht="14.25" customHeight="1" x14ac:dyDescent="0.3">
      <c r="B812" s="4"/>
      <c r="C812" s="5"/>
      <c r="D812" s="6"/>
      <c r="E812" s="7"/>
      <c r="G812" s="7"/>
      <c r="I812" s="7"/>
      <c r="K812" s="7"/>
      <c r="M812" s="7"/>
    </row>
    <row r="813" spans="2:13" ht="14.25" customHeight="1" x14ac:dyDescent="0.3">
      <c r="B813" s="4"/>
      <c r="C813" s="5"/>
      <c r="D813" s="6"/>
      <c r="E813" s="7"/>
      <c r="G813" s="7"/>
      <c r="I813" s="7"/>
      <c r="K813" s="7"/>
      <c r="M813" s="7"/>
    </row>
    <row r="814" spans="2:13" ht="14.25" customHeight="1" x14ac:dyDescent="0.3">
      <c r="B814" s="4"/>
      <c r="C814" s="5"/>
      <c r="D814" s="6"/>
      <c r="E814" s="7"/>
      <c r="G814" s="7"/>
      <c r="I814" s="7"/>
      <c r="K814" s="7"/>
      <c r="M814" s="7"/>
    </row>
    <row r="815" spans="2:13" ht="14.25" customHeight="1" x14ac:dyDescent="0.3">
      <c r="B815" s="4"/>
      <c r="C815" s="5"/>
      <c r="D815" s="6"/>
      <c r="E815" s="7"/>
      <c r="G815" s="7"/>
      <c r="I815" s="7"/>
      <c r="K815" s="7"/>
      <c r="M815" s="7"/>
    </row>
    <row r="816" spans="2:13" ht="14.25" customHeight="1" x14ac:dyDescent="0.3">
      <c r="B816" s="4"/>
      <c r="C816" s="5"/>
      <c r="D816" s="6"/>
      <c r="E816" s="7"/>
      <c r="G816" s="7"/>
      <c r="I816" s="7"/>
      <c r="K816" s="7"/>
      <c r="M816" s="7"/>
    </row>
    <row r="817" spans="2:13" ht="14.25" customHeight="1" x14ac:dyDescent="0.3">
      <c r="B817" s="4"/>
      <c r="C817" s="5"/>
      <c r="D817" s="6"/>
      <c r="E817" s="7"/>
      <c r="G817" s="7"/>
      <c r="I817" s="7"/>
      <c r="K817" s="7"/>
      <c r="M817" s="7"/>
    </row>
    <row r="818" spans="2:13" ht="14.25" customHeight="1" x14ac:dyDescent="0.3">
      <c r="B818" s="4"/>
      <c r="C818" s="5"/>
      <c r="D818" s="6"/>
      <c r="E818" s="7"/>
      <c r="G818" s="7"/>
      <c r="I818" s="7"/>
      <c r="K818" s="7"/>
      <c r="M818" s="7"/>
    </row>
    <row r="819" spans="2:13" ht="14.25" customHeight="1" x14ac:dyDescent="0.3">
      <c r="B819" s="4"/>
      <c r="C819" s="5"/>
      <c r="D819" s="6"/>
      <c r="E819" s="7"/>
      <c r="G819" s="7"/>
      <c r="I819" s="7"/>
      <c r="K819" s="7"/>
      <c r="M819" s="7"/>
    </row>
    <row r="820" spans="2:13" ht="14.25" customHeight="1" x14ac:dyDescent="0.3">
      <c r="B820" s="4"/>
      <c r="C820" s="5"/>
      <c r="D820" s="6"/>
      <c r="E820" s="7"/>
      <c r="G820" s="7"/>
      <c r="I820" s="7"/>
      <c r="K820" s="7"/>
      <c r="M820" s="7"/>
    </row>
    <row r="821" spans="2:13" ht="14.25" customHeight="1" x14ac:dyDescent="0.3">
      <c r="B821" s="4"/>
      <c r="C821" s="5"/>
      <c r="D821" s="6"/>
      <c r="E821" s="7"/>
      <c r="G821" s="7"/>
      <c r="I821" s="7"/>
      <c r="K821" s="7"/>
      <c r="M821" s="7"/>
    </row>
    <row r="822" spans="2:13" ht="14.25" customHeight="1" x14ac:dyDescent="0.3">
      <c r="B822" s="4"/>
      <c r="C822" s="5"/>
      <c r="D822" s="6"/>
      <c r="E822" s="7"/>
      <c r="G822" s="7"/>
      <c r="I822" s="7"/>
      <c r="K822" s="7"/>
      <c r="M822" s="7"/>
    </row>
    <row r="823" spans="2:13" ht="14.25" customHeight="1" x14ac:dyDescent="0.3">
      <c r="B823" s="4"/>
      <c r="C823" s="5"/>
      <c r="D823" s="6"/>
      <c r="E823" s="7"/>
      <c r="G823" s="7"/>
      <c r="I823" s="7"/>
      <c r="K823" s="7"/>
      <c r="M823" s="7"/>
    </row>
    <row r="824" spans="2:13" ht="14.25" customHeight="1" x14ac:dyDescent="0.3">
      <c r="B824" s="4"/>
      <c r="C824" s="5"/>
      <c r="D824" s="6"/>
      <c r="E824" s="7"/>
      <c r="G824" s="7"/>
      <c r="I824" s="7"/>
      <c r="K824" s="7"/>
      <c r="M824" s="7"/>
    </row>
    <row r="825" spans="2:13" ht="14.25" customHeight="1" x14ac:dyDescent="0.3">
      <c r="B825" s="4"/>
      <c r="C825" s="5"/>
      <c r="D825" s="6"/>
      <c r="E825" s="7"/>
      <c r="G825" s="7"/>
      <c r="I825" s="7"/>
      <c r="K825" s="7"/>
      <c r="M825" s="7"/>
    </row>
    <row r="826" spans="2:13" ht="14.25" customHeight="1" x14ac:dyDescent="0.3">
      <c r="B826" s="4"/>
      <c r="C826" s="5"/>
      <c r="D826" s="6"/>
      <c r="E826" s="7"/>
      <c r="G826" s="7"/>
      <c r="I826" s="7"/>
      <c r="K826" s="7"/>
      <c r="M826" s="7"/>
    </row>
    <row r="827" spans="2:13" ht="14.25" customHeight="1" x14ac:dyDescent="0.3">
      <c r="B827" s="4"/>
      <c r="C827" s="5"/>
      <c r="D827" s="6"/>
      <c r="E827" s="7"/>
      <c r="G827" s="7"/>
      <c r="I827" s="7"/>
      <c r="K827" s="7"/>
      <c r="M827" s="7"/>
    </row>
    <row r="828" spans="2:13" ht="14.25" customHeight="1" x14ac:dyDescent="0.3">
      <c r="B828" s="4"/>
      <c r="C828" s="5"/>
      <c r="D828" s="6"/>
      <c r="E828" s="7"/>
      <c r="G828" s="7"/>
      <c r="I828" s="7"/>
      <c r="K828" s="7"/>
      <c r="M828" s="7"/>
    </row>
    <row r="829" spans="2:13" ht="14.25" customHeight="1" x14ac:dyDescent="0.3">
      <c r="B829" s="4"/>
      <c r="C829" s="5"/>
      <c r="D829" s="6"/>
      <c r="E829" s="7"/>
      <c r="G829" s="7"/>
      <c r="I829" s="7"/>
      <c r="K829" s="7"/>
      <c r="M829" s="7"/>
    </row>
    <row r="830" spans="2:13" ht="14.25" customHeight="1" x14ac:dyDescent="0.3">
      <c r="B830" s="4"/>
      <c r="C830" s="5"/>
      <c r="D830" s="6"/>
      <c r="E830" s="7"/>
      <c r="G830" s="7"/>
      <c r="I830" s="7"/>
      <c r="K830" s="7"/>
      <c r="M830" s="7"/>
    </row>
    <row r="831" spans="2:13" ht="14.25" customHeight="1" x14ac:dyDescent="0.3">
      <c r="B831" s="4"/>
      <c r="C831" s="5"/>
      <c r="D831" s="6"/>
      <c r="E831" s="7"/>
      <c r="G831" s="7"/>
      <c r="I831" s="7"/>
      <c r="K831" s="7"/>
      <c r="M831" s="7"/>
    </row>
    <row r="832" spans="2:13" ht="14.25" customHeight="1" x14ac:dyDescent="0.3">
      <c r="B832" s="4"/>
      <c r="C832" s="5"/>
      <c r="D832" s="6"/>
      <c r="E832" s="7"/>
      <c r="G832" s="7"/>
      <c r="I832" s="7"/>
      <c r="K832" s="7"/>
      <c r="M832" s="7"/>
    </row>
    <row r="833" spans="2:13" ht="14.25" customHeight="1" x14ac:dyDescent="0.3">
      <c r="B833" s="4"/>
      <c r="C833" s="5"/>
      <c r="D833" s="6"/>
      <c r="E833" s="7"/>
      <c r="G833" s="7"/>
      <c r="I833" s="7"/>
      <c r="K833" s="7"/>
      <c r="M833" s="7"/>
    </row>
    <row r="834" spans="2:13" ht="14.25" customHeight="1" x14ac:dyDescent="0.3">
      <c r="B834" s="4"/>
      <c r="C834" s="5"/>
      <c r="D834" s="6"/>
      <c r="E834" s="7"/>
      <c r="G834" s="7"/>
      <c r="I834" s="7"/>
      <c r="K834" s="7"/>
      <c r="M834" s="7"/>
    </row>
    <row r="835" spans="2:13" ht="14.25" customHeight="1" x14ac:dyDescent="0.3">
      <c r="B835" s="4"/>
      <c r="C835" s="5"/>
      <c r="D835" s="6"/>
      <c r="E835" s="7"/>
      <c r="G835" s="7"/>
      <c r="I835" s="7"/>
      <c r="K835" s="7"/>
      <c r="M835" s="7"/>
    </row>
    <row r="836" spans="2:13" ht="14.25" customHeight="1" x14ac:dyDescent="0.3">
      <c r="B836" s="4"/>
      <c r="C836" s="5"/>
      <c r="D836" s="6"/>
      <c r="E836" s="7"/>
      <c r="G836" s="7"/>
      <c r="I836" s="7"/>
      <c r="K836" s="7"/>
      <c r="M836" s="7"/>
    </row>
    <row r="837" spans="2:13" ht="14.25" customHeight="1" x14ac:dyDescent="0.3">
      <c r="B837" s="4"/>
      <c r="C837" s="5"/>
      <c r="D837" s="6"/>
      <c r="E837" s="7"/>
      <c r="G837" s="7"/>
      <c r="I837" s="7"/>
      <c r="K837" s="7"/>
      <c r="M837" s="7"/>
    </row>
    <row r="838" spans="2:13" ht="14.25" customHeight="1" x14ac:dyDescent="0.3">
      <c r="B838" s="4"/>
      <c r="C838" s="5"/>
      <c r="D838" s="6"/>
      <c r="E838" s="7"/>
      <c r="G838" s="7"/>
      <c r="I838" s="7"/>
      <c r="K838" s="7"/>
      <c r="M838" s="7"/>
    </row>
    <row r="839" spans="2:13" ht="14.25" customHeight="1" x14ac:dyDescent="0.3">
      <c r="B839" s="4"/>
      <c r="C839" s="5"/>
      <c r="D839" s="6"/>
      <c r="E839" s="7"/>
      <c r="G839" s="7"/>
      <c r="I839" s="7"/>
      <c r="K839" s="7"/>
      <c r="M839" s="7"/>
    </row>
    <row r="840" spans="2:13" ht="14.25" customHeight="1" x14ac:dyDescent="0.3">
      <c r="B840" s="4"/>
      <c r="C840" s="5"/>
      <c r="D840" s="6"/>
      <c r="E840" s="7"/>
      <c r="G840" s="7"/>
      <c r="I840" s="7"/>
      <c r="K840" s="7"/>
      <c r="M840" s="7"/>
    </row>
    <row r="841" spans="2:13" ht="14.25" customHeight="1" x14ac:dyDescent="0.3">
      <c r="B841" s="4"/>
      <c r="C841" s="5"/>
      <c r="D841" s="6"/>
      <c r="E841" s="7"/>
      <c r="G841" s="7"/>
      <c r="I841" s="7"/>
      <c r="K841" s="7"/>
      <c r="M841" s="7"/>
    </row>
    <row r="842" spans="2:13" ht="14.25" customHeight="1" x14ac:dyDescent="0.3">
      <c r="B842" s="4"/>
      <c r="C842" s="5"/>
      <c r="D842" s="6"/>
      <c r="E842" s="7"/>
      <c r="G842" s="7"/>
      <c r="I842" s="7"/>
      <c r="K842" s="7"/>
      <c r="M842" s="7"/>
    </row>
    <row r="843" spans="2:13" ht="14.25" customHeight="1" x14ac:dyDescent="0.3">
      <c r="B843" s="4"/>
      <c r="C843" s="5"/>
      <c r="D843" s="6"/>
      <c r="E843" s="7"/>
      <c r="G843" s="7"/>
      <c r="I843" s="7"/>
      <c r="K843" s="7"/>
      <c r="M843" s="7"/>
    </row>
    <row r="844" spans="2:13" ht="14.25" customHeight="1" x14ac:dyDescent="0.3">
      <c r="B844" s="4"/>
      <c r="C844" s="5"/>
      <c r="D844" s="6"/>
      <c r="E844" s="7"/>
      <c r="G844" s="7"/>
      <c r="I844" s="7"/>
      <c r="K844" s="7"/>
      <c r="M844" s="7"/>
    </row>
    <row r="845" spans="2:13" ht="14.25" customHeight="1" x14ac:dyDescent="0.3">
      <c r="B845" s="4"/>
      <c r="C845" s="5"/>
      <c r="D845" s="6"/>
      <c r="E845" s="7"/>
      <c r="G845" s="7"/>
      <c r="I845" s="7"/>
      <c r="K845" s="7"/>
      <c r="M845" s="7"/>
    </row>
    <row r="846" spans="2:13" ht="14.25" customHeight="1" x14ac:dyDescent="0.3">
      <c r="B846" s="4"/>
      <c r="C846" s="5"/>
      <c r="D846" s="6"/>
      <c r="E846" s="7"/>
      <c r="G846" s="7"/>
      <c r="I846" s="7"/>
      <c r="K846" s="7"/>
      <c r="M846" s="7"/>
    </row>
    <row r="847" spans="2:13" ht="14.25" customHeight="1" x14ac:dyDescent="0.3">
      <c r="B847" s="4"/>
      <c r="C847" s="5"/>
      <c r="D847" s="6"/>
      <c r="E847" s="7"/>
      <c r="G847" s="7"/>
      <c r="I847" s="7"/>
      <c r="K847" s="7"/>
      <c r="M847" s="7"/>
    </row>
    <row r="848" spans="2:13" ht="14.25" customHeight="1" x14ac:dyDescent="0.3">
      <c r="B848" s="4"/>
      <c r="C848" s="5"/>
      <c r="D848" s="6"/>
      <c r="E848" s="7"/>
      <c r="G848" s="7"/>
      <c r="I848" s="7"/>
      <c r="K848" s="7"/>
      <c r="M848" s="7"/>
    </row>
    <row r="849" spans="2:13" ht="14.25" customHeight="1" x14ac:dyDescent="0.3">
      <c r="B849" s="4"/>
      <c r="C849" s="5"/>
      <c r="D849" s="6"/>
      <c r="E849" s="7"/>
      <c r="G849" s="7"/>
      <c r="I849" s="7"/>
      <c r="K849" s="7"/>
      <c r="M849" s="7"/>
    </row>
    <row r="850" spans="2:13" ht="14.25" customHeight="1" x14ac:dyDescent="0.3">
      <c r="B850" s="4"/>
      <c r="C850" s="5"/>
      <c r="D850" s="6"/>
      <c r="E850" s="7"/>
      <c r="G850" s="7"/>
      <c r="I850" s="7"/>
      <c r="K850" s="7"/>
      <c r="M850" s="7"/>
    </row>
    <row r="851" spans="2:13" ht="14.25" customHeight="1" x14ac:dyDescent="0.3">
      <c r="B851" s="4"/>
      <c r="C851" s="5"/>
      <c r="D851" s="6"/>
      <c r="E851" s="7"/>
      <c r="G851" s="7"/>
      <c r="I851" s="7"/>
      <c r="K851" s="7"/>
      <c r="M851" s="7"/>
    </row>
    <row r="852" spans="2:13" ht="14.25" customHeight="1" x14ac:dyDescent="0.3">
      <c r="B852" s="4"/>
      <c r="C852" s="5"/>
      <c r="D852" s="6"/>
      <c r="E852" s="7"/>
      <c r="G852" s="7"/>
      <c r="I852" s="7"/>
      <c r="K852" s="7"/>
      <c r="M852" s="7"/>
    </row>
    <row r="853" spans="2:13" ht="14.25" customHeight="1" x14ac:dyDescent="0.3">
      <c r="B853" s="4"/>
      <c r="C853" s="5"/>
      <c r="D853" s="6"/>
      <c r="E853" s="7"/>
      <c r="G853" s="7"/>
      <c r="I853" s="7"/>
      <c r="K853" s="7"/>
      <c r="M853" s="7"/>
    </row>
    <row r="854" spans="2:13" ht="14.25" customHeight="1" x14ac:dyDescent="0.3">
      <c r="B854" s="4"/>
      <c r="C854" s="5"/>
      <c r="D854" s="6"/>
      <c r="E854" s="7"/>
      <c r="G854" s="7"/>
      <c r="I854" s="7"/>
      <c r="K854" s="7"/>
      <c r="M854" s="7"/>
    </row>
    <row r="855" spans="2:13" ht="14.25" customHeight="1" x14ac:dyDescent="0.3">
      <c r="B855" s="4"/>
      <c r="C855" s="5"/>
      <c r="D855" s="6"/>
      <c r="E855" s="7"/>
      <c r="G855" s="7"/>
      <c r="I855" s="7"/>
      <c r="K855" s="7"/>
      <c r="M855" s="7"/>
    </row>
    <row r="856" spans="2:13" ht="14.25" customHeight="1" x14ac:dyDescent="0.3">
      <c r="B856" s="4"/>
      <c r="C856" s="5"/>
      <c r="D856" s="6"/>
      <c r="E856" s="7"/>
      <c r="G856" s="7"/>
      <c r="I856" s="7"/>
      <c r="K856" s="7"/>
      <c r="M856" s="7"/>
    </row>
    <row r="857" spans="2:13" ht="14.25" customHeight="1" x14ac:dyDescent="0.3">
      <c r="B857" s="4"/>
      <c r="C857" s="5"/>
      <c r="D857" s="6"/>
      <c r="E857" s="7"/>
      <c r="G857" s="7"/>
      <c r="I857" s="7"/>
      <c r="K857" s="7"/>
      <c r="M857" s="7"/>
    </row>
    <row r="858" spans="2:13" ht="14.25" customHeight="1" x14ac:dyDescent="0.3">
      <c r="B858" s="4"/>
      <c r="C858" s="5"/>
      <c r="D858" s="6"/>
      <c r="E858" s="7"/>
      <c r="G858" s="7"/>
      <c r="I858" s="7"/>
      <c r="K858" s="7"/>
      <c r="M858" s="7"/>
    </row>
    <row r="859" spans="2:13" ht="14.25" customHeight="1" x14ac:dyDescent="0.3">
      <c r="B859" s="4"/>
      <c r="C859" s="5"/>
      <c r="D859" s="6"/>
      <c r="E859" s="7"/>
      <c r="G859" s="7"/>
      <c r="I859" s="7"/>
      <c r="K859" s="7"/>
      <c r="M859" s="7"/>
    </row>
    <row r="860" spans="2:13" ht="14.25" customHeight="1" x14ac:dyDescent="0.3">
      <c r="B860" s="4"/>
      <c r="C860" s="5"/>
      <c r="D860" s="6"/>
      <c r="E860" s="7"/>
      <c r="G860" s="7"/>
      <c r="I860" s="7"/>
      <c r="K860" s="7"/>
      <c r="M860" s="7"/>
    </row>
    <row r="861" spans="2:13" ht="14.25" customHeight="1" x14ac:dyDescent="0.3">
      <c r="B861" s="4"/>
      <c r="C861" s="5"/>
      <c r="D861" s="6"/>
      <c r="E861" s="7"/>
      <c r="G861" s="7"/>
      <c r="I861" s="7"/>
      <c r="K861" s="7"/>
      <c r="M861" s="7"/>
    </row>
    <row r="862" spans="2:13" ht="14.25" customHeight="1" x14ac:dyDescent="0.3">
      <c r="B862" s="4"/>
      <c r="C862" s="5"/>
      <c r="D862" s="6"/>
      <c r="E862" s="7"/>
      <c r="G862" s="7"/>
      <c r="I862" s="7"/>
      <c r="K862" s="7"/>
      <c r="M862" s="7"/>
    </row>
    <row r="863" spans="2:13" ht="14.25" customHeight="1" x14ac:dyDescent="0.3">
      <c r="B863" s="4"/>
      <c r="C863" s="5"/>
      <c r="D863" s="6"/>
      <c r="E863" s="7"/>
      <c r="G863" s="7"/>
      <c r="I863" s="7"/>
      <c r="K863" s="7"/>
      <c r="M863" s="7"/>
    </row>
    <row r="864" spans="2:13" ht="14.25" customHeight="1" x14ac:dyDescent="0.3">
      <c r="B864" s="4"/>
      <c r="C864" s="5"/>
      <c r="D864" s="6"/>
      <c r="E864" s="7"/>
      <c r="G864" s="7"/>
      <c r="I864" s="7"/>
      <c r="K864" s="7"/>
      <c r="M864" s="7"/>
    </row>
    <row r="865" spans="2:13" ht="14.25" customHeight="1" x14ac:dyDescent="0.3">
      <c r="B865" s="4"/>
      <c r="C865" s="5"/>
      <c r="D865" s="6"/>
      <c r="E865" s="7"/>
      <c r="G865" s="7"/>
      <c r="I865" s="7"/>
      <c r="K865" s="7"/>
      <c r="M865" s="7"/>
    </row>
    <row r="866" spans="2:13" ht="14.25" customHeight="1" x14ac:dyDescent="0.3">
      <c r="B866" s="4"/>
      <c r="C866" s="5"/>
      <c r="D866" s="6"/>
      <c r="E866" s="7"/>
      <c r="G866" s="7"/>
      <c r="I866" s="7"/>
      <c r="K866" s="7"/>
      <c r="M866" s="7"/>
    </row>
    <row r="867" spans="2:13" ht="14.25" customHeight="1" x14ac:dyDescent="0.3">
      <c r="B867" s="4"/>
      <c r="C867" s="5"/>
      <c r="D867" s="6"/>
      <c r="E867" s="7"/>
      <c r="G867" s="7"/>
      <c r="I867" s="7"/>
      <c r="K867" s="7"/>
      <c r="M867" s="7"/>
    </row>
    <row r="868" spans="2:13" ht="14.25" customHeight="1" x14ac:dyDescent="0.3">
      <c r="B868" s="4"/>
      <c r="C868" s="5"/>
      <c r="D868" s="6"/>
      <c r="E868" s="7"/>
      <c r="G868" s="7"/>
      <c r="I868" s="7"/>
      <c r="K868" s="7"/>
      <c r="M868" s="7"/>
    </row>
    <row r="869" spans="2:13" ht="14.25" customHeight="1" x14ac:dyDescent="0.3">
      <c r="B869" s="4"/>
      <c r="C869" s="5"/>
      <c r="D869" s="6"/>
      <c r="E869" s="7"/>
      <c r="G869" s="7"/>
      <c r="I869" s="7"/>
      <c r="K869" s="7"/>
      <c r="M869" s="7"/>
    </row>
    <row r="870" spans="2:13" ht="14.25" customHeight="1" x14ac:dyDescent="0.3">
      <c r="B870" s="4"/>
      <c r="C870" s="5"/>
      <c r="D870" s="6"/>
      <c r="E870" s="7"/>
      <c r="G870" s="7"/>
      <c r="I870" s="7"/>
      <c r="K870" s="7"/>
      <c r="M870" s="7"/>
    </row>
    <row r="871" spans="2:13" ht="14.25" customHeight="1" x14ac:dyDescent="0.3">
      <c r="B871" s="4"/>
      <c r="C871" s="5"/>
      <c r="D871" s="6"/>
      <c r="E871" s="7"/>
      <c r="G871" s="7"/>
      <c r="I871" s="7"/>
      <c r="K871" s="7"/>
      <c r="M871" s="7"/>
    </row>
    <row r="872" spans="2:13" ht="14.25" customHeight="1" x14ac:dyDescent="0.3">
      <c r="B872" s="4"/>
      <c r="C872" s="5"/>
      <c r="D872" s="6"/>
      <c r="E872" s="7"/>
      <c r="G872" s="7"/>
      <c r="I872" s="7"/>
      <c r="K872" s="7"/>
      <c r="M872" s="7"/>
    </row>
    <row r="873" spans="2:13" ht="14.25" customHeight="1" x14ac:dyDescent="0.3">
      <c r="B873" s="4"/>
      <c r="C873" s="5"/>
      <c r="D873" s="6"/>
      <c r="E873" s="7"/>
      <c r="G873" s="7"/>
      <c r="I873" s="7"/>
      <c r="K873" s="7"/>
      <c r="M873" s="7"/>
    </row>
    <row r="874" spans="2:13" ht="14.25" customHeight="1" x14ac:dyDescent="0.3">
      <c r="B874" s="4"/>
      <c r="C874" s="5"/>
      <c r="D874" s="6"/>
      <c r="E874" s="7"/>
      <c r="G874" s="7"/>
      <c r="I874" s="7"/>
      <c r="K874" s="7"/>
      <c r="M874" s="7"/>
    </row>
    <row r="875" spans="2:13" ht="14.25" customHeight="1" x14ac:dyDescent="0.3">
      <c r="B875" s="4"/>
      <c r="C875" s="5"/>
      <c r="D875" s="6"/>
      <c r="E875" s="7"/>
      <c r="G875" s="7"/>
      <c r="I875" s="7"/>
      <c r="K875" s="7"/>
      <c r="M875" s="7"/>
    </row>
    <row r="876" spans="2:13" ht="14.25" customHeight="1" x14ac:dyDescent="0.3">
      <c r="B876" s="4"/>
      <c r="C876" s="5"/>
      <c r="D876" s="6"/>
      <c r="E876" s="7"/>
      <c r="G876" s="7"/>
      <c r="I876" s="7"/>
      <c r="K876" s="7"/>
      <c r="M876" s="7"/>
    </row>
    <row r="877" spans="2:13" ht="14.25" customHeight="1" x14ac:dyDescent="0.3">
      <c r="B877" s="4"/>
      <c r="C877" s="5"/>
      <c r="D877" s="6"/>
      <c r="E877" s="7"/>
      <c r="G877" s="7"/>
      <c r="I877" s="7"/>
      <c r="K877" s="7"/>
      <c r="M877" s="7"/>
    </row>
    <row r="878" spans="2:13" ht="14.25" customHeight="1" x14ac:dyDescent="0.3">
      <c r="B878" s="4"/>
      <c r="C878" s="5"/>
      <c r="D878" s="6"/>
      <c r="E878" s="7"/>
      <c r="G878" s="7"/>
      <c r="I878" s="7"/>
      <c r="K878" s="7"/>
      <c r="M878" s="7"/>
    </row>
    <row r="879" spans="2:13" ht="14.25" customHeight="1" x14ac:dyDescent="0.3">
      <c r="B879" s="4"/>
      <c r="C879" s="5"/>
      <c r="D879" s="6"/>
      <c r="E879" s="7"/>
      <c r="G879" s="7"/>
      <c r="I879" s="7"/>
      <c r="K879" s="7"/>
      <c r="M879" s="7"/>
    </row>
    <row r="880" spans="2:13" ht="14.25" customHeight="1" x14ac:dyDescent="0.3">
      <c r="B880" s="4"/>
      <c r="C880" s="5"/>
      <c r="D880" s="6"/>
      <c r="E880" s="7"/>
      <c r="G880" s="7"/>
      <c r="I880" s="7"/>
      <c r="K880" s="7"/>
      <c r="M880" s="7"/>
    </row>
    <row r="881" spans="2:13" ht="14.25" customHeight="1" x14ac:dyDescent="0.3">
      <c r="B881" s="4"/>
      <c r="C881" s="5"/>
      <c r="D881" s="6"/>
      <c r="E881" s="7"/>
      <c r="G881" s="7"/>
      <c r="I881" s="7"/>
      <c r="K881" s="7"/>
      <c r="M881" s="7"/>
    </row>
    <row r="882" spans="2:13" ht="14.25" customHeight="1" x14ac:dyDescent="0.3">
      <c r="B882" s="4"/>
      <c r="C882" s="5"/>
      <c r="D882" s="6"/>
      <c r="E882" s="7"/>
      <c r="G882" s="7"/>
      <c r="I882" s="7"/>
      <c r="K882" s="7"/>
      <c r="M882" s="7"/>
    </row>
    <row r="883" spans="2:13" ht="14.25" customHeight="1" x14ac:dyDescent="0.3">
      <c r="B883" s="4"/>
      <c r="C883" s="5"/>
      <c r="D883" s="6"/>
      <c r="E883" s="7"/>
      <c r="G883" s="7"/>
      <c r="I883" s="7"/>
      <c r="K883" s="7"/>
      <c r="M883" s="7"/>
    </row>
    <row r="884" spans="2:13" ht="14.25" customHeight="1" x14ac:dyDescent="0.3">
      <c r="B884" s="4"/>
      <c r="C884" s="5"/>
      <c r="D884" s="6"/>
      <c r="E884" s="7"/>
      <c r="G884" s="7"/>
      <c r="I884" s="7"/>
      <c r="K884" s="7"/>
      <c r="M884" s="7"/>
    </row>
    <row r="885" spans="2:13" ht="14.25" customHeight="1" x14ac:dyDescent="0.3">
      <c r="B885" s="4"/>
      <c r="C885" s="5"/>
      <c r="D885" s="6"/>
      <c r="E885" s="7"/>
      <c r="G885" s="7"/>
      <c r="I885" s="7"/>
      <c r="K885" s="7"/>
      <c r="M885" s="7"/>
    </row>
    <row r="886" spans="2:13" ht="14.25" customHeight="1" x14ac:dyDescent="0.3">
      <c r="B886" s="4"/>
      <c r="C886" s="5"/>
      <c r="D886" s="6"/>
      <c r="E886" s="7"/>
      <c r="G886" s="7"/>
      <c r="I886" s="7"/>
      <c r="K886" s="7"/>
      <c r="M886" s="7"/>
    </row>
    <row r="887" spans="2:13" ht="14.25" customHeight="1" x14ac:dyDescent="0.3">
      <c r="B887" s="4"/>
      <c r="C887" s="5"/>
      <c r="D887" s="6"/>
      <c r="E887" s="7"/>
      <c r="G887" s="7"/>
      <c r="I887" s="7"/>
      <c r="K887" s="7"/>
      <c r="M887" s="7"/>
    </row>
    <row r="888" spans="2:13" ht="14.25" customHeight="1" x14ac:dyDescent="0.3">
      <c r="B888" s="4"/>
      <c r="C888" s="5"/>
      <c r="D888" s="6"/>
      <c r="E888" s="7"/>
      <c r="G888" s="7"/>
      <c r="I888" s="7"/>
      <c r="K888" s="7"/>
      <c r="M888" s="7"/>
    </row>
    <row r="889" spans="2:13" ht="14.25" customHeight="1" x14ac:dyDescent="0.3">
      <c r="B889" s="4"/>
      <c r="C889" s="5"/>
      <c r="D889" s="6"/>
      <c r="E889" s="7"/>
      <c r="G889" s="7"/>
      <c r="I889" s="7"/>
      <c r="K889" s="7"/>
      <c r="M889" s="7"/>
    </row>
    <row r="890" spans="2:13" ht="14.25" customHeight="1" x14ac:dyDescent="0.3">
      <c r="B890" s="4"/>
      <c r="C890" s="5"/>
      <c r="D890" s="6"/>
      <c r="E890" s="7"/>
      <c r="G890" s="7"/>
      <c r="I890" s="7"/>
      <c r="K890" s="7"/>
      <c r="M890" s="7"/>
    </row>
    <row r="891" spans="2:13" ht="14.25" customHeight="1" x14ac:dyDescent="0.3">
      <c r="B891" s="4"/>
      <c r="C891" s="5"/>
      <c r="D891" s="6"/>
      <c r="E891" s="7"/>
      <c r="G891" s="7"/>
      <c r="I891" s="7"/>
      <c r="K891" s="7"/>
      <c r="M891" s="7"/>
    </row>
    <row r="892" spans="2:13" ht="14.25" customHeight="1" x14ac:dyDescent="0.3">
      <c r="B892" s="4"/>
      <c r="C892" s="5"/>
      <c r="D892" s="6"/>
      <c r="E892" s="7"/>
      <c r="G892" s="7"/>
      <c r="I892" s="7"/>
      <c r="K892" s="7"/>
      <c r="M892" s="7"/>
    </row>
    <row r="893" spans="2:13" ht="14.25" customHeight="1" x14ac:dyDescent="0.3">
      <c r="B893" s="4"/>
      <c r="C893" s="5"/>
      <c r="D893" s="6"/>
      <c r="E893" s="7"/>
      <c r="G893" s="7"/>
      <c r="I893" s="7"/>
      <c r="K893" s="7"/>
      <c r="M893" s="7"/>
    </row>
    <row r="894" spans="2:13" ht="14.25" customHeight="1" x14ac:dyDescent="0.3">
      <c r="B894" s="4"/>
      <c r="C894" s="5"/>
      <c r="D894" s="6"/>
      <c r="E894" s="7"/>
      <c r="G894" s="7"/>
      <c r="I894" s="7"/>
      <c r="K894" s="7"/>
      <c r="M894" s="7"/>
    </row>
    <row r="895" spans="2:13" ht="14.25" customHeight="1" x14ac:dyDescent="0.3">
      <c r="B895" s="4"/>
      <c r="C895" s="5"/>
      <c r="D895" s="6"/>
      <c r="E895" s="7"/>
      <c r="G895" s="7"/>
      <c r="I895" s="7"/>
      <c r="K895" s="7"/>
      <c r="M895" s="7"/>
    </row>
    <row r="896" spans="2:13" ht="14.25" customHeight="1" x14ac:dyDescent="0.3">
      <c r="B896" s="4"/>
      <c r="C896" s="5"/>
      <c r="D896" s="6"/>
      <c r="E896" s="7"/>
      <c r="G896" s="7"/>
      <c r="I896" s="7"/>
      <c r="K896" s="7"/>
      <c r="M896" s="7"/>
    </row>
    <row r="897" spans="2:13" ht="14.25" customHeight="1" x14ac:dyDescent="0.3">
      <c r="B897" s="4"/>
      <c r="C897" s="5"/>
      <c r="D897" s="6"/>
      <c r="E897" s="7"/>
      <c r="G897" s="7"/>
      <c r="I897" s="7"/>
      <c r="K897" s="7"/>
      <c r="M897" s="7"/>
    </row>
    <row r="898" spans="2:13" ht="14.25" customHeight="1" x14ac:dyDescent="0.3">
      <c r="B898" s="4"/>
      <c r="C898" s="5"/>
      <c r="D898" s="6"/>
      <c r="E898" s="7"/>
      <c r="G898" s="7"/>
      <c r="I898" s="7"/>
      <c r="K898" s="7"/>
      <c r="M898" s="7"/>
    </row>
    <row r="899" spans="2:13" ht="14.25" customHeight="1" x14ac:dyDescent="0.3">
      <c r="B899" s="4"/>
      <c r="C899" s="5"/>
      <c r="D899" s="6"/>
      <c r="E899" s="7"/>
      <c r="G899" s="7"/>
      <c r="I899" s="7"/>
      <c r="K899" s="7"/>
      <c r="M899" s="7"/>
    </row>
    <row r="900" spans="2:13" ht="14.25" customHeight="1" x14ac:dyDescent="0.3">
      <c r="B900" s="4"/>
      <c r="C900" s="5"/>
      <c r="D900" s="6"/>
      <c r="E900" s="7"/>
      <c r="G900" s="7"/>
      <c r="I900" s="7"/>
      <c r="K900" s="7"/>
      <c r="M900" s="7"/>
    </row>
    <row r="901" spans="2:13" ht="14.25" customHeight="1" x14ac:dyDescent="0.3">
      <c r="B901" s="4"/>
      <c r="C901" s="5"/>
      <c r="D901" s="6"/>
      <c r="E901" s="7"/>
      <c r="G901" s="7"/>
      <c r="I901" s="7"/>
      <c r="K901" s="7"/>
      <c r="M901" s="7"/>
    </row>
    <row r="902" spans="2:13" ht="14.25" customHeight="1" x14ac:dyDescent="0.3">
      <c r="B902" s="4"/>
      <c r="C902" s="5"/>
      <c r="D902" s="6"/>
      <c r="E902" s="7"/>
      <c r="G902" s="7"/>
      <c r="I902" s="7"/>
      <c r="K902" s="7"/>
      <c r="M902" s="7"/>
    </row>
    <row r="903" spans="2:13" ht="14.25" customHeight="1" x14ac:dyDescent="0.3">
      <c r="B903" s="4"/>
      <c r="C903" s="5"/>
      <c r="D903" s="6"/>
      <c r="E903" s="7"/>
      <c r="G903" s="7"/>
      <c r="I903" s="7"/>
      <c r="K903" s="7"/>
      <c r="M903" s="7"/>
    </row>
    <row r="904" spans="2:13" ht="14.25" customHeight="1" x14ac:dyDescent="0.3">
      <c r="B904" s="4"/>
      <c r="C904" s="5"/>
      <c r="D904" s="6"/>
      <c r="E904" s="7"/>
      <c r="G904" s="7"/>
      <c r="I904" s="7"/>
      <c r="K904" s="7"/>
      <c r="M904" s="7"/>
    </row>
    <row r="905" spans="2:13" ht="14.25" customHeight="1" x14ac:dyDescent="0.3">
      <c r="B905" s="4"/>
      <c r="C905" s="5"/>
      <c r="D905" s="6"/>
      <c r="E905" s="7"/>
      <c r="G905" s="7"/>
      <c r="I905" s="7"/>
      <c r="K905" s="7"/>
      <c r="M905" s="7"/>
    </row>
    <row r="906" spans="2:13" ht="14.25" customHeight="1" x14ac:dyDescent="0.3">
      <c r="B906" s="4"/>
      <c r="C906" s="5"/>
      <c r="D906" s="6"/>
      <c r="E906" s="7"/>
      <c r="G906" s="7"/>
      <c r="I906" s="7"/>
      <c r="K906" s="7"/>
      <c r="M906" s="7"/>
    </row>
    <row r="907" spans="2:13" ht="14.25" customHeight="1" x14ac:dyDescent="0.3">
      <c r="B907" s="4"/>
      <c r="C907" s="5"/>
      <c r="D907" s="6"/>
      <c r="E907" s="7"/>
      <c r="G907" s="7"/>
      <c r="I907" s="7"/>
      <c r="K907" s="7"/>
      <c r="M907" s="7"/>
    </row>
    <row r="908" spans="2:13" ht="14.25" customHeight="1" x14ac:dyDescent="0.3">
      <c r="B908" s="4"/>
      <c r="C908" s="5"/>
      <c r="D908" s="6"/>
      <c r="E908" s="7"/>
      <c r="G908" s="7"/>
      <c r="I908" s="7"/>
      <c r="K908" s="7"/>
      <c r="M908" s="7"/>
    </row>
    <row r="909" spans="2:13" ht="14.25" customHeight="1" x14ac:dyDescent="0.3">
      <c r="B909" s="4"/>
      <c r="C909" s="5"/>
      <c r="D909" s="6"/>
      <c r="E909" s="7"/>
      <c r="G909" s="7"/>
      <c r="I909" s="7"/>
      <c r="K909" s="7"/>
      <c r="M909" s="7"/>
    </row>
    <row r="910" spans="2:13" ht="14.25" customHeight="1" x14ac:dyDescent="0.3">
      <c r="B910" s="4"/>
      <c r="C910" s="5"/>
      <c r="D910" s="6"/>
      <c r="E910" s="7"/>
      <c r="G910" s="7"/>
      <c r="I910" s="7"/>
      <c r="K910" s="7"/>
      <c r="M910" s="7"/>
    </row>
    <row r="911" spans="2:13" ht="14.25" customHeight="1" x14ac:dyDescent="0.3">
      <c r="B911" s="4"/>
      <c r="C911" s="5"/>
      <c r="D911" s="6"/>
      <c r="E911" s="7"/>
      <c r="G911" s="7"/>
      <c r="I911" s="7"/>
      <c r="K911" s="7"/>
      <c r="M911" s="7"/>
    </row>
    <row r="912" spans="2:13" ht="14.25" customHeight="1" x14ac:dyDescent="0.3">
      <c r="B912" s="4"/>
      <c r="C912" s="5"/>
      <c r="D912" s="6"/>
      <c r="E912" s="7"/>
      <c r="G912" s="7"/>
      <c r="I912" s="7"/>
      <c r="K912" s="7"/>
      <c r="M912" s="7"/>
    </row>
    <row r="913" spans="2:13" ht="14.25" customHeight="1" x14ac:dyDescent="0.3">
      <c r="B913" s="4"/>
      <c r="C913" s="5"/>
      <c r="D913" s="6"/>
      <c r="E913" s="7"/>
      <c r="G913" s="7"/>
      <c r="I913" s="7"/>
      <c r="K913" s="7"/>
      <c r="M913" s="7"/>
    </row>
    <row r="914" spans="2:13" ht="14.25" customHeight="1" x14ac:dyDescent="0.3">
      <c r="B914" s="4"/>
      <c r="C914" s="5"/>
      <c r="D914" s="6"/>
      <c r="E914" s="7"/>
      <c r="G914" s="7"/>
      <c r="I914" s="7"/>
      <c r="K914" s="7"/>
      <c r="M914" s="7"/>
    </row>
    <row r="915" spans="2:13" ht="14.25" customHeight="1" x14ac:dyDescent="0.3">
      <c r="B915" s="4"/>
      <c r="C915" s="5"/>
      <c r="D915" s="6"/>
      <c r="E915" s="7"/>
      <c r="G915" s="7"/>
      <c r="I915" s="7"/>
      <c r="K915" s="7"/>
      <c r="M915" s="7"/>
    </row>
    <row r="916" spans="2:13" ht="14.25" customHeight="1" x14ac:dyDescent="0.3">
      <c r="B916" s="4"/>
      <c r="C916" s="5"/>
      <c r="D916" s="6"/>
      <c r="E916" s="7"/>
      <c r="G916" s="7"/>
      <c r="I916" s="7"/>
      <c r="K916" s="7"/>
      <c r="M916" s="7"/>
    </row>
    <row r="917" spans="2:13" ht="14.25" customHeight="1" x14ac:dyDescent="0.3">
      <c r="B917" s="4"/>
      <c r="C917" s="5"/>
      <c r="D917" s="6"/>
      <c r="E917" s="7"/>
      <c r="G917" s="7"/>
      <c r="I917" s="7"/>
      <c r="K917" s="7"/>
      <c r="M917" s="7"/>
    </row>
    <row r="918" spans="2:13" ht="14.25" customHeight="1" x14ac:dyDescent="0.3">
      <c r="B918" s="4"/>
      <c r="C918" s="5"/>
      <c r="D918" s="6"/>
      <c r="E918" s="7"/>
      <c r="G918" s="7"/>
      <c r="I918" s="7"/>
      <c r="K918" s="7"/>
      <c r="M918" s="7"/>
    </row>
    <row r="919" spans="2:13" ht="14.25" customHeight="1" x14ac:dyDescent="0.3">
      <c r="B919" s="4"/>
      <c r="C919" s="5"/>
      <c r="D919" s="6"/>
      <c r="E919" s="7"/>
      <c r="G919" s="7"/>
      <c r="I919" s="7"/>
      <c r="K919" s="7"/>
      <c r="M919" s="7"/>
    </row>
    <row r="920" spans="2:13" ht="14.25" customHeight="1" x14ac:dyDescent="0.3">
      <c r="B920" s="4"/>
      <c r="C920" s="5"/>
      <c r="D920" s="6"/>
      <c r="E920" s="7"/>
      <c r="G920" s="7"/>
      <c r="I920" s="7"/>
      <c r="K920" s="7"/>
      <c r="M920" s="7"/>
    </row>
    <row r="921" spans="2:13" ht="14.25" customHeight="1" x14ac:dyDescent="0.3">
      <c r="B921" s="4"/>
      <c r="C921" s="5"/>
      <c r="D921" s="6"/>
      <c r="E921" s="7"/>
      <c r="G921" s="7"/>
      <c r="I921" s="7"/>
      <c r="K921" s="7"/>
      <c r="M921" s="7"/>
    </row>
    <row r="922" spans="2:13" ht="14.25" customHeight="1" x14ac:dyDescent="0.3">
      <c r="B922" s="4"/>
      <c r="C922" s="5"/>
      <c r="D922" s="6"/>
      <c r="E922" s="7"/>
      <c r="G922" s="7"/>
      <c r="I922" s="7"/>
      <c r="K922" s="7"/>
      <c r="M922" s="7"/>
    </row>
    <row r="923" spans="2:13" ht="14.25" customHeight="1" x14ac:dyDescent="0.3">
      <c r="B923" s="4"/>
      <c r="C923" s="5"/>
      <c r="D923" s="6"/>
      <c r="E923" s="7"/>
      <c r="G923" s="7"/>
      <c r="I923" s="7"/>
      <c r="K923" s="7"/>
      <c r="M923" s="7"/>
    </row>
    <row r="924" spans="2:13" ht="14.25" customHeight="1" x14ac:dyDescent="0.3">
      <c r="B924" s="4"/>
      <c r="C924" s="5"/>
      <c r="D924" s="6"/>
      <c r="E924" s="7"/>
      <c r="G924" s="7"/>
      <c r="I924" s="7"/>
      <c r="K924" s="7"/>
      <c r="M924" s="7"/>
    </row>
    <row r="925" spans="2:13" ht="14.25" customHeight="1" x14ac:dyDescent="0.3">
      <c r="B925" s="4"/>
      <c r="C925" s="5"/>
      <c r="D925" s="6"/>
      <c r="E925" s="7"/>
      <c r="G925" s="7"/>
      <c r="I925" s="7"/>
      <c r="K925" s="7"/>
      <c r="M925" s="7"/>
    </row>
    <row r="926" spans="2:13" ht="14.25" customHeight="1" x14ac:dyDescent="0.3">
      <c r="B926" s="4"/>
      <c r="C926" s="5"/>
      <c r="D926" s="6"/>
      <c r="E926" s="7"/>
      <c r="G926" s="7"/>
      <c r="I926" s="7"/>
      <c r="K926" s="7"/>
      <c r="M926" s="7"/>
    </row>
    <row r="927" spans="2:13" ht="14.25" customHeight="1" x14ac:dyDescent="0.3">
      <c r="B927" s="4"/>
      <c r="C927" s="5"/>
      <c r="D927" s="6"/>
      <c r="E927" s="7"/>
      <c r="G927" s="7"/>
      <c r="I927" s="7"/>
      <c r="K927" s="7"/>
      <c r="M927" s="7"/>
    </row>
    <row r="928" spans="2:13" ht="14.25" customHeight="1" x14ac:dyDescent="0.3">
      <c r="B928" s="4"/>
      <c r="C928" s="5"/>
      <c r="D928" s="6"/>
      <c r="E928" s="7"/>
      <c r="G928" s="7"/>
      <c r="I928" s="7"/>
      <c r="K928" s="7"/>
      <c r="M928" s="7"/>
    </row>
    <row r="929" spans="2:13" ht="14.25" customHeight="1" x14ac:dyDescent="0.3">
      <c r="B929" s="4"/>
      <c r="C929" s="5"/>
      <c r="D929" s="6"/>
      <c r="E929" s="7"/>
      <c r="G929" s="7"/>
      <c r="I929" s="7"/>
      <c r="K929" s="7"/>
      <c r="M929" s="7"/>
    </row>
    <row r="930" spans="2:13" ht="14.25" customHeight="1" x14ac:dyDescent="0.3">
      <c r="B930" s="4"/>
      <c r="C930" s="5"/>
      <c r="D930" s="6"/>
      <c r="E930" s="7"/>
      <c r="G930" s="7"/>
      <c r="I930" s="7"/>
      <c r="K930" s="7"/>
      <c r="M930" s="7"/>
    </row>
    <row r="931" spans="2:13" ht="14.25" customHeight="1" x14ac:dyDescent="0.3">
      <c r="B931" s="4"/>
      <c r="C931" s="5"/>
      <c r="D931" s="6"/>
      <c r="E931" s="7"/>
      <c r="G931" s="7"/>
      <c r="I931" s="7"/>
      <c r="K931" s="7"/>
      <c r="M931" s="7"/>
    </row>
    <row r="932" spans="2:13" ht="14.25" customHeight="1" x14ac:dyDescent="0.3">
      <c r="B932" s="4"/>
      <c r="C932" s="5"/>
      <c r="D932" s="6"/>
      <c r="E932" s="7"/>
      <c r="G932" s="7"/>
      <c r="I932" s="7"/>
      <c r="K932" s="7"/>
      <c r="M932" s="7"/>
    </row>
    <row r="933" spans="2:13" ht="14.25" customHeight="1" x14ac:dyDescent="0.3">
      <c r="B933" s="4"/>
      <c r="C933" s="5"/>
      <c r="D933" s="6"/>
      <c r="E933" s="7"/>
      <c r="G933" s="7"/>
      <c r="I933" s="7"/>
      <c r="K933" s="7"/>
      <c r="M933" s="7"/>
    </row>
    <row r="934" spans="2:13" ht="14.25" customHeight="1" x14ac:dyDescent="0.3">
      <c r="B934" s="4"/>
      <c r="C934" s="5"/>
      <c r="D934" s="6"/>
      <c r="E934" s="7"/>
      <c r="G934" s="7"/>
      <c r="I934" s="7"/>
      <c r="K934" s="7"/>
      <c r="M934" s="7"/>
    </row>
    <row r="935" spans="2:13" ht="14.25" customHeight="1" x14ac:dyDescent="0.3">
      <c r="B935" s="4"/>
      <c r="C935" s="5"/>
      <c r="D935" s="6"/>
      <c r="E935" s="7"/>
      <c r="G935" s="7"/>
      <c r="I935" s="7"/>
      <c r="K935" s="7"/>
      <c r="M935" s="7"/>
    </row>
    <row r="936" spans="2:13" ht="14.25" customHeight="1" x14ac:dyDescent="0.3">
      <c r="B936" s="4"/>
      <c r="C936" s="5"/>
      <c r="D936" s="6"/>
      <c r="E936" s="7"/>
      <c r="G936" s="7"/>
      <c r="I936" s="7"/>
      <c r="K936" s="7"/>
      <c r="M936" s="7"/>
    </row>
    <row r="937" spans="2:13" ht="14.25" customHeight="1" x14ac:dyDescent="0.3">
      <c r="B937" s="4"/>
      <c r="C937" s="5"/>
      <c r="D937" s="6"/>
      <c r="E937" s="7"/>
      <c r="G937" s="7"/>
      <c r="I937" s="7"/>
      <c r="K937" s="7"/>
      <c r="M937" s="7"/>
    </row>
    <row r="938" spans="2:13" ht="14.25" customHeight="1" x14ac:dyDescent="0.3">
      <c r="B938" s="4"/>
      <c r="C938" s="5"/>
      <c r="D938" s="6"/>
      <c r="E938" s="7"/>
      <c r="G938" s="7"/>
      <c r="I938" s="7"/>
      <c r="K938" s="7"/>
      <c r="M938" s="7"/>
    </row>
    <row r="939" spans="2:13" ht="14.25" customHeight="1" x14ac:dyDescent="0.3">
      <c r="B939" s="4"/>
      <c r="C939" s="5"/>
      <c r="D939" s="6"/>
      <c r="E939" s="7"/>
      <c r="G939" s="7"/>
      <c r="I939" s="7"/>
      <c r="K939" s="7"/>
      <c r="M939" s="7"/>
    </row>
    <row r="940" spans="2:13" ht="14.25" customHeight="1" x14ac:dyDescent="0.3">
      <c r="B940" s="4"/>
      <c r="C940" s="5"/>
      <c r="D940" s="6"/>
      <c r="E940" s="7"/>
      <c r="G940" s="7"/>
      <c r="I940" s="7"/>
      <c r="K940" s="7"/>
      <c r="M940" s="7"/>
    </row>
    <row r="941" spans="2:13" ht="14.25" customHeight="1" x14ac:dyDescent="0.3">
      <c r="B941" s="4"/>
      <c r="C941" s="5"/>
      <c r="D941" s="6"/>
      <c r="E941" s="7"/>
      <c r="G941" s="7"/>
      <c r="I941" s="7"/>
      <c r="K941" s="7"/>
      <c r="M941" s="7"/>
    </row>
    <row r="942" spans="2:13" ht="14.25" customHeight="1" x14ac:dyDescent="0.3">
      <c r="B942" s="4"/>
      <c r="C942" s="5"/>
      <c r="D942" s="6"/>
      <c r="E942" s="7"/>
      <c r="G942" s="7"/>
      <c r="I942" s="7"/>
      <c r="K942" s="7"/>
      <c r="M942" s="7"/>
    </row>
    <row r="943" spans="2:13" ht="14.25" customHeight="1" x14ac:dyDescent="0.3">
      <c r="B943" s="4"/>
      <c r="C943" s="5"/>
      <c r="D943" s="6"/>
      <c r="E943" s="7"/>
      <c r="G943" s="7"/>
      <c r="I943" s="7"/>
      <c r="K943" s="7"/>
      <c r="M943" s="7"/>
    </row>
    <row r="944" spans="2:13" ht="14.25" customHeight="1" x14ac:dyDescent="0.3">
      <c r="B944" s="4"/>
      <c r="C944" s="5"/>
      <c r="D944" s="6"/>
      <c r="E944" s="7"/>
      <c r="G944" s="7"/>
      <c r="I944" s="7"/>
      <c r="K944" s="7"/>
      <c r="M944" s="7"/>
    </row>
    <row r="945" spans="2:13" ht="14.25" customHeight="1" x14ac:dyDescent="0.3">
      <c r="B945" s="4"/>
      <c r="C945" s="5"/>
      <c r="D945" s="6"/>
      <c r="E945" s="7"/>
      <c r="G945" s="7"/>
      <c r="I945" s="7"/>
      <c r="K945" s="7"/>
      <c r="M945" s="7"/>
    </row>
    <row r="946" spans="2:13" ht="14.25" customHeight="1" x14ac:dyDescent="0.3">
      <c r="B946" s="4"/>
      <c r="C946" s="5"/>
      <c r="D946" s="6"/>
      <c r="E946" s="7"/>
      <c r="G946" s="7"/>
      <c r="I946" s="7"/>
      <c r="K946" s="7"/>
      <c r="M946" s="7"/>
    </row>
    <row r="947" spans="2:13" ht="14.25" customHeight="1" x14ac:dyDescent="0.3">
      <c r="B947" s="4"/>
      <c r="C947" s="5"/>
      <c r="D947" s="6"/>
      <c r="E947" s="7"/>
      <c r="G947" s="7"/>
      <c r="I947" s="7"/>
      <c r="K947" s="7"/>
      <c r="M947" s="7"/>
    </row>
    <row r="948" spans="2:13" ht="14.25" customHeight="1" x14ac:dyDescent="0.3">
      <c r="B948" s="4"/>
      <c r="C948" s="5"/>
      <c r="D948" s="6"/>
      <c r="E948" s="7"/>
      <c r="G948" s="7"/>
      <c r="I948" s="7"/>
      <c r="K948" s="7"/>
      <c r="M948" s="7"/>
    </row>
    <row r="949" spans="2:13" ht="14.25" customHeight="1" x14ac:dyDescent="0.3">
      <c r="B949" s="4"/>
      <c r="C949" s="5"/>
      <c r="D949" s="6"/>
      <c r="E949" s="7"/>
      <c r="G949" s="7"/>
      <c r="I949" s="7"/>
      <c r="K949" s="7"/>
      <c r="M949" s="7"/>
    </row>
    <row r="950" spans="2:13" ht="14.25" customHeight="1" x14ac:dyDescent="0.3">
      <c r="B950" s="4"/>
      <c r="C950" s="5"/>
      <c r="D950" s="6"/>
      <c r="E950" s="7"/>
      <c r="G950" s="7"/>
      <c r="I950" s="7"/>
      <c r="K950" s="7"/>
      <c r="M950" s="7"/>
    </row>
    <row r="951" spans="2:13" ht="14.25" customHeight="1" x14ac:dyDescent="0.3">
      <c r="B951" s="4"/>
      <c r="C951" s="5"/>
      <c r="D951" s="6"/>
      <c r="E951" s="7"/>
      <c r="G951" s="7"/>
      <c r="I951" s="7"/>
      <c r="K951" s="7"/>
      <c r="M951" s="7"/>
    </row>
    <row r="952" spans="2:13" ht="14.25" customHeight="1" x14ac:dyDescent="0.3">
      <c r="B952" s="4"/>
      <c r="C952" s="5"/>
      <c r="D952" s="6"/>
      <c r="E952" s="7"/>
      <c r="G952" s="7"/>
      <c r="I952" s="7"/>
      <c r="K952" s="7"/>
      <c r="M952" s="7"/>
    </row>
    <row r="953" spans="2:13" ht="14.25" customHeight="1" x14ac:dyDescent="0.3">
      <c r="B953" s="4"/>
      <c r="C953" s="5"/>
      <c r="D953" s="6"/>
      <c r="E953" s="7"/>
      <c r="G953" s="7"/>
      <c r="I953" s="7"/>
      <c r="K953" s="7"/>
      <c r="M953" s="7"/>
    </row>
    <row r="954" spans="2:13" ht="14.25" customHeight="1" x14ac:dyDescent="0.3">
      <c r="B954" s="4"/>
      <c r="C954" s="5"/>
      <c r="D954" s="6"/>
      <c r="E954" s="7"/>
      <c r="G954" s="7"/>
      <c r="I954" s="7"/>
      <c r="K954" s="7"/>
      <c r="M954" s="7"/>
    </row>
    <row r="955" spans="2:13" ht="14.25" customHeight="1" x14ac:dyDescent="0.3">
      <c r="B955" s="4"/>
      <c r="C955" s="5"/>
      <c r="D955" s="6"/>
      <c r="E955" s="7"/>
      <c r="G955" s="7"/>
      <c r="I955" s="7"/>
      <c r="K955" s="7"/>
      <c r="M955" s="7"/>
    </row>
    <row r="956" spans="2:13" ht="14.25" customHeight="1" x14ac:dyDescent="0.3">
      <c r="B956" s="4"/>
      <c r="C956" s="5"/>
      <c r="D956" s="6"/>
      <c r="E956" s="7"/>
      <c r="G956" s="7"/>
      <c r="I956" s="7"/>
      <c r="K956" s="7"/>
      <c r="M956" s="7"/>
    </row>
    <row r="957" spans="2:13" ht="14.25" customHeight="1" x14ac:dyDescent="0.3">
      <c r="B957" s="4"/>
      <c r="C957" s="5"/>
      <c r="D957" s="6"/>
      <c r="E957" s="7"/>
      <c r="G957" s="7"/>
      <c r="I957" s="7"/>
      <c r="K957" s="7"/>
      <c r="M957" s="7"/>
    </row>
    <row r="958" spans="2:13" ht="14.25" customHeight="1" x14ac:dyDescent="0.3">
      <c r="B958" s="4"/>
      <c r="C958" s="5"/>
      <c r="D958" s="6"/>
      <c r="E958" s="7"/>
      <c r="G958" s="7"/>
      <c r="I958" s="7"/>
      <c r="K958" s="7"/>
      <c r="M958" s="7"/>
    </row>
    <row r="959" spans="2:13" ht="14.25" customHeight="1" x14ac:dyDescent="0.3">
      <c r="B959" s="4"/>
      <c r="C959" s="5"/>
      <c r="D959" s="6"/>
      <c r="E959" s="7"/>
      <c r="G959" s="7"/>
      <c r="I959" s="7"/>
      <c r="K959" s="7"/>
      <c r="M959" s="7"/>
    </row>
    <row r="960" spans="2:13" ht="14.25" customHeight="1" x14ac:dyDescent="0.3">
      <c r="B960" s="4"/>
      <c r="C960" s="5"/>
      <c r="D960" s="6"/>
      <c r="E960" s="7"/>
      <c r="G960" s="7"/>
      <c r="I960" s="7"/>
      <c r="K960" s="7"/>
      <c r="M960" s="7"/>
    </row>
    <row r="961" spans="2:13" ht="14.25" customHeight="1" x14ac:dyDescent="0.3">
      <c r="B961" s="4"/>
      <c r="C961" s="5"/>
      <c r="D961" s="6"/>
      <c r="E961" s="7"/>
      <c r="G961" s="7"/>
      <c r="I961" s="7"/>
      <c r="K961" s="7"/>
      <c r="M961" s="7"/>
    </row>
    <row r="962" spans="2:13" ht="14.25" customHeight="1" x14ac:dyDescent="0.3">
      <c r="B962" s="4"/>
      <c r="C962" s="5"/>
      <c r="D962" s="6"/>
      <c r="E962" s="7"/>
      <c r="G962" s="7"/>
      <c r="I962" s="7"/>
      <c r="K962" s="7"/>
      <c r="M962" s="7"/>
    </row>
    <row r="963" spans="2:13" ht="14.25" customHeight="1" x14ac:dyDescent="0.3">
      <c r="B963" s="4"/>
      <c r="C963" s="5"/>
      <c r="D963" s="6"/>
      <c r="E963" s="7"/>
      <c r="G963" s="7"/>
      <c r="I963" s="7"/>
      <c r="K963" s="7"/>
      <c r="M963" s="7"/>
    </row>
    <row r="964" spans="2:13" ht="14.25" customHeight="1" x14ac:dyDescent="0.3">
      <c r="B964" s="4"/>
      <c r="C964" s="5"/>
      <c r="D964" s="6"/>
      <c r="E964" s="7"/>
      <c r="G964" s="7"/>
      <c r="I964" s="7"/>
      <c r="K964" s="7"/>
      <c r="M964" s="7"/>
    </row>
    <row r="965" spans="2:13" ht="14.25" customHeight="1" x14ac:dyDescent="0.3">
      <c r="B965" s="4"/>
      <c r="C965" s="5"/>
      <c r="D965" s="6"/>
      <c r="E965" s="7"/>
      <c r="G965" s="7"/>
      <c r="I965" s="7"/>
      <c r="K965" s="7"/>
      <c r="M965" s="7"/>
    </row>
    <row r="966" spans="2:13" ht="14.25" customHeight="1" x14ac:dyDescent="0.3">
      <c r="B966" s="4"/>
      <c r="C966" s="5"/>
      <c r="D966" s="6"/>
      <c r="E966" s="7"/>
      <c r="G966" s="7"/>
      <c r="I966" s="7"/>
      <c r="K966" s="7"/>
      <c r="M966" s="7"/>
    </row>
    <row r="967" spans="2:13" ht="14.25" customHeight="1" x14ac:dyDescent="0.3">
      <c r="B967" s="4"/>
      <c r="C967" s="5"/>
      <c r="D967" s="6"/>
      <c r="E967" s="7"/>
      <c r="G967" s="7"/>
      <c r="I967" s="7"/>
      <c r="K967" s="7"/>
      <c r="M967" s="7"/>
    </row>
    <row r="968" spans="2:13" ht="14.25" customHeight="1" x14ac:dyDescent="0.3">
      <c r="B968" s="4"/>
      <c r="C968" s="5"/>
      <c r="D968" s="6"/>
      <c r="E968" s="7"/>
      <c r="G968" s="7"/>
      <c r="I968" s="7"/>
      <c r="K968" s="7"/>
      <c r="M968" s="7"/>
    </row>
    <row r="969" spans="2:13" ht="14.25" customHeight="1" x14ac:dyDescent="0.3">
      <c r="B969" s="4"/>
      <c r="C969" s="5"/>
      <c r="D969" s="6"/>
      <c r="E969" s="7"/>
      <c r="G969" s="7"/>
      <c r="I969" s="7"/>
      <c r="K969" s="7"/>
      <c r="M969" s="7"/>
    </row>
    <row r="970" spans="2:13" ht="14.25" customHeight="1" x14ac:dyDescent="0.3">
      <c r="B970" s="4"/>
      <c r="C970" s="5"/>
      <c r="D970" s="6"/>
      <c r="E970" s="7"/>
      <c r="G970" s="7"/>
      <c r="I970" s="7"/>
      <c r="K970" s="7"/>
      <c r="M970" s="7"/>
    </row>
    <row r="971" spans="2:13" ht="14.25" customHeight="1" x14ac:dyDescent="0.3">
      <c r="B971" s="4"/>
      <c r="C971" s="5"/>
      <c r="D971" s="6"/>
      <c r="E971" s="7"/>
      <c r="G971" s="7"/>
      <c r="I971" s="7"/>
      <c r="K971" s="7"/>
      <c r="M971" s="7"/>
    </row>
    <row r="972" spans="2:13" ht="14.25" customHeight="1" x14ac:dyDescent="0.3">
      <c r="B972" s="4"/>
      <c r="C972" s="5"/>
      <c r="D972" s="6"/>
      <c r="E972" s="7"/>
      <c r="G972" s="7"/>
      <c r="I972" s="7"/>
      <c r="K972" s="7"/>
      <c r="M972" s="7"/>
    </row>
    <row r="973" spans="2:13" ht="14.25" customHeight="1" x14ac:dyDescent="0.3">
      <c r="B973" s="4"/>
      <c r="C973" s="5"/>
      <c r="D973" s="6"/>
      <c r="E973" s="7"/>
      <c r="G973" s="7"/>
      <c r="I973" s="7"/>
      <c r="K973" s="7"/>
      <c r="M973" s="7"/>
    </row>
    <row r="974" spans="2:13" ht="14.25" customHeight="1" x14ac:dyDescent="0.3">
      <c r="B974" s="4"/>
      <c r="C974" s="5"/>
      <c r="D974" s="6"/>
      <c r="E974" s="7"/>
      <c r="G974" s="7"/>
      <c r="I974" s="7"/>
      <c r="K974" s="7"/>
      <c r="M974" s="7"/>
    </row>
    <row r="975" spans="2:13" ht="14.25" customHeight="1" x14ac:dyDescent="0.3">
      <c r="B975" s="4"/>
      <c r="C975" s="5"/>
      <c r="D975" s="6"/>
      <c r="E975" s="7"/>
      <c r="G975" s="7"/>
      <c r="I975" s="7"/>
      <c r="K975" s="7"/>
      <c r="M975" s="7"/>
    </row>
    <row r="976" spans="2:13" ht="14.25" customHeight="1" x14ac:dyDescent="0.3">
      <c r="B976" s="4"/>
      <c r="C976" s="5"/>
      <c r="D976" s="6"/>
      <c r="E976" s="7"/>
      <c r="G976" s="7"/>
      <c r="I976" s="7"/>
      <c r="K976" s="7"/>
      <c r="M976" s="7"/>
    </row>
    <row r="977" spans="2:13" ht="14.25" customHeight="1" x14ac:dyDescent="0.3">
      <c r="B977" s="4"/>
      <c r="C977" s="5"/>
      <c r="D977" s="6"/>
      <c r="E977" s="7"/>
      <c r="G977" s="7"/>
      <c r="I977" s="7"/>
      <c r="K977" s="7"/>
      <c r="M977" s="7"/>
    </row>
    <row r="978" spans="2:13" ht="14.25" customHeight="1" x14ac:dyDescent="0.3">
      <c r="B978" s="4"/>
      <c r="C978" s="5"/>
      <c r="D978" s="6"/>
      <c r="E978" s="7"/>
      <c r="G978" s="7"/>
      <c r="I978" s="7"/>
      <c r="K978" s="7"/>
      <c r="M978" s="7"/>
    </row>
    <row r="979" spans="2:13" ht="14.25" customHeight="1" x14ac:dyDescent="0.3">
      <c r="B979" s="4"/>
      <c r="C979" s="5"/>
      <c r="D979" s="6"/>
      <c r="E979" s="7"/>
      <c r="G979" s="7"/>
      <c r="I979" s="7"/>
      <c r="K979" s="7"/>
      <c r="M979" s="7"/>
    </row>
    <row r="980" spans="2:13" ht="14.25" customHeight="1" x14ac:dyDescent="0.3">
      <c r="B980" s="4"/>
      <c r="C980" s="5"/>
      <c r="D980" s="6"/>
      <c r="E980" s="7"/>
      <c r="G980" s="7"/>
      <c r="I980" s="7"/>
      <c r="K980" s="7"/>
      <c r="M980" s="7"/>
    </row>
    <row r="981" spans="2:13" ht="14.25" customHeight="1" x14ac:dyDescent="0.3">
      <c r="B981" s="4"/>
      <c r="C981" s="5"/>
      <c r="D981" s="6"/>
      <c r="E981" s="7"/>
      <c r="G981" s="7"/>
      <c r="I981" s="7"/>
      <c r="K981" s="7"/>
      <c r="M981" s="7"/>
    </row>
    <row r="982" spans="2:13" ht="14.25" customHeight="1" x14ac:dyDescent="0.3">
      <c r="B982" s="4"/>
      <c r="C982" s="5"/>
      <c r="D982" s="6"/>
      <c r="E982" s="7"/>
      <c r="G982" s="7"/>
      <c r="I982" s="7"/>
      <c r="K982" s="7"/>
      <c r="M982" s="7"/>
    </row>
    <row r="983" spans="2:13" ht="14.25" customHeight="1" x14ac:dyDescent="0.3">
      <c r="B983" s="4"/>
      <c r="C983" s="5"/>
      <c r="D983" s="6"/>
      <c r="E983" s="7"/>
      <c r="G983" s="7"/>
      <c r="I983" s="7"/>
      <c r="K983" s="7"/>
      <c r="M983" s="7"/>
    </row>
    <row r="984" spans="2:13" ht="14.25" customHeight="1" x14ac:dyDescent="0.3">
      <c r="B984" s="4"/>
      <c r="C984" s="5"/>
      <c r="D984" s="6"/>
      <c r="E984" s="7"/>
      <c r="G984" s="7"/>
      <c r="I984" s="7"/>
      <c r="K984" s="7"/>
      <c r="M984" s="7"/>
    </row>
    <row r="985" spans="2:13" ht="14.25" customHeight="1" x14ac:dyDescent="0.3">
      <c r="B985" s="4"/>
      <c r="C985" s="5"/>
      <c r="D985" s="6"/>
      <c r="E985" s="7"/>
      <c r="G985" s="7"/>
      <c r="I985" s="7"/>
      <c r="K985" s="7"/>
      <c r="M985" s="7"/>
    </row>
    <row r="986" spans="2:13" ht="14.25" customHeight="1" x14ac:dyDescent="0.3">
      <c r="B986" s="4"/>
      <c r="C986" s="5"/>
      <c r="D986" s="6"/>
      <c r="E986" s="7"/>
      <c r="G986" s="7"/>
      <c r="I986" s="7"/>
      <c r="K986" s="7"/>
      <c r="M986" s="7"/>
    </row>
    <row r="987" spans="2:13" ht="14.25" customHeight="1" x14ac:dyDescent="0.3">
      <c r="B987" s="4"/>
      <c r="C987" s="5"/>
      <c r="D987" s="6"/>
      <c r="E987" s="7"/>
      <c r="G987" s="7"/>
      <c r="I987" s="7"/>
      <c r="K987" s="7"/>
      <c r="M987" s="7"/>
    </row>
    <row r="988" spans="2:13" ht="14.25" customHeight="1" x14ac:dyDescent="0.3">
      <c r="B988" s="4"/>
      <c r="C988" s="5"/>
      <c r="D988" s="6"/>
      <c r="E988" s="7"/>
      <c r="G988" s="7"/>
      <c r="I988" s="7"/>
      <c r="K988" s="7"/>
      <c r="M988" s="7"/>
    </row>
    <row r="989" spans="2:13" ht="14.25" customHeight="1" x14ac:dyDescent="0.3">
      <c r="B989" s="4"/>
      <c r="C989" s="5"/>
      <c r="D989" s="6"/>
      <c r="E989" s="7"/>
      <c r="G989" s="7"/>
      <c r="I989" s="7"/>
      <c r="K989" s="7"/>
      <c r="M989" s="7"/>
    </row>
    <row r="990" spans="2:13" ht="14.25" customHeight="1" x14ac:dyDescent="0.3">
      <c r="B990" s="4"/>
      <c r="C990" s="5"/>
      <c r="D990" s="6"/>
      <c r="E990" s="7"/>
      <c r="G990" s="7"/>
      <c r="I990" s="7"/>
      <c r="K990" s="7"/>
      <c r="M990" s="7"/>
    </row>
    <row r="991" spans="2:13" ht="14.25" customHeight="1" x14ac:dyDescent="0.3">
      <c r="B991" s="4"/>
      <c r="C991" s="5"/>
      <c r="D991" s="6"/>
      <c r="E991" s="7"/>
      <c r="G991" s="7"/>
      <c r="I991" s="7"/>
      <c r="K991" s="7"/>
      <c r="M991" s="7"/>
    </row>
    <row r="992" spans="2:13" ht="14.25" customHeight="1" x14ac:dyDescent="0.3">
      <c r="B992" s="4"/>
      <c r="C992" s="5"/>
      <c r="D992" s="6"/>
      <c r="E992" s="7"/>
      <c r="G992" s="7"/>
      <c r="I992" s="7"/>
      <c r="K992" s="7"/>
      <c r="M992" s="7"/>
    </row>
    <row r="993" spans="2:13" ht="14.4" x14ac:dyDescent="0.3">
      <c r="B993" s="4"/>
      <c r="C993" s="5"/>
      <c r="D993" s="6"/>
      <c r="E993" s="7"/>
      <c r="G993" s="7"/>
      <c r="I993" s="7"/>
      <c r="K993" s="7"/>
      <c r="M993" s="7"/>
    </row>
    <row r="994" spans="2:13" ht="14.4" x14ac:dyDescent="0.3">
      <c r="B994" s="4"/>
      <c r="C994" s="5"/>
      <c r="D994" s="6"/>
      <c r="E994" s="7"/>
      <c r="G994" s="7"/>
      <c r="I994" s="7"/>
      <c r="K994" s="7"/>
      <c r="M994" s="7"/>
    </row>
    <row r="995" spans="2:13" ht="14.4" x14ac:dyDescent="0.3">
      <c r="B995" s="4"/>
      <c r="C995" s="5"/>
      <c r="D995" s="6"/>
      <c r="E995" s="7"/>
      <c r="G995" s="7"/>
      <c r="I995" s="7"/>
      <c r="K995" s="7"/>
      <c r="M995" s="7"/>
    </row>
    <row r="996" spans="2:13" ht="14.4" x14ac:dyDescent="0.3">
      <c r="B996" s="4"/>
      <c r="C996" s="5"/>
      <c r="D996" s="6"/>
      <c r="E996" s="7"/>
      <c r="G996" s="7"/>
      <c r="I996" s="7"/>
      <c r="K996" s="7"/>
      <c r="M996" s="7"/>
    </row>
    <row r="997" spans="2:13" ht="14.4" x14ac:dyDescent="0.3">
      <c r="B997" s="4"/>
      <c r="C997" s="5"/>
      <c r="D997" s="6"/>
      <c r="E997" s="7"/>
      <c r="G997" s="7"/>
      <c r="I997" s="7"/>
      <c r="K997" s="7"/>
      <c r="M997" s="7"/>
    </row>
    <row r="998" spans="2:13" ht="14.4" x14ac:dyDescent="0.3">
      <c r="B998" s="4"/>
      <c r="C998" s="5"/>
      <c r="D998" s="6"/>
      <c r="E998" s="7"/>
      <c r="G998" s="7"/>
      <c r="I998" s="7"/>
      <c r="K998" s="7"/>
      <c r="M998" s="7"/>
    </row>
    <row r="999" spans="2:13" ht="14.4" x14ac:dyDescent="0.3">
      <c r="B999" s="4"/>
      <c r="C999" s="5"/>
      <c r="D999" s="6"/>
      <c r="E999" s="7"/>
      <c r="G999" s="7"/>
      <c r="I999" s="7"/>
      <c r="K999" s="7"/>
      <c r="M999" s="7"/>
    </row>
    <row r="1000" spans="2:13" ht="14.4" x14ac:dyDescent="0.3">
      <c r="B1000" s="4"/>
      <c r="C1000" s="5"/>
      <c r="D1000" s="6"/>
      <c r="E1000" s="7"/>
      <c r="G1000" s="7"/>
      <c r="I1000" s="7"/>
      <c r="K1000" s="7"/>
      <c r="M1000" s="7"/>
    </row>
    <row r="1001" spans="2:13" ht="14.4" x14ac:dyDescent="0.3">
      <c r="B1001" s="4"/>
      <c r="C1001" s="5"/>
      <c r="D1001" s="6"/>
      <c r="E1001" s="7"/>
      <c r="G1001" s="7"/>
      <c r="I1001" s="7"/>
      <c r="K1001" s="7"/>
      <c r="M1001" s="7"/>
    </row>
  </sheetData>
  <conditionalFormatting sqref="F1:F36 F47:F1048576">
    <cfRule type="duplicateValues" dxfId="12899" priority="1"/>
  </conditionalFormatting>
  <dataValidations disablePrompts="1" count="1">
    <dataValidation type="list" allowBlank="1" showInputMessage="1" showErrorMessage="1" sqref="A20" xr:uid="{479A2B4C-BA35-43E9-B291-CD0DE4809AE0}">
      <formula1>$A$20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>
    <tabColor rgb="FF00B050"/>
  </sheetPr>
  <dimension ref="A1:AB1043698"/>
  <sheetViews>
    <sheetView tabSelected="1" zoomScale="82" zoomScaleNormal="82" workbookViewId="0">
      <pane xSplit="5" ySplit="1" topLeftCell="F2" activePane="bottomRight" state="frozen"/>
      <selection activeCell="E1116" sqref="E1116"/>
      <selection pane="topRight" activeCell="E1116" sqref="E1116"/>
      <selection pane="bottomLeft" activeCell="E1116" sqref="E1116"/>
      <selection pane="bottomRight" activeCell="D21" sqref="D21"/>
    </sheetView>
  </sheetViews>
  <sheetFormatPr baseColWidth="10" defaultColWidth="12.33203125" defaultRowHeight="15" customHeight="1" x14ac:dyDescent="0.3"/>
  <cols>
    <col min="1" max="1" width="6.109375" style="61" customWidth="1"/>
    <col min="2" max="2" width="15" style="62" customWidth="1"/>
    <col min="3" max="3" width="57.44140625" bestFit="1" customWidth="1"/>
    <col min="4" max="4" width="11.44140625" style="23" bestFit="1" customWidth="1"/>
    <col min="5" max="5" width="10.109375" style="23" customWidth="1"/>
    <col min="6" max="6" width="14.44140625" style="23" bestFit="1" customWidth="1"/>
    <col min="7" max="7" width="11.88671875" style="63" customWidth="1"/>
    <col min="8" max="8" width="42.33203125" style="63" bestFit="1" customWidth="1"/>
    <col min="9" max="9" width="12.33203125" style="50" customWidth="1"/>
    <col min="10" max="10" width="12.6640625" style="63" customWidth="1"/>
    <col min="11" max="11" width="23.44140625" style="62" bestFit="1" customWidth="1"/>
    <col min="12" max="12" width="15.6640625" style="63" customWidth="1"/>
    <col min="13" max="13" width="19.88671875" style="39" customWidth="1"/>
    <col min="14" max="14" width="18.109375" style="64" customWidth="1"/>
    <col min="15" max="15" width="13.33203125" customWidth="1"/>
    <col min="16" max="16" width="13.109375" style="39" customWidth="1"/>
    <col min="17" max="17" width="16.109375" style="63" bestFit="1" customWidth="1"/>
    <col min="18" max="18" width="18.6640625" style="63" customWidth="1"/>
    <col min="19" max="19" width="18.6640625" style="39" customWidth="1"/>
    <col min="20" max="20" width="11.33203125" style="50" customWidth="1"/>
    <col min="21" max="21" width="17.33203125" style="50" customWidth="1"/>
    <col min="22" max="22" width="14.33203125" style="63" customWidth="1"/>
    <col min="23" max="23" width="15.33203125" style="63" customWidth="1"/>
    <col min="24" max="24" width="10.33203125" style="50" customWidth="1"/>
    <col min="25" max="25" width="11.109375" style="50" customWidth="1"/>
    <col min="26" max="26" width="16.33203125" style="62" customWidth="1"/>
    <col min="27" max="27" width="9.33203125" style="62" customWidth="1"/>
    <col min="28" max="28" width="11.33203125" style="62" customWidth="1"/>
  </cols>
  <sheetData>
    <row r="1" spans="1:28" ht="14.4" x14ac:dyDescent="0.3">
      <c r="A1" s="60" t="s">
        <v>1</v>
      </c>
      <c r="B1" s="11" t="s">
        <v>2</v>
      </c>
      <c r="C1" s="32" t="s">
        <v>3</v>
      </c>
      <c r="D1" s="11" t="s">
        <v>4</v>
      </c>
      <c r="E1" s="11" t="s">
        <v>5</v>
      </c>
      <c r="F1" s="11" t="s">
        <v>1044</v>
      </c>
      <c r="G1" s="11" t="s">
        <v>331</v>
      </c>
      <c r="H1" s="11" t="s">
        <v>332</v>
      </c>
      <c r="I1" s="51" t="s">
        <v>391</v>
      </c>
      <c r="J1" s="11" t="s">
        <v>374</v>
      </c>
      <c r="K1" s="11" t="s">
        <v>759</v>
      </c>
      <c r="L1" s="12" t="s">
        <v>7</v>
      </c>
      <c r="M1" s="37" t="s">
        <v>1037</v>
      </c>
      <c r="N1" s="12" t="s">
        <v>8</v>
      </c>
      <c r="O1" s="31" t="s">
        <v>84</v>
      </c>
      <c r="P1" s="40" t="s">
        <v>9</v>
      </c>
      <c r="Q1" s="11" t="s">
        <v>452</v>
      </c>
      <c r="R1" s="13" t="s">
        <v>10</v>
      </c>
      <c r="S1" s="40" t="s">
        <v>1038</v>
      </c>
      <c r="T1" s="40" t="s">
        <v>11</v>
      </c>
      <c r="U1" s="40" t="s">
        <v>12</v>
      </c>
      <c r="V1" s="11" t="s">
        <v>13</v>
      </c>
      <c r="W1" s="13" t="s">
        <v>1039</v>
      </c>
      <c r="X1" s="13" t="s">
        <v>14</v>
      </c>
      <c r="Y1" s="13" t="s">
        <v>15</v>
      </c>
      <c r="Z1" s="11" t="s">
        <v>392</v>
      </c>
      <c r="AA1" s="11" t="s">
        <v>1036</v>
      </c>
      <c r="AB1" s="11" t="s">
        <v>1117</v>
      </c>
    </row>
    <row r="2" spans="1:28" ht="14.4" x14ac:dyDescent="0.3">
      <c r="A2" s="20">
        <v>1</v>
      </c>
      <c r="B2" s="24">
        <v>16654035</v>
      </c>
      <c r="C2" s="19" t="s">
        <v>614</v>
      </c>
      <c r="D2" s="19">
        <v>85276789</v>
      </c>
      <c r="E2" s="20">
        <v>72113719</v>
      </c>
      <c r="F2" s="20" t="s">
        <v>1046</v>
      </c>
      <c r="G2" s="19" t="s">
        <v>333</v>
      </c>
      <c r="H2" s="19" t="s">
        <v>335</v>
      </c>
      <c r="I2" s="20">
        <f>IFERROR(VLOOKUP(H2,OBSERVACIÓN!F$2:G$151,2,0),"")</f>
        <v>65</v>
      </c>
      <c r="J2" s="19"/>
      <c r="K2" s="19" t="s">
        <v>16</v>
      </c>
      <c r="L2" s="21" t="s">
        <v>17</v>
      </c>
      <c r="M2" s="38">
        <v>45487</v>
      </c>
      <c r="N2" s="21" t="s">
        <v>18</v>
      </c>
      <c r="O2" s="26" t="s">
        <v>330</v>
      </c>
      <c r="P2" s="38">
        <v>45500</v>
      </c>
      <c r="Q2" s="19" t="s">
        <v>701</v>
      </c>
      <c r="R2" s="19" t="s">
        <v>870</v>
      </c>
      <c r="S2" s="38">
        <v>45485</v>
      </c>
      <c r="T2" s="79">
        <f t="shared" ref="T2:T11" si="0">IF(ISNUMBER(S2)=TRUE, MONTH(S2), " ")</f>
        <v>7</v>
      </c>
      <c r="U2" s="79">
        <f t="shared" ref="U2:U11" si="1">IF(ISNUMBER(M2)=TRUE, MONTH(M2), " ")</f>
        <v>7</v>
      </c>
      <c r="V2" s="19">
        <v>942078232</v>
      </c>
      <c r="W2" s="19" t="s">
        <v>20</v>
      </c>
      <c r="X2" s="79">
        <f>IF(ISNUMBER(S2)=TRUE, YEAR(S2), " ")</f>
        <v>2024</v>
      </c>
      <c r="Y2" s="79">
        <f>IF(ISNUMBER(M2)=TRUE, YEAR(M2), " ")</f>
        <v>2024</v>
      </c>
      <c r="Z2" s="65" t="s">
        <v>393</v>
      </c>
      <c r="AA2" s="65" t="s">
        <v>538</v>
      </c>
      <c r="AB2" s="65" t="s">
        <v>1115</v>
      </c>
    </row>
    <row r="3" spans="1:28" ht="14.4" x14ac:dyDescent="0.3">
      <c r="A3" s="20">
        <f>A2+1</f>
        <v>2</v>
      </c>
      <c r="B3" s="24">
        <v>76047253</v>
      </c>
      <c r="C3" s="19" t="s">
        <v>615</v>
      </c>
      <c r="D3" s="19">
        <v>85397069</v>
      </c>
      <c r="E3" s="20">
        <v>72162975</v>
      </c>
      <c r="F3" s="20" t="s">
        <v>1046</v>
      </c>
      <c r="G3" s="19" t="s">
        <v>333</v>
      </c>
      <c r="H3" s="19" t="s">
        <v>335</v>
      </c>
      <c r="I3" s="20">
        <f>IFERROR(VLOOKUP(H3,OBSERVACIÓN!F$2:G$151,2,0),"")</f>
        <v>65</v>
      </c>
      <c r="J3" s="19"/>
      <c r="K3" s="19" t="s">
        <v>16</v>
      </c>
      <c r="L3" s="21" t="s">
        <v>17</v>
      </c>
      <c r="M3" s="38">
        <v>45490</v>
      </c>
      <c r="N3" s="21" t="s">
        <v>18</v>
      </c>
      <c r="O3" s="26" t="s">
        <v>330</v>
      </c>
      <c r="P3" s="38">
        <v>45498</v>
      </c>
      <c r="Q3" s="19" t="s">
        <v>701</v>
      </c>
      <c r="R3" s="19" t="s">
        <v>870</v>
      </c>
      <c r="S3" s="38">
        <v>45489</v>
      </c>
      <c r="T3" s="79">
        <f t="shared" si="0"/>
        <v>7</v>
      </c>
      <c r="U3" s="79">
        <f t="shared" si="1"/>
        <v>7</v>
      </c>
      <c r="V3" s="19">
        <v>998043005</v>
      </c>
      <c r="W3" s="19" t="s">
        <v>22</v>
      </c>
      <c r="X3" s="79">
        <f t="shared" ref="X3:X11" si="2">IF(ISNUMBER(S3)=TRUE, YEAR(S3), " ")</f>
        <v>2024</v>
      </c>
      <c r="Y3" s="79">
        <f t="shared" ref="Y3:Y11" si="3">IF(ISNUMBER(M3)=TRUE, YEAR(M3), " ")</f>
        <v>2024</v>
      </c>
      <c r="Z3" s="65" t="s">
        <v>394</v>
      </c>
      <c r="AA3" s="65" t="s">
        <v>538</v>
      </c>
      <c r="AB3" s="65" t="s">
        <v>1115</v>
      </c>
    </row>
    <row r="4" spans="1:28" ht="15.75" customHeight="1" x14ac:dyDescent="0.3">
      <c r="A4" s="20">
        <f t="shared" ref="A4:A11" si="4">A3+1</f>
        <v>3</v>
      </c>
      <c r="B4" s="24">
        <v>75126726</v>
      </c>
      <c r="C4" s="19" t="s">
        <v>616</v>
      </c>
      <c r="D4" s="19">
        <v>85476765</v>
      </c>
      <c r="E4" s="20">
        <v>72203884</v>
      </c>
      <c r="F4" s="20" t="s">
        <v>1046</v>
      </c>
      <c r="G4" s="19" t="s">
        <v>333</v>
      </c>
      <c r="H4" s="19" t="s">
        <v>351</v>
      </c>
      <c r="I4" s="20">
        <f>IFERROR(VLOOKUP(H4,OBSERVACIÓN!F$2:G$151,2,0),"")</f>
        <v>135</v>
      </c>
      <c r="J4" s="19"/>
      <c r="K4" s="19" t="s">
        <v>16</v>
      </c>
      <c r="L4" s="21" t="s">
        <v>17</v>
      </c>
      <c r="M4" s="38">
        <v>45495</v>
      </c>
      <c r="N4" s="21" t="s">
        <v>18</v>
      </c>
      <c r="O4" s="26" t="s">
        <v>330</v>
      </c>
      <c r="P4" s="38">
        <v>45531</v>
      </c>
      <c r="Q4" s="19" t="s">
        <v>701</v>
      </c>
      <c r="R4" s="19" t="s">
        <v>870</v>
      </c>
      <c r="S4" s="38">
        <v>45491</v>
      </c>
      <c r="T4" s="79">
        <f t="shared" si="0"/>
        <v>7</v>
      </c>
      <c r="U4" s="79">
        <f t="shared" si="1"/>
        <v>7</v>
      </c>
      <c r="V4" s="19">
        <v>991005090</v>
      </c>
      <c r="W4" s="19" t="s">
        <v>24</v>
      </c>
      <c r="X4" s="79">
        <f t="shared" si="2"/>
        <v>2024</v>
      </c>
      <c r="Y4" s="79">
        <f t="shared" si="3"/>
        <v>2024</v>
      </c>
      <c r="Z4" s="65" t="s">
        <v>393</v>
      </c>
      <c r="AA4" s="65" t="s">
        <v>538</v>
      </c>
      <c r="AB4" s="65" t="s">
        <v>1115</v>
      </c>
    </row>
    <row r="5" spans="1:28" ht="15.75" customHeight="1" x14ac:dyDescent="0.3">
      <c r="A5" s="20">
        <f t="shared" si="4"/>
        <v>4</v>
      </c>
      <c r="B5" s="24">
        <v>16754525</v>
      </c>
      <c r="C5" s="19" t="s">
        <v>846</v>
      </c>
      <c r="D5" s="19">
        <v>85469463</v>
      </c>
      <c r="E5" s="20">
        <v>72200816</v>
      </c>
      <c r="F5" s="20" t="s">
        <v>1046</v>
      </c>
      <c r="G5" s="19" t="s">
        <v>333</v>
      </c>
      <c r="H5" s="19" t="s">
        <v>335</v>
      </c>
      <c r="I5" s="20">
        <f>IFERROR(VLOOKUP(H5,OBSERVACIÓN!F$2:G$151,2,0),"")</f>
        <v>65</v>
      </c>
      <c r="J5" s="19"/>
      <c r="K5" s="19" t="s">
        <v>16</v>
      </c>
      <c r="L5" s="27" t="s">
        <v>17</v>
      </c>
      <c r="M5" s="38">
        <v>45494</v>
      </c>
      <c r="N5" s="27" t="s">
        <v>18</v>
      </c>
      <c r="O5" s="26" t="s">
        <v>330</v>
      </c>
      <c r="P5" s="38"/>
      <c r="Q5" s="19" t="s">
        <v>701</v>
      </c>
      <c r="R5" s="19" t="s">
        <v>870</v>
      </c>
      <c r="S5" s="38">
        <v>45492</v>
      </c>
      <c r="T5" s="79">
        <f t="shared" si="0"/>
        <v>7</v>
      </c>
      <c r="U5" s="79">
        <f t="shared" si="1"/>
        <v>7</v>
      </c>
      <c r="V5" s="19">
        <v>969916302</v>
      </c>
      <c r="W5" s="19" t="s">
        <v>26</v>
      </c>
      <c r="X5" s="79">
        <f t="shared" si="2"/>
        <v>2024</v>
      </c>
      <c r="Y5" s="79">
        <f t="shared" si="3"/>
        <v>2024</v>
      </c>
      <c r="Z5" s="65" t="s">
        <v>393</v>
      </c>
      <c r="AA5" s="65" t="s">
        <v>538</v>
      </c>
      <c r="AB5" s="65" t="s">
        <v>1115</v>
      </c>
    </row>
    <row r="6" spans="1:28" ht="15.75" customHeight="1" x14ac:dyDescent="0.3">
      <c r="A6" s="20">
        <f t="shared" si="4"/>
        <v>5</v>
      </c>
      <c r="B6" s="24">
        <v>72558453</v>
      </c>
      <c r="C6" s="19" t="s">
        <v>847</v>
      </c>
      <c r="D6" s="19">
        <v>85514423</v>
      </c>
      <c r="E6" s="20">
        <v>72222769</v>
      </c>
      <c r="F6" s="20" t="s">
        <v>1046</v>
      </c>
      <c r="G6" s="19" t="s">
        <v>334</v>
      </c>
      <c r="H6" s="19" t="s">
        <v>335</v>
      </c>
      <c r="I6" s="20">
        <f>IFERROR(VLOOKUP(H6,OBSERVACIÓN!F$2:G$151,2,0),"")</f>
        <v>65</v>
      </c>
      <c r="J6" s="19"/>
      <c r="K6" s="19" t="s">
        <v>16</v>
      </c>
      <c r="L6" s="21" t="s">
        <v>17</v>
      </c>
      <c r="M6" s="38">
        <v>45500</v>
      </c>
      <c r="N6" s="21" t="s">
        <v>18</v>
      </c>
      <c r="O6" s="26" t="s">
        <v>330</v>
      </c>
      <c r="P6" s="38">
        <v>45528</v>
      </c>
      <c r="Q6" s="19" t="s">
        <v>701</v>
      </c>
      <c r="R6" s="19" t="s">
        <v>870</v>
      </c>
      <c r="S6" s="38">
        <v>45493</v>
      </c>
      <c r="T6" s="79">
        <f t="shared" si="0"/>
        <v>7</v>
      </c>
      <c r="U6" s="79">
        <f t="shared" si="1"/>
        <v>7</v>
      </c>
      <c r="V6" s="19">
        <v>923495184</v>
      </c>
      <c r="W6" s="19" t="s">
        <v>27</v>
      </c>
      <c r="X6" s="79">
        <f t="shared" si="2"/>
        <v>2024</v>
      </c>
      <c r="Y6" s="79">
        <f t="shared" si="3"/>
        <v>2024</v>
      </c>
      <c r="Z6" s="65" t="s">
        <v>393</v>
      </c>
      <c r="AA6" s="65" t="s">
        <v>538</v>
      </c>
      <c r="AB6" s="65" t="s">
        <v>1115</v>
      </c>
    </row>
    <row r="7" spans="1:28" ht="15.75" customHeight="1" x14ac:dyDescent="0.3">
      <c r="A7" s="20">
        <f t="shared" si="4"/>
        <v>6</v>
      </c>
      <c r="B7" s="24">
        <v>70689403</v>
      </c>
      <c r="C7" s="19" t="s">
        <v>848</v>
      </c>
      <c r="D7" s="19">
        <v>85524326</v>
      </c>
      <c r="E7" s="20">
        <v>72227659</v>
      </c>
      <c r="F7" s="20" t="s">
        <v>1046</v>
      </c>
      <c r="G7" s="19" t="s">
        <v>333</v>
      </c>
      <c r="H7" s="19" t="s">
        <v>335</v>
      </c>
      <c r="I7" s="20">
        <f>IFERROR(VLOOKUP(H7,OBSERVACIÓN!F$2:G$151,2,0),"")</f>
        <v>65</v>
      </c>
      <c r="J7" s="19"/>
      <c r="K7" s="19" t="s">
        <v>16</v>
      </c>
      <c r="L7" s="21" t="s">
        <v>17</v>
      </c>
      <c r="M7" s="38">
        <v>45500</v>
      </c>
      <c r="N7" s="21" t="s">
        <v>18</v>
      </c>
      <c r="O7" s="26" t="s">
        <v>330</v>
      </c>
      <c r="P7" s="38">
        <v>45530</v>
      </c>
      <c r="Q7" s="19" t="s">
        <v>701</v>
      </c>
      <c r="R7" s="19" t="s">
        <v>870</v>
      </c>
      <c r="S7" s="38">
        <v>45496</v>
      </c>
      <c r="T7" s="79">
        <f t="shared" si="0"/>
        <v>7</v>
      </c>
      <c r="U7" s="79">
        <f t="shared" si="1"/>
        <v>7</v>
      </c>
      <c r="V7" s="19">
        <v>988714135</v>
      </c>
      <c r="W7" s="19" t="s">
        <v>29</v>
      </c>
      <c r="X7" s="79">
        <f t="shared" si="2"/>
        <v>2024</v>
      </c>
      <c r="Y7" s="79">
        <f t="shared" si="3"/>
        <v>2024</v>
      </c>
      <c r="Z7" s="65" t="s">
        <v>393</v>
      </c>
      <c r="AA7" s="65" t="s">
        <v>537</v>
      </c>
      <c r="AB7" s="65" t="s">
        <v>1115</v>
      </c>
    </row>
    <row r="8" spans="1:28" ht="15.75" customHeight="1" x14ac:dyDescent="0.3">
      <c r="A8" s="20">
        <f t="shared" si="4"/>
        <v>7</v>
      </c>
      <c r="B8" s="24">
        <v>60986479</v>
      </c>
      <c r="C8" s="19" t="s">
        <v>849</v>
      </c>
      <c r="D8" s="19">
        <v>85623883</v>
      </c>
      <c r="E8" s="20">
        <v>72255519</v>
      </c>
      <c r="F8" s="20" t="s">
        <v>1046</v>
      </c>
      <c r="G8" s="19" t="s">
        <v>333</v>
      </c>
      <c r="H8" s="19" t="s">
        <v>335</v>
      </c>
      <c r="I8" s="20">
        <f>IFERROR(VLOOKUP(H8,OBSERVACIÓN!F$2:G$151,2,0),"")</f>
        <v>65</v>
      </c>
      <c r="J8" s="19"/>
      <c r="K8" s="19" t="s">
        <v>16</v>
      </c>
      <c r="L8" s="21" t="s">
        <v>17</v>
      </c>
      <c r="M8" s="38">
        <v>45498</v>
      </c>
      <c r="N8" s="21" t="s">
        <v>18</v>
      </c>
      <c r="O8" s="26" t="s">
        <v>330</v>
      </c>
      <c r="P8" s="38">
        <v>45507</v>
      </c>
      <c r="Q8" s="19" t="s">
        <v>701</v>
      </c>
      <c r="R8" s="19" t="s">
        <v>870</v>
      </c>
      <c r="S8" s="38">
        <v>45497</v>
      </c>
      <c r="T8" s="79">
        <f t="shared" si="0"/>
        <v>7</v>
      </c>
      <c r="U8" s="79">
        <f t="shared" si="1"/>
        <v>7</v>
      </c>
      <c r="V8" s="19">
        <v>997016943</v>
      </c>
      <c r="W8" s="19" t="s">
        <v>30</v>
      </c>
      <c r="X8" s="79">
        <f t="shared" si="2"/>
        <v>2024</v>
      </c>
      <c r="Y8" s="79">
        <f t="shared" si="3"/>
        <v>2024</v>
      </c>
      <c r="Z8" s="65" t="s">
        <v>393</v>
      </c>
      <c r="AA8" s="65" t="s">
        <v>537</v>
      </c>
      <c r="AB8" s="65" t="s">
        <v>1115</v>
      </c>
    </row>
    <row r="9" spans="1:28" ht="15.75" customHeight="1" x14ac:dyDescent="0.3">
      <c r="A9" s="20">
        <f t="shared" si="4"/>
        <v>8</v>
      </c>
      <c r="B9" s="24">
        <v>71500252</v>
      </c>
      <c r="C9" s="19" t="s">
        <v>617</v>
      </c>
      <c r="D9" s="19">
        <v>85613761</v>
      </c>
      <c r="E9" s="20">
        <v>72253617</v>
      </c>
      <c r="F9" s="20" t="s">
        <v>1046</v>
      </c>
      <c r="G9" s="19" t="s">
        <v>333</v>
      </c>
      <c r="H9" s="19" t="s">
        <v>335</v>
      </c>
      <c r="I9" s="20">
        <f>IFERROR(VLOOKUP(H9,OBSERVACIÓN!F$2:G$151,2,0),"")</f>
        <v>65</v>
      </c>
      <c r="J9" s="19"/>
      <c r="K9" s="19" t="s">
        <v>16</v>
      </c>
      <c r="L9" s="21" t="s">
        <v>17</v>
      </c>
      <c r="M9" s="38">
        <v>45498</v>
      </c>
      <c r="N9" s="21" t="s">
        <v>18</v>
      </c>
      <c r="O9" s="26" t="s">
        <v>330</v>
      </c>
      <c r="P9" s="38">
        <v>45505</v>
      </c>
      <c r="Q9" s="19" t="s">
        <v>701</v>
      </c>
      <c r="R9" s="19" t="s">
        <v>870</v>
      </c>
      <c r="S9" s="38">
        <v>45497</v>
      </c>
      <c r="T9" s="79">
        <f t="shared" si="0"/>
        <v>7</v>
      </c>
      <c r="U9" s="79">
        <f t="shared" si="1"/>
        <v>7</v>
      </c>
      <c r="V9" s="19">
        <v>979212381</v>
      </c>
      <c r="W9" s="19" t="s">
        <v>31</v>
      </c>
      <c r="X9" s="79">
        <f t="shared" si="2"/>
        <v>2024</v>
      </c>
      <c r="Y9" s="79">
        <f t="shared" si="3"/>
        <v>2024</v>
      </c>
      <c r="Z9" s="65" t="s">
        <v>393</v>
      </c>
      <c r="AA9" s="65" t="s">
        <v>537</v>
      </c>
      <c r="AB9" s="65" t="s">
        <v>1115</v>
      </c>
    </row>
    <row r="10" spans="1:28" ht="15.75" customHeight="1" x14ac:dyDescent="0.3">
      <c r="A10" s="20">
        <f t="shared" si="4"/>
        <v>9</v>
      </c>
      <c r="B10" s="24">
        <v>71054020</v>
      </c>
      <c r="C10" s="19" t="s">
        <v>618</v>
      </c>
      <c r="D10" s="19">
        <v>85608847</v>
      </c>
      <c r="E10" s="20">
        <v>72252719</v>
      </c>
      <c r="F10" s="20" t="s">
        <v>1046</v>
      </c>
      <c r="G10" s="19" t="s">
        <v>333</v>
      </c>
      <c r="H10" s="19" t="s">
        <v>335</v>
      </c>
      <c r="I10" s="20">
        <f>IFERROR(VLOOKUP(H10,OBSERVACIÓN!F$2:G$151,2,0),"")</f>
        <v>65</v>
      </c>
      <c r="J10" s="19"/>
      <c r="K10" s="19" t="s">
        <v>16</v>
      </c>
      <c r="L10" s="21" t="s">
        <v>17</v>
      </c>
      <c r="M10" s="38">
        <v>45487</v>
      </c>
      <c r="N10" s="21" t="s">
        <v>18</v>
      </c>
      <c r="O10" s="26" t="s">
        <v>330</v>
      </c>
      <c r="P10" s="38">
        <v>45498</v>
      </c>
      <c r="Q10" s="19" t="s">
        <v>701</v>
      </c>
      <c r="R10" s="19" t="s">
        <v>870</v>
      </c>
      <c r="S10" s="38">
        <v>45500</v>
      </c>
      <c r="T10" s="79">
        <f t="shared" si="0"/>
        <v>7</v>
      </c>
      <c r="U10" s="79">
        <f t="shared" si="1"/>
        <v>7</v>
      </c>
      <c r="V10" s="19">
        <v>993853319</v>
      </c>
      <c r="W10" s="19" t="s">
        <v>32</v>
      </c>
      <c r="X10" s="79">
        <f t="shared" si="2"/>
        <v>2024</v>
      </c>
      <c r="Y10" s="79">
        <f t="shared" si="3"/>
        <v>2024</v>
      </c>
      <c r="Z10" s="65" t="s">
        <v>393</v>
      </c>
      <c r="AA10" s="65" t="s">
        <v>537</v>
      </c>
      <c r="AB10" s="65" t="s">
        <v>1115</v>
      </c>
    </row>
    <row r="11" spans="1:28" ht="15.75" customHeight="1" x14ac:dyDescent="0.3">
      <c r="A11" s="20">
        <f t="shared" si="4"/>
        <v>10</v>
      </c>
      <c r="B11" s="24">
        <v>80216626</v>
      </c>
      <c r="C11" s="19" t="s">
        <v>619</v>
      </c>
      <c r="D11" s="19">
        <v>85657311</v>
      </c>
      <c r="E11" s="20">
        <v>72300889</v>
      </c>
      <c r="F11" s="20" t="s">
        <v>1046</v>
      </c>
      <c r="G11" s="19" t="s">
        <v>333</v>
      </c>
      <c r="H11" s="19" t="s">
        <v>335</v>
      </c>
      <c r="I11" s="20">
        <f>IFERROR(VLOOKUP(H11,OBSERVACIÓN!F$2:G$151,2,0),"")</f>
        <v>65</v>
      </c>
      <c r="J11" s="19"/>
      <c r="K11" s="19" t="s">
        <v>16</v>
      </c>
      <c r="L11" s="21" t="s">
        <v>17</v>
      </c>
      <c r="M11" s="38">
        <v>45502</v>
      </c>
      <c r="N11" s="21" t="s">
        <v>18</v>
      </c>
      <c r="O11" s="26" t="s">
        <v>330</v>
      </c>
      <c r="P11" s="38">
        <v>45507</v>
      </c>
      <c r="Q11" s="19" t="s">
        <v>701</v>
      </c>
      <c r="R11" s="19" t="s">
        <v>870</v>
      </c>
      <c r="S11" s="38">
        <v>45500</v>
      </c>
      <c r="T11" s="79">
        <f t="shared" si="0"/>
        <v>7</v>
      </c>
      <c r="U11" s="79">
        <f t="shared" si="1"/>
        <v>7</v>
      </c>
      <c r="V11" s="19">
        <v>956612862</v>
      </c>
      <c r="W11" s="19" t="s">
        <v>33</v>
      </c>
      <c r="X11" s="79">
        <f t="shared" si="2"/>
        <v>2024</v>
      </c>
      <c r="Y11" s="79">
        <f t="shared" si="3"/>
        <v>2024</v>
      </c>
      <c r="Z11" s="65" t="s">
        <v>393</v>
      </c>
      <c r="AA11" s="65" t="s">
        <v>538</v>
      </c>
      <c r="AB11" s="65" t="s">
        <v>1115</v>
      </c>
    </row>
    <row r="1043392" spans="27:28" ht="15" customHeight="1" x14ac:dyDescent="0.3">
      <c r="AA1043392" s="11"/>
      <c r="AB1043392" s="11"/>
    </row>
    <row r="1043393" spans="27:28" ht="15" customHeight="1" x14ac:dyDescent="0.3">
      <c r="AA1043393" s="65"/>
      <c r="AB1043393" s="65"/>
    </row>
    <row r="1043394" spans="27:28" ht="15" customHeight="1" x14ac:dyDescent="0.3">
      <c r="AA1043394" s="65"/>
      <c r="AB1043394" s="65"/>
    </row>
    <row r="1043395" spans="27:28" ht="15" customHeight="1" x14ac:dyDescent="0.3">
      <c r="AA1043395" s="65"/>
      <c r="AB1043395" s="65"/>
    </row>
    <row r="1043396" spans="27:28" ht="15" customHeight="1" x14ac:dyDescent="0.3">
      <c r="AA1043396" s="65"/>
      <c r="AB1043396" s="65"/>
    </row>
    <row r="1043397" spans="27:28" ht="15" customHeight="1" x14ac:dyDescent="0.3">
      <c r="AA1043397" s="65"/>
      <c r="AB1043397" s="65"/>
    </row>
    <row r="1043398" spans="27:28" ht="15" customHeight="1" x14ac:dyDescent="0.3">
      <c r="AA1043398" s="65"/>
      <c r="AB1043398" s="65"/>
    </row>
    <row r="1043399" spans="27:28" ht="15" customHeight="1" x14ac:dyDescent="0.3">
      <c r="AA1043399" s="65"/>
      <c r="AB1043399" s="65"/>
    </row>
    <row r="1043400" spans="27:28" ht="15" customHeight="1" x14ac:dyDescent="0.3">
      <c r="AA1043400" s="65"/>
      <c r="AB1043400" s="65"/>
    </row>
    <row r="1043401" spans="27:28" ht="15" customHeight="1" x14ac:dyDescent="0.3">
      <c r="AA1043401" s="65"/>
      <c r="AB1043401" s="65"/>
    </row>
    <row r="1043402" spans="27:28" ht="15" customHeight="1" x14ac:dyDescent="0.3">
      <c r="AA1043402" s="65"/>
      <c r="AB1043402" s="65"/>
    </row>
    <row r="1043403" spans="27:28" ht="15" customHeight="1" x14ac:dyDescent="0.3">
      <c r="AA1043403" s="65"/>
      <c r="AB1043403" s="65"/>
    </row>
    <row r="1043404" spans="27:28" ht="15" customHeight="1" x14ac:dyDescent="0.3">
      <c r="AA1043404" s="65"/>
      <c r="AB1043404" s="65"/>
    </row>
    <row r="1043405" spans="27:28" ht="15" customHeight="1" x14ac:dyDescent="0.3">
      <c r="AA1043405" s="65"/>
      <c r="AB1043405" s="65"/>
    </row>
    <row r="1043406" spans="27:28" ht="15" customHeight="1" x14ac:dyDescent="0.3">
      <c r="AA1043406" s="65"/>
      <c r="AB1043406" s="65"/>
    </row>
    <row r="1043407" spans="27:28" ht="15" customHeight="1" x14ac:dyDescent="0.3">
      <c r="AA1043407" s="65"/>
      <c r="AB1043407" s="65"/>
    </row>
    <row r="1043408" spans="27:28" ht="15" customHeight="1" x14ac:dyDescent="0.3">
      <c r="AA1043408" s="65"/>
      <c r="AB1043408" s="65"/>
    </row>
    <row r="1043409" spans="27:28" ht="15" customHeight="1" x14ac:dyDescent="0.3">
      <c r="AA1043409" s="65"/>
      <c r="AB1043409" s="65"/>
    </row>
    <row r="1043410" spans="27:28" ht="15" customHeight="1" x14ac:dyDescent="0.3">
      <c r="AA1043410" s="65"/>
      <c r="AB1043410" s="65"/>
    </row>
    <row r="1043411" spans="27:28" ht="15" customHeight="1" x14ac:dyDescent="0.3">
      <c r="AA1043411" s="65"/>
      <c r="AB1043411" s="65"/>
    </row>
    <row r="1043412" spans="27:28" ht="15" customHeight="1" x14ac:dyDescent="0.3">
      <c r="AA1043412" s="65"/>
      <c r="AB1043412" s="65"/>
    </row>
    <row r="1043413" spans="27:28" ht="15" customHeight="1" x14ac:dyDescent="0.3">
      <c r="AA1043413" s="65"/>
      <c r="AB1043413" s="65"/>
    </row>
    <row r="1043414" spans="27:28" ht="15" customHeight="1" x14ac:dyDescent="0.3">
      <c r="AA1043414" s="65"/>
      <c r="AB1043414" s="65"/>
    </row>
    <row r="1043415" spans="27:28" ht="15" customHeight="1" x14ac:dyDescent="0.3">
      <c r="AA1043415" s="65"/>
      <c r="AB1043415" s="65"/>
    </row>
    <row r="1043416" spans="27:28" ht="15" customHeight="1" x14ac:dyDescent="0.3">
      <c r="AA1043416" s="65"/>
      <c r="AB1043416" s="65"/>
    </row>
    <row r="1043417" spans="27:28" ht="15" customHeight="1" x14ac:dyDescent="0.3">
      <c r="AA1043417" s="65"/>
      <c r="AB1043417" s="65"/>
    </row>
    <row r="1043418" spans="27:28" ht="15" customHeight="1" x14ac:dyDescent="0.3">
      <c r="AA1043418" s="65"/>
      <c r="AB1043418" s="65"/>
    </row>
    <row r="1043419" spans="27:28" ht="15" customHeight="1" x14ac:dyDescent="0.3">
      <c r="AA1043419" s="65"/>
      <c r="AB1043419" s="65"/>
    </row>
    <row r="1043420" spans="27:28" ht="15" customHeight="1" x14ac:dyDescent="0.3">
      <c r="AA1043420" s="65"/>
      <c r="AB1043420" s="65"/>
    </row>
    <row r="1043421" spans="27:28" ht="15" customHeight="1" x14ac:dyDescent="0.3">
      <c r="AA1043421" s="65"/>
      <c r="AB1043421" s="65"/>
    </row>
    <row r="1043422" spans="27:28" ht="15" customHeight="1" x14ac:dyDescent="0.3">
      <c r="AA1043422" s="65"/>
      <c r="AB1043422" s="65"/>
    </row>
    <row r="1043423" spans="27:28" ht="15" customHeight="1" x14ac:dyDescent="0.3">
      <c r="AA1043423" s="65"/>
      <c r="AB1043423" s="65"/>
    </row>
    <row r="1043424" spans="27:28" ht="15" customHeight="1" x14ac:dyDescent="0.3">
      <c r="AA1043424" s="65"/>
      <c r="AB1043424" s="65"/>
    </row>
    <row r="1043425" spans="27:28" ht="15" customHeight="1" x14ac:dyDescent="0.3">
      <c r="AA1043425" s="65"/>
      <c r="AB1043425" s="65"/>
    </row>
    <row r="1043426" spans="27:28" ht="15" customHeight="1" x14ac:dyDescent="0.3">
      <c r="AA1043426" s="65"/>
      <c r="AB1043426" s="65"/>
    </row>
    <row r="1043427" spans="27:28" ht="15" customHeight="1" x14ac:dyDescent="0.3">
      <c r="AA1043427" s="65"/>
      <c r="AB1043427" s="65"/>
    </row>
    <row r="1043428" spans="27:28" ht="15" customHeight="1" x14ac:dyDescent="0.3">
      <c r="AA1043428" s="65"/>
      <c r="AB1043428" s="65"/>
    </row>
    <row r="1043429" spans="27:28" ht="15" customHeight="1" x14ac:dyDescent="0.3">
      <c r="AA1043429" s="65"/>
      <c r="AB1043429" s="65"/>
    </row>
    <row r="1043430" spans="27:28" ht="15" customHeight="1" x14ac:dyDescent="0.3">
      <c r="AA1043430" s="65"/>
      <c r="AB1043430" s="65"/>
    </row>
    <row r="1043431" spans="27:28" ht="15" customHeight="1" x14ac:dyDescent="0.3">
      <c r="AA1043431" s="65"/>
      <c r="AB1043431" s="65"/>
    </row>
    <row r="1043432" spans="27:28" ht="15" customHeight="1" x14ac:dyDescent="0.3">
      <c r="AA1043432" s="65"/>
      <c r="AB1043432" s="65"/>
    </row>
    <row r="1043433" spans="27:28" ht="15" customHeight="1" x14ac:dyDescent="0.3">
      <c r="AA1043433" s="65"/>
      <c r="AB1043433" s="65"/>
    </row>
    <row r="1043434" spans="27:28" ht="15" customHeight="1" x14ac:dyDescent="0.3">
      <c r="AA1043434" s="65"/>
      <c r="AB1043434" s="65"/>
    </row>
    <row r="1043435" spans="27:28" ht="15" customHeight="1" x14ac:dyDescent="0.3">
      <c r="AA1043435" s="65"/>
      <c r="AB1043435" s="65"/>
    </row>
    <row r="1043436" spans="27:28" ht="15" customHeight="1" x14ac:dyDescent="0.3">
      <c r="AA1043436" s="65"/>
      <c r="AB1043436" s="65"/>
    </row>
    <row r="1043437" spans="27:28" ht="15" customHeight="1" x14ac:dyDescent="0.3">
      <c r="AA1043437" s="65"/>
      <c r="AB1043437" s="65"/>
    </row>
    <row r="1043438" spans="27:28" ht="15" customHeight="1" x14ac:dyDescent="0.3">
      <c r="AA1043438" s="65"/>
      <c r="AB1043438" s="65"/>
    </row>
    <row r="1043439" spans="27:28" ht="15" customHeight="1" x14ac:dyDescent="0.3">
      <c r="AA1043439" s="65"/>
      <c r="AB1043439" s="65"/>
    </row>
    <row r="1043440" spans="27:28" ht="15" customHeight="1" x14ac:dyDescent="0.3">
      <c r="AA1043440" s="65"/>
      <c r="AB1043440" s="65"/>
    </row>
    <row r="1043441" spans="27:28" ht="15" customHeight="1" x14ac:dyDescent="0.3">
      <c r="AA1043441" s="65"/>
      <c r="AB1043441" s="65"/>
    </row>
    <row r="1043442" spans="27:28" ht="15" customHeight="1" x14ac:dyDescent="0.3">
      <c r="AA1043442" s="65"/>
      <c r="AB1043442" s="65"/>
    </row>
    <row r="1043443" spans="27:28" ht="15" customHeight="1" x14ac:dyDescent="0.3">
      <c r="AA1043443" s="65"/>
      <c r="AB1043443" s="65"/>
    </row>
    <row r="1043444" spans="27:28" ht="15" customHeight="1" x14ac:dyDescent="0.3">
      <c r="AA1043444" s="65"/>
      <c r="AB1043444" s="65"/>
    </row>
    <row r="1043445" spans="27:28" ht="15" customHeight="1" x14ac:dyDescent="0.3">
      <c r="AA1043445" s="65"/>
      <c r="AB1043445" s="65"/>
    </row>
    <row r="1043446" spans="27:28" ht="15" customHeight="1" x14ac:dyDescent="0.3">
      <c r="AA1043446" s="65"/>
      <c r="AB1043446" s="65"/>
    </row>
    <row r="1043447" spans="27:28" ht="15" customHeight="1" x14ac:dyDescent="0.3">
      <c r="AA1043447" s="65"/>
      <c r="AB1043447" s="65"/>
    </row>
    <row r="1043448" spans="27:28" ht="15" customHeight="1" x14ac:dyDescent="0.3">
      <c r="AA1043448" s="65"/>
      <c r="AB1043448" s="65"/>
    </row>
    <row r="1043449" spans="27:28" ht="15" customHeight="1" x14ac:dyDescent="0.3">
      <c r="AA1043449" s="65"/>
      <c r="AB1043449" s="65"/>
    </row>
    <row r="1043450" spans="27:28" ht="15" customHeight="1" x14ac:dyDescent="0.3">
      <c r="AA1043450" s="65"/>
      <c r="AB1043450" s="65"/>
    </row>
    <row r="1043451" spans="27:28" ht="15" customHeight="1" x14ac:dyDescent="0.3">
      <c r="AA1043451" s="65"/>
      <c r="AB1043451" s="65"/>
    </row>
    <row r="1043452" spans="27:28" ht="15" customHeight="1" x14ac:dyDescent="0.3">
      <c r="AA1043452" s="65"/>
      <c r="AB1043452" s="65"/>
    </row>
    <row r="1043453" spans="27:28" ht="15" customHeight="1" x14ac:dyDescent="0.3">
      <c r="AA1043453" s="65"/>
      <c r="AB1043453" s="65"/>
    </row>
    <row r="1043454" spans="27:28" ht="15" customHeight="1" x14ac:dyDescent="0.3">
      <c r="AA1043454" s="65"/>
      <c r="AB1043454" s="65"/>
    </row>
    <row r="1043455" spans="27:28" ht="15" customHeight="1" x14ac:dyDescent="0.3">
      <c r="AA1043455" s="65"/>
      <c r="AB1043455" s="65"/>
    </row>
    <row r="1043456" spans="27:28" ht="15" customHeight="1" x14ac:dyDescent="0.3">
      <c r="AA1043456" s="65"/>
      <c r="AB1043456" s="65"/>
    </row>
    <row r="1043457" spans="27:28" ht="15" customHeight="1" x14ac:dyDescent="0.3">
      <c r="AA1043457" s="65"/>
      <c r="AB1043457" s="65"/>
    </row>
    <row r="1043458" spans="27:28" ht="15" customHeight="1" x14ac:dyDescent="0.3">
      <c r="AA1043458" s="65"/>
      <c r="AB1043458" s="65"/>
    </row>
    <row r="1043459" spans="27:28" ht="15" customHeight="1" x14ac:dyDescent="0.3">
      <c r="AA1043459" s="65"/>
      <c r="AB1043459" s="65"/>
    </row>
    <row r="1043460" spans="27:28" ht="15" customHeight="1" x14ac:dyDescent="0.3">
      <c r="AA1043460" s="65"/>
      <c r="AB1043460" s="65"/>
    </row>
    <row r="1043461" spans="27:28" ht="15" customHeight="1" x14ac:dyDescent="0.3">
      <c r="AA1043461" s="65"/>
      <c r="AB1043461" s="65"/>
    </row>
    <row r="1043462" spans="27:28" ht="15" customHeight="1" x14ac:dyDescent="0.3">
      <c r="AA1043462" s="65"/>
      <c r="AB1043462" s="65"/>
    </row>
    <row r="1043463" spans="27:28" ht="15" customHeight="1" x14ac:dyDescent="0.3">
      <c r="AA1043463" s="65"/>
      <c r="AB1043463" s="65"/>
    </row>
    <row r="1043464" spans="27:28" ht="15" customHeight="1" x14ac:dyDescent="0.3">
      <c r="AA1043464" s="65"/>
      <c r="AB1043464" s="65"/>
    </row>
    <row r="1043465" spans="27:28" ht="15" customHeight="1" x14ac:dyDescent="0.3">
      <c r="AA1043465" s="65"/>
      <c r="AB1043465" s="65"/>
    </row>
    <row r="1043466" spans="27:28" ht="15" customHeight="1" x14ac:dyDescent="0.3">
      <c r="AA1043466" s="65"/>
      <c r="AB1043466" s="65"/>
    </row>
    <row r="1043467" spans="27:28" ht="15" customHeight="1" x14ac:dyDescent="0.3">
      <c r="AA1043467" s="65"/>
      <c r="AB1043467" s="65"/>
    </row>
    <row r="1043468" spans="27:28" ht="15" customHeight="1" x14ac:dyDescent="0.3">
      <c r="AA1043468" s="65"/>
      <c r="AB1043468" s="65"/>
    </row>
    <row r="1043469" spans="27:28" ht="15" customHeight="1" x14ac:dyDescent="0.3">
      <c r="AA1043469" s="65"/>
      <c r="AB1043469" s="65"/>
    </row>
    <row r="1043470" spans="27:28" ht="15" customHeight="1" x14ac:dyDescent="0.3">
      <c r="AA1043470" s="65"/>
      <c r="AB1043470" s="65"/>
    </row>
    <row r="1043471" spans="27:28" ht="15" customHeight="1" x14ac:dyDescent="0.3">
      <c r="AA1043471" s="65"/>
      <c r="AB1043471" s="65"/>
    </row>
    <row r="1043472" spans="27:28" ht="15" customHeight="1" x14ac:dyDescent="0.3">
      <c r="AA1043472" s="65"/>
      <c r="AB1043472" s="65"/>
    </row>
    <row r="1043473" spans="27:28" ht="15" customHeight="1" x14ac:dyDescent="0.3">
      <c r="AA1043473" s="65"/>
      <c r="AB1043473" s="65"/>
    </row>
    <row r="1043474" spans="27:28" ht="15" customHeight="1" x14ac:dyDescent="0.3">
      <c r="AA1043474" s="65"/>
      <c r="AB1043474" s="65"/>
    </row>
    <row r="1043475" spans="27:28" ht="15" customHeight="1" x14ac:dyDescent="0.3">
      <c r="AA1043475" s="65"/>
      <c r="AB1043475" s="65"/>
    </row>
    <row r="1043476" spans="27:28" ht="15" customHeight="1" x14ac:dyDescent="0.3">
      <c r="AA1043476" s="65"/>
      <c r="AB1043476" s="65"/>
    </row>
    <row r="1043477" spans="27:28" ht="15" customHeight="1" x14ac:dyDescent="0.3">
      <c r="AA1043477" s="65"/>
      <c r="AB1043477" s="65"/>
    </row>
    <row r="1043478" spans="27:28" ht="15" customHeight="1" x14ac:dyDescent="0.3">
      <c r="AA1043478" s="65"/>
      <c r="AB1043478" s="65"/>
    </row>
    <row r="1043479" spans="27:28" ht="15" customHeight="1" x14ac:dyDescent="0.3">
      <c r="AA1043479" s="65"/>
      <c r="AB1043479" s="65"/>
    </row>
    <row r="1043480" spans="27:28" ht="15" customHeight="1" x14ac:dyDescent="0.3">
      <c r="AA1043480" s="65"/>
      <c r="AB1043480" s="65"/>
    </row>
    <row r="1043481" spans="27:28" ht="15" customHeight="1" x14ac:dyDescent="0.3">
      <c r="AA1043481" s="65"/>
      <c r="AB1043481" s="65"/>
    </row>
    <row r="1043482" spans="27:28" ht="15" customHeight="1" x14ac:dyDescent="0.3">
      <c r="AA1043482" s="65"/>
      <c r="AB1043482" s="65"/>
    </row>
    <row r="1043483" spans="27:28" ht="15" customHeight="1" x14ac:dyDescent="0.3">
      <c r="AA1043483" s="65"/>
      <c r="AB1043483" s="65"/>
    </row>
    <row r="1043484" spans="27:28" ht="15" customHeight="1" x14ac:dyDescent="0.3">
      <c r="AA1043484" s="65"/>
      <c r="AB1043484" s="65"/>
    </row>
    <row r="1043485" spans="27:28" ht="15" customHeight="1" x14ac:dyDescent="0.3">
      <c r="AA1043485" s="65"/>
      <c r="AB1043485" s="65"/>
    </row>
    <row r="1043486" spans="27:28" ht="15" customHeight="1" x14ac:dyDescent="0.3">
      <c r="AA1043486" s="65"/>
      <c r="AB1043486" s="65"/>
    </row>
    <row r="1043487" spans="27:28" ht="15" customHeight="1" x14ac:dyDescent="0.3">
      <c r="AA1043487" s="65"/>
      <c r="AB1043487" s="65"/>
    </row>
    <row r="1043488" spans="27:28" ht="15" customHeight="1" x14ac:dyDescent="0.3">
      <c r="AA1043488" s="65"/>
      <c r="AB1043488" s="65"/>
    </row>
    <row r="1043489" spans="27:28" ht="15" customHeight="1" x14ac:dyDescent="0.3">
      <c r="AA1043489" s="65"/>
      <c r="AB1043489" s="65"/>
    </row>
    <row r="1043490" spans="27:28" ht="15" customHeight="1" x14ac:dyDescent="0.3">
      <c r="AA1043490" s="65"/>
      <c r="AB1043490" s="65"/>
    </row>
    <row r="1043491" spans="27:28" ht="15" customHeight="1" x14ac:dyDescent="0.3">
      <c r="AA1043491" s="65"/>
      <c r="AB1043491" s="65"/>
    </row>
    <row r="1043492" spans="27:28" ht="15" customHeight="1" x14ac:dyDescent="0.3">
      <c r="AA1043492" s="65"/>
      <c r="AB1043492" s="65"/>
    </row>
    <row r="1043493" spans="27:28" ht="15" customHeight="1" x14ac:dyDescent="0.3">
      <c r="AA1043493" s="65"/>
      <c r="AB1043493" s="65"/>
    </row>
    <row r="1043494" spans="27:28" ht="15" customHeight="1" x14ac:dyDescent="0.3">
      <c r="AA1043494" s="65"/>
      <c r="AB1043494" s="65"/>
    </row>
    <row r="1043495" spans="27:28" ht="15" customHeight="1" x14ac:dyDescent="0.3">
      <c r="AA1043495" s="65"/>
      <c r="AB1043495" s="65"/>
    </row>
    <row r="1043496" spans="27:28" ht="15" customHeight="1" x14ac:dyDescent="0.3">
      <c r="AA1043496" s="65"/>
      <c r="AB1043496" s="65"/>
    </row>
    <row r="1043497" spans="27:28" ht="15" customHeight="1" x14ac:dyDescent="0.3">
      <c r="AA1043497" s="65"/>
      <c r="AB1043497" s="65"/>
    </row>
    <row r="1043498" spans="27:28" ht="15" customHeight="1" x14ac:dyDescent="0.3">
      <c r="AA1043498" s="65"/>
      <c r="AB1043498" s="65"/>
    </row>
    <row r="1043499" spans="27:28" ht="15" customHeight="1" x14ac:dyDescent="0.3">
      <c r="AA1043499" s="65"/>
      <c r="AB1043499" s="65"/>
    </row>
    <row r="1043500" spans="27:28" ht="15" customHeight="1" x14ac:dyDescent="0.3">
      <c r="AA1043500" s="65"/>
      <c r="AB1043500" s="65"/>
    </row>
    <row r="1043501" spans="27:28" ht="15" customHeight="1" x14ac:dyDescent="0.3">
      <c r="AA1043501" s="65"/>
      <c r="AB1043501" s="65"/>
    </row>
    <row r="1043502" spans="27:28" ht="15" customHeight="1" x14ac:dyDescent="0.3">
      <c r="AA1043502" s="65"/>
      <c r="AB1043502" s="65"/>
    </row>
    <row r="1043503" spans="27:28" ht="15" customHeight="1" x14ac:dyDescent="0.3">
      <c r="AA1043503" s="65"/>
      <c r="AB1043503" s="65"/>
    </row>
    <row r="1043504" spans="27:28" ht="15" customHeight="1" x14ac:dyDescent="0.3">
      <c r="AA1043504" s="65"/>
      <c r="AB1043504" s="65"/>
    </row>
    <row r="1043505" spans="27:28" ht="15" customHeight="1" x14ac:dyDescent="0.3">
      <c r="AA1043505" s="65"/>
      <c r="AB1043505" s="65"/>
    </row>
    <row r="1043506" spans="27:28" ht="15" customHeight="1" x14ac:dyDescent="0.3">
      <c r="AA1043506" s="65"/>
      <c r="AB1043506" s="65"/>
    </row>
    <row r="1043507" spans="27:28" ht="15" customHeight="1" x14ac:dyDescent="0.3">
      <c r="AA1043507" s="65"/>
      <c r="AB1043507" s="65"/>
    </row>
    <row r="1043508" spans="27:28" ht="15" customHeight="1" x14ac:dyDescent="0.3">
      <c r="AA1043508" s="65"/>
      <c r="AB1043508" s="65"/>
    </row>
    <row r="1043509" spans="27:28" ht="15" customHeight="1" x14ac:dyDescent="0.3">
      <c r="AA1043509" s="65"/>
      <c r="AB1043509" s="65"/>
    </row>
    <row r="1043510" spans="27:28" ht="15" customHeight="1" x14ac:dyDescent="0.3">
      <c r="AA1043510" s="65"/>
      <c r="AB1043510" s="65"/>
    </row>
    <row r="1043511" spans="27:28" ht="15" customHeight="1" x14ac:dyDescent="0.3">
      <c r="AA1043511" s="65"/>
      <c r="AB1043511" s="65"/>
    </row>
    <row r="1043512" spans="27:28" ht="15" customHeight="1" x14ac:dyDescent="0.3">
      <c r="AA1043512" s="65"/>
      <c r="AB1043512" s="65"/>
    </row>
    <row r="1043513" spans="27:28" ht="15" customHeight="1" x14ac:dyDescent="0.3">
      <c r="AA1043513" s="65"/>
      <c r="AB1043513" s="65"/>
    </row>
    <row r="1043514" spans="27:28" ht="15" customHeight="1" x14ac:dyDescent="0.3">
      <c r="AA1043514" s="65"/>
      <c r="AB1043514" s="65"/>
    </row>
    <row r="1043515" spans="27:28" ht="15" customHeight="1" x14ac:dyDescent="0.3">
      <c r="AA1043515" s="65"/>
      <c r="AB1043515" s="65"/>
    </row>
    <row r="1043516" spans="27:28" ht="15" customHeight="1" x14ac:dyDescent="0.3">
      <c r="AA1043516" s="65"/>
      <c r="AB1043516" s="65"/>
    </row>
    <row r="1043517" spans="27:28" ht="15" customHeight="1" x14ac:dyDescent="0.3">
      <c r="AA1043517" s="65"/>
      <c r="AB1043517" s="65"/>
    </row>
    <row r="1043518" spans="27:28" ht="15" customHeight="1" x14ac:dyDescent="0.3">
      <c r="AA1043518" s="65"/>
      <c r="AB1043518" s="65"/>
    </row>
    <row r="1043519" spans="27:28" ht="15" customHeight="1" x14ac:dyDescent="0.3">
      <c r="AA1043519" s="65"/>
      <c r="AB1043519" s="65"/>
    </row>
    <row r="1043520" spans="27:28" ht="15" customHeight="1" x14ac:dyDescent="0.3">
      <c r="AA1043520" s="65"/>
      <c r="AB1043520" s="65"/>
    </row>
    <row r="1043521" spans="27:28" ht="15" customHeight="1" x14ac:dyDescent="0.3">
      <c r="AA1043521" s="65"/>
      <c r="AB1043521" s="65"/>
    </row>
    <row r="1043522" spans="27:28" ht="15" customHeight="1" x14ac:dyDescent="0.3">
      <c r="AA1043522" s="65"/>
      <c r="AB1043522" s="65"/>
    </row>
    <row r="1043523" spans="27:28" ht="15" customHeight="1" x14ac:dyDescent="0.3">
      <c r="AA1043523" s="65"/>
      <c r="AB1043523" s="65"/>
    </row>
    <row r="1043524" spans="27:28" ht="15" customHeight="1" x14ac:dyDescent="0.3">
      <c r="AA1043524" s="65"/>
      <c r="AB1043524" s="65"/>
    </row>
    <row r="1043525" spans="27:28" ht="15" customHeight="1" x14ac:dyDescent="0.3">
      <c r="AA1043525" s="65"/>
      <c r="AB1043525" s="65"/>
    </row>
    <row r="1043526" spans="27:28" ht="15" customHeight="1" x14ac:dyDescent="0.3">
      <c r="AA1043526" s="65"/>
      <c r="AB1043526" s="65"/>
    </row>
    <row r="1043527" spans="27:28" ht="15" customHeight="1" x14ac:dyDescent="0.3">
      <c r="AA1043527" s="65"/>
      <c r="AB1043527" s="65"/>
    </row>
    <row r="1043528" spans="27:28" ht="15" customHeight="1" x14ac:dyDescent="0.3">
      <c r="AA1043528" s="65"/>
      <c r="AB1043528" s="65"/>
    </row>
    <row r="1043529" spans="27:28" ht="15" customHeight="1" x14ac:dyDescent="0.3">
      <c r="AA1043529" s="65"/>
      <c r="AB1043529" s="65"/>
    </row>
    <row r="1043530" spans="27:28" ht="15" customHeight="1" x14ac:dyDescent="0.3">
      <c r="AA1043530" s="65"/>
      <c r="AB1043530" s="65"/>
    </row>
    <row r="1043531" spans="27:28" ht="15" customHeight="1" x14ac:dyDescent="0.3">
      <c r="AA1043531" s="65"/>
      <c r="AB1043531" s="65"/>
    </row>
    <row r="1043532" spans="27:28" ht="15" customHeight="1" x14ac:dyDescent="0.3">
      <c r="AA1043532" s="65"/>
      <c r="AB1043532" s="65"/>
    </row>
    <row r="1043533" spans="27:28" ht="15" customHeight="1" x14ac:dyDescent="0.3">
      <c r="AA1043533" s="65"/>
      <c r="AB1043533" s="65"/>
    </row>
    <row r="1043534" spans="27:28" ht="15" customHeight="1" x14ac:dyDescent="0.3">
      <c r="AA1043534" s="65"/>
      <c r="AB1043534" s="65"/>
    </row>
    <row r="1043535" spans="27:28" ht="15" customHeight="1" x14ac:dyDescent="0.3">
      <c r="AA1043535" s="65"/>
      <c r="AB1043535" s="65"/>
    </row>
    <row r="1043536" spans="27:28" ht="15" customHeight="1" x14ac:dyDescent="0.3">
      <c r="AA1043536" s="65"/>
      <c r="AB1043536" s="65"/>
    </row>
    <row r="1043537" spans="27:28" ht="15" customHeight="1" x14ac:dyDescent="0.3">
      <c r="AA1043537" s="65"/>
      <c r="AB1043537" s="65"/>
    </row>
    <row r="1043538" spans="27:28" ht="15" customHeight="1" x14ac:dyDescent="0.3">
      <c r="AA1043538" s="65"/>
      <c r="AB1043538" s="65"/>
    </row>
    <row r="1043539" spans="27:28" ht="15" customHeight="1" x14ac:dyDescent="0.3">
      <c r="AA1043539" s="65"/>
      <c r="AB1043539" s="65"/>
    </row>
    <row r="1043540" spans="27:28" ht="15" customHeight="1" x14ac:dyDescent="0.3">
      <c r="AA1043540" s="65"/>
      <c r="AB1043540" s="65"/>
    </row>
    <row r="1043541" spans="27:28" ht="15" customHeight="1" x14ac:dyDescent="0.3">
      <c r="AA1043541" s="65"/>
      <c r="AB1043541" s="65"/>
    </row>
    <row r="1043542" spans="27:28" ht="15" customHeight="1" x14ac:dyDescent="0.3">
      <c r="AA1043542" s="65"/>
      <c r="AB1043542" s="65"/>
    </row>
    <row r="1043543" spans="27:28" ht="15" customHeight="1" x14ac:dyDescent="0.3">
      <c r="AA1043543" s="65"/>
      <c r="AB1043543" s="65"/>
    </row>
    <row r="1043544" spans="27:28" ht="15" customHeight="1" x14ac:dyDescent="0.3">
      <c r="AA1043544" s="65"/>
      <c r="AB1043544" s="65"/>
    </row>
    <row r="1043545" spans="27:28" ht="15" customHeight="1" x14ac:dyDescent="0.3">
      <c r="AA1043545" s="65"/>
      <c r="AB1043545" s="65"/>
    </row>
    <row r="1043546" spans="27:28" ht="15" customHeight="1" x14ac:dyDescent="0.3">
      <c r="AA1043546" s="65"/>
      <c r="AB1043546" s="65"/>
    </row>
    <row r="1043547" spans="27:28" ht="15" customHeight="1" x14ac:dyDescent="0.3">
      <c r="AA1043547" s="65"/>
      <c r="AB1043547" s="65"/>
    </row>
    <row r="1043548" spans="27:28" ht="15" customHeight="1" x14ac:dyDescent="0.3">
      <c r="AA1043548" s="65"/>
      <c r="AB1043548" s="65"/>
    </row>
    <row r="1043549" spans="27:28" ht="15" customHeight="1" x14ac:dyDescent="0.3">
      <c r="AA1043549" s="65"/>
      <c r="AB1043549" s="65"/>
    </row>
    <row r="1043550" spans="27:28" ht="15" customHeight="1" x14ac:dyDescent="0.3">
      <c r="AA1043550" s="65"/>
      <c r="AB1043550" s="65"/>
    </row>
    <row r="1043551" spans="27:28" ht="15" customHeight="1" x14ac:dyDescent="0.3">
      <c r="AA1043551" s="65"/>
      <c r="AB1043551" s="65"/>
    </row>
    <row r="1043552" spans="27:28" ht="15" customHeight="1" x14ac:dyDescent="0.3">
      <c r="AA1043552" s="65"/>
      <c r="AB1043552" s="65"/>
    </row>
    <row r="1043553" spans="27:28" ht="15" customHeight="1" x14ac:dyDescent="0.3">
      <c r="AA1043553" s="65"/>
      <c r="AB1043553" s="65"/>
    </row>
    <row r="1043554" spans="27:28" ht="15" customHeight="1" x14ac:dyDescent="0.3">
      <c r="AA1043554" s="65"/>
      <c r="AB1043554" s="65"/>
    </row>
    <row r="1043555" spans="27:28" ht="15" customHeight="1" x14ac:dyDescent="0.3">
      <c r="AA1043555" s="65"/>
      <c r="AB1043555" s="65"/>
    </row>
    <row r="1043556" spans="27:28" ht="15" customHeight="1" x14ac:dyDescent="0.3">
      <c r="AA1043556" s="65"/>
      <c r="AB1043556" s="65"/>
    </row>
    <row r="1043557" spans="27:28" ht="15" customHeight="1" x14ac:dyDescent="0.3">
      <c r="AA1043557" s="65"/>
      <c r="AB1043557" s="65"/>
    </row>
    <row r="1043558" spans="27:28" ht="15" customHeight="1" x14ac:dyDescent="0.3">
      <c r="AA1043558" s="65"/>
      <c r="AB1043558" s="65"/>
    </row>
    <row r="1043559" spans="27:28" ht="15" customHeight="1" x14ac:dyDescent="0.3">
      <c r="AA1043559" s="65"/>
      <c r="AB1043559" s="65"/>
    </row>
    <row r="1043560" spans="27:28" ht="15" customHeight="1" x14ac:dyDescent="0.3">
      <c r="AA1043560" s="65"/>
      <c r="AB1043560" s="65"/>
    </row>
    <row r="1043561" spans="27:28" ht="15" customHeight="1" x14ac:dyDescent="0.3">
      <c r="AA1043561" s="65"/>
      <c r="AB1043561" s="65"/>
    </row>
    <row r="1043562" spans="27:28" ht="15" customHeight="1" x14ac:dyDescent="0.3">
      <c r="AA1043562" s="65"/>
      <c r="AB1043562" s="65"/>
    </row>
    <row r="1043563" spans="27:28" ht="15" customHeight="1" x14ac:dyDescent="0.3">
      <c r="AA1043563" s="65"/>
      <c r="AB1043563" s="65"/>
    </row>
    <row r="1043564" spans="27:28" ht="15" customHeight="1" x14ac:dyDescent="0.3">
      <c r="AA1043564" s="65"/>
      <c r="AB1043564" s="65"/>
    </row>
    <row r="1043565" spans="27:28" ht="15" customHeight="1" x14ac:dyDescent="0.3">
      <c r="AA1043565" s="65"/>
      <c r="AB1043565" s="65"/>
    </row>
    <row r="1043566" spans="27:28" ht="15" customHeight="1" x14ac:dyDescent="0.3">
      <c r="AA1043566" s="65"/>
      <c r="AB1043566" s="65"/>
    </row>
    <row r="1043567" spans="27:28" ht="15" customHeight="1" x14ac:dyDescent="0.3">
      <c r="AA1043567" s="65"/>
      <c r="AB1043567" s="65"/>
    </row>
    <row r="1043568" spans="27:28" ht="15" customHeight="1" x14ac:dyDescent="0.3">
      <c r="AA1043568" s="65"/>
      <c r="AB1043568" s="65"/>
    </row>
    <row r="1043569" spans="27:28" ht="15" customHeight="1" x14ac:dyDescent="0.3">
      <c r="AA1043569" s="65"/>
      <c r="AB1043569" s="65"/>
    </row>
    <row r="1043570" spans="27:28" ht="15" customHeight="1" x14ac:dyDescent="0.3">
      <c r="AA1043570" s="65"/>
      <c r="AB1043570" s="65"/>
    </row>
    <row r="1043571" spans="27:28" ht="15" customHeight="1" x14ac:dyDescent="0.3">
      <c r="AA1043571" s="65"/>
      <c r="AB1043571" s="65"/>
    </row>
    <row r="1043572" spans="27:28" ht="15" customHeight="1" x14ac:dyDescent="0.3">
      <c r="AA1043572" s="65"/>
      <c r="AB1043572" s="65"/>
    </row>
    <row r="1043573" spans="27:28" ht="15" customHeight="1" x14ac:dyDescent="0.3">
      <c r="AA1043573" s="65"/>
      <c r="AB1043573" s="65"/>
    </row>
    <row r="1043574" spans="27:28" ht="15" customHeight="1" x14ac:dyDescent="0.3">
      <c r="AA1043574" s="65"/>
      <c r="AB1043574" s="65"/>
    </row>
    <row r="1043575" spans="27:28" ht="15" customHeight="1" x14ac:dyDescent="0.3">
      <c r="AA1043575" s="65"/>
      <c r="AB1043575" s="65"/>
    </row>
    <row r="1043576" spans="27:28" ht="15" customHeight="1" x14ac:dyDescent="0.3">
      <c r="AA1043576" s="65"/>
      <c r="AB1043576" s="65"/>
    </row>
    <row r="1043577" spans="27:28" ht="15" customHeight="1" x14ac:dyDescent="0.3">
      <c r="AA1043577" s="65"/>
      <c r="AB1043577" s="65"/>
    </row>
    <row r="1043578" spans="27:28" ht="15" customHeight="1" x14ac:dyDescent="0.3">
      <c r="AA1043578" s="65"/>
      <c r="AB1043578" s="65"/>
    </row>
    <row r="1043579" spans="27:28" ht="15" customHeight="1" x14ac:dyDescent="0.3">
      <c r="AA1043579" s="65"/>
      <c r="AB1043579" s="65"/>
    </row>
    <row r="1043580" spans="27:28" ht="15" customHeight="1" x14ac:dyDescent="0.3">
      <c r="AA1043580" s="65"/>
      <c r="AB1043580" s="65"/>
    </row>
    <row r="1043581" spans="27:28" ht="15" customHeight="1" x14ac:dyDescent="0.3">
      <c r="AA1043581" s="65"/>
      <c r="AB1043581" s="65"/>
    </row>
    <row r="1043582" spans="27:28" ht="15" customHeight="1" x14ac:dyDescent="0.3">
      <c r="AA1043582" s="65"/>
      <c r="AB1043582" s="65"/>
    </row>
    <row r="1043583" spans="27:28" ht="15" customHeight="1" x14ac:dyDescent="0.3">
      <c r="AA1043583" s="65"/>
      <c r="AB1043583" s="65"/>
    </row>
    <row r="1043584" spans="27:28" ht="15" customHeight="1" x14ac:dyDescent="0.3">
      <c r="AA1043584" s="65"/>
      <c r="AB1043584" s="65"/>
    </row>
    <row r="1043585" spans="27:28" ht="15" customHeight="1" x14ac:dyDescent="0.3">
      <c r="AA1043585" s="65"/>
      <c r="AB1043585" s="65"/>
    </row>
    <row r="1043586" spans="27:28" ht="15" customHeight="1" x14ac:dyDescent="0.3">
      <c r="AA1043586" s="65"/>
      <c r="AB1043586" s="65"/>
    </row>
    <row r="1043587" spans="27:28" ht="15" customHeight="1" x14ac:dyDescent="0.3">
      <c r="AA1043587" s="65"/>
      <c r="AB1043587" s="65"/>
    </row>
    <row r="1043588" spans="27:28" ht="15" customHeight="1" x14ac:dyDescent="0.3">
      <c r="AA1043588" s="65"/>
      <c r="AB1043588" s="65"/>
    </row>
    <row r="1043589" spans="27:28" ht="15" customHeight="1" x14ac:dyDescent="0.3">
      <c r="AA1043589" s="65"/>
      <c r="AB1043589" s="65"/>
    </row>
    <row r="1043590" spans="27:28" ht="15" customHeight="1" x14ac:dyDescent="0.3">
      <c r="AA1043590" s="65"/>
      <c r="AB1043590" s="65"/>
    </row>
    <row r="1043591" spans="27:28" ht="15" customHeight="1" x14ac:dyDescent="0.3">
      <c r="AA1043591" s="65"/>
      <c r="AB1043591" s="65"/>
    </row>
    <row r="1043592" spans="27:28" ht="15" customHeight="1" x14ac:dyDescent="0.3">
      <c r="AA1043592" s="65"/>
      <c r="AB1043592" s="65"/>
    </row>
    <row r="1043593" spans="27:28" ht="15" customHeight="1" x14ac:dyDescent="0.3">
      <c r="AA1043593" s="65"/>
      <c r="AB1043593" s="65"/>
    </row>
    <row r="1043594" spans="27:28" ht="15" customHeight="1" x14ac:dyDescent="0.3">
      <c r="AA1043594" s="65"/>
      <c r="AB1043594" s="65"/>
    </row>
    <row r="1043595" spans="27:28" ht="15" customHeight="1" x14ac:dyDescent="0.3">
      <c r="AA1043595" s="65"/>
      <c r="AB1043595" s="65"/>
    </row>
    <row r="1043596" spans="27:28" ht="15" customHeight="1" x14ac:dyDescent="0.3">
      <c r="AA1043596" s="65"/>
      <c r="AB1043596" s="65"/>
    </row>
    <row r="1043597" spans="27:28" ht="15" customHeight="1" x14ac:dyDescent="0.3">
      <c r="AA1043597" s="65"/>
      <c r="AB1043597" s="65"/>
    </row>
    <row r="1043598" spans="27:28" ht="15" customHeight="1" x14ac:dyDescent="0.3">
      <c r="AA1043598" s="65"/>
      <c r="AB1043598" s="65"/>
    </row>
    <row r="1043599" spans="27:28" ht="15" customHeight="1" x14ac:dyDescent="0.3">
      <c r="AA1043599" s="65"/>
      <c r="AB1043599" s="65"/>
    </row>
    <row r="1043600" spans="27:28" ht="15" customHeight="1" x14ac:dyDescent="0.3">
      <c r="AA1043600" s="65"/>
      <c r="AB1043600" s="65"/>
    </row>
    <row r="1043601" spans="27:28" ht="15" customHeight="1" x14ac:dyDescent="0.3">
      <c r="AA1043601" s="65"/>
      <c r="AB1043601" s="65"/>
    </row>
    <row r="1043602" spans="27:28" ht="15" customHeight="1" x14ac:dyDescent="0.3">
      <c r="AA1043602" s="65"/>
      <c r="AB1043602" s="65"/>
    </row>
    <row r="1043603" spans="27:28" ht="15" customHeight="1" x14ac:dyDescent="0.3">
      <c r="AA1043603" s="65"/>
      <c r="AB1043603" s="65"/>
    </row>
    <row r="1043604" spans="27:28" ht="15" customHeight="1" x14ac:dyDescent="0.3">
      <c r="AA1043604" s="65"/>
      <c r="AB1043604" s="65"/>
    </row>
    <row r="1043605" spans="27:28" ht="15" customHeight="1" x14ac:dyDescent="0.3">
      <c r="AA1043605" s="65"/>
      <c r="AB1043605" s="65"/>
    </row>
    <row r="1043606" spans="27:28" ht="15" customHeight="1" x14ac:dyDescent="0.3">
      <c r="AA1043606" s="65"/>
      <c r="AB1043606" s="65"/>
    </row>
    <row r="1043607" spans="27:28" ht="15" customHeight="1" x14ac:dyDescent="0.3">
      <c r="AA1043607" s="65"/>
      <c r="AB1043607" s="65"/>
    </row>
    <row r="1043608" spans="27:28" ht="15" customHeight="1" x14ac:dyDescent="0.3">
      <c r="AA1043608" s="65"/>
      <c r="AB1043608" s="65"/>
    </row>
    <row r="1043609" spans="27:28" ht="15" customHeight="1" x14ac:dyDescent="0.3">
      <c r="AA1043609" s="65"/>
      <c r="AB1043609" s="65"/>
    </row>
    <row r="1043610" spans="27:28" ht="15" customHeight="1" x14ac:dyDescent="0.3">
      <c r="AA1043610" s="65"/>
      <c r="AB1043610" s="65"/>
    </row>
    <row r="1043611" spans="27:28" ht="15" customHeight="1" x14ac:dyDescent="0.3">
      <c r="AA1043611" s="65"/>
      <c r="AB1043611" s="65"/>
    </row>
    <row r="1043612" spans="27:28" ht="15" customHeight="1" x14ac:dyDescent="0.3">
      <c r="AA1043612" s="65"/>
      <c r="AB1043612" s="65"/>
    </row>
    <row r="1043613" spans="27:28" ht="15" customHeight="1" x14ac:dyDescent="0.3">
      <c r="AA1043613" s="65"/>
      <c r="AB1043613" s="65"/>
    </row>
    <row r="1043614" spans="27:28" ht="15" customHeight="1" x14ac:dyDescent="0.3">
      <c r="AA1043614" s="65"/>
      <c r="AB1043614" s="65"/>
    </row>
    <row r="1043615" spans="27:28" ht="15" customHeight="1" x14ac:dyDescent="0.3">
      <c r="AA1043615" s="65"/>
      <c r="AB1043615" s="65"/>
    </row>
    <row r="1043616" spans="27:28" ht="15" customHeight="1" x14ac:dyDescent="0.3">
      <c r="AA1043616" s="65"/>
      <c r="AB1043616" s="65"/>
    </row>
    <row r="1043617" spans="27:28" ht="15" customHeight="1" x14ac:dyDescent="0.3">
      <c r="AA1043617" s="65"/>
      <c r="AB1043617" s="65"/>
    </row>
    <row r="1043618" spans="27:28" ht="15" customHeight="1" x14ac:dyDescent="0.3">
      <c r="AA1043618" s="65"/>
      <c r="AB1043618" s="65"/>
    </row>
    <row r="1043619" spans="27:28" ht="15" customHeight="1" x14ac:dyDescent="0.3">
      <c r="AA1043619" s="65"/>
      <c r="AB1043619" s="65"/>
    </row>
    <row r="1043620" spans="27:28" ht="15" customHeight="1" x14ac:dyDescent="0.3">
      <c r="AA1043620" s="65"/>
      <c r="AB1043620" s="65"/>
    </row>
    <row r="1043621" spans="27:28" ht="15" customHeight="1" x14ac:dyDescent="0.3">
      <c r="AA1043621" s="65"/>
      <c r="AB1043621" s="65"/>
    </row>
    <row r="1043622" spans="27:28" ht="15" customHeight="1" x14ac:dyDescent="0.3">
      <c r="AA1043622" s="66"/>
      <c r="AB1043622" s="66"/>
    </row>
    <row r="1043623" spans="27:28" ht="15" customHeight="1" x14ac:dyDescent="0.3">
      <c r="AA1043623" s="66"/>
      <c r="AB1043623" s="66"/>
    </row>
    <row r="1043624" spans="27:28" ht="15" customHeight="1" x14ac:dyDescent="0.3">
      <c r="AA1043624" s="66"/>
      <c r="AB1043624" s="66"/>
    </row>
    <row r="1043625" spans="27:28" ht="15" customHeight="1" x14ac:dyDescent="0.3">
      <c r="AA1043625" s="65"/>
      <c r="AB1043625" s="65"/>
    </row>
    <row r="1043626" spans="27:28" ht="15" customHeight="1" x14ac:dyDescent="0.3">
      <c r="AA1043626" s="65"/>
      <c r="AB1043626" s="65"/>
    </row>
    <row r="1043627" spans="27:28" ht="15" customHeight="1" x14ac:dyDescent="0.3">
      <c r="AA1043627" s="67"/>
      <c r="AB1043627" s="67"/>
    </row>
    <row r="1043628" spans="27:28" ht="15" customHeight="1" x14ac:dyDescent="0.3">
      <c r="AA1043628" s="67"/>
      <c r="AB1043628" s="67"/>
    </row>
    <row r="1043629" spans="27:28" ht="15" customHeight="1" x14ac:dyDescent="0.3">
      <c r="AA1043629" s="67"/>
      <c r="AB1043629" s="67"/>
    </row>
    <row r="1043630" spans="27:28" ht="15" customHeight="1" x14ac:dyDescent="0.3">
      <c r="AA1043630" s="67"/>
      <c r="AB1043630" s="67"/>
    </row>
    <row r="1043631" spans="27:28" ht="15" customHeight="1" x14ac:dyDescent="0.3">
      <c r="AA1043631" s="65"/>
      <c r="AB1043631" s="65"/>
    </row>
    <row r="1043632" spans="27:28" ht="15" customHeight="1" x14ac:dyDescent="0.3">
      <c r="AA1043632" s="65"/>
      <c r="AB1043632" s="65"/>
    </row>
    <row r="1043633" spans="27:28" ht="15" customHeight="1" x14ac:dyDescent="0.3">
      <c r="AA1043633" s="65"/>
      <c r="AB1043633" s="65"/>
    </row>
    <row r="1043634" spans="27:28" ht="15" customHeight="1" x14ac:dyDescent="0.3">
      <c r="AA1043634" s="65"/>
      <c r="AB1043634" s="65"/>
    </row>
    <row r="1043635" spans="27:28" ht="15" customHeight="1" x14ac:dyDescent="0.3">
      <c r="AA1043635" s="65"/>
      <c r="AB1043635" s="65"/>
    </row>
    <row r="1043636" spans="27:28" ht="15" customHeight="1" x14ac:dyDescent="0.3">
      <c r="AA1043636" s="65"/>
      <c r="AB1043636" s="65"/>
    </row>
    <row r="1043637" spans="27:28" ht="15" customHeight="1" x14ac:dyDescent="0.3">
      <c r="AA1043637" s="65"/>
      <c r="AB1043637" s="65"/>
    </row>
    <row r="1043638" spans="27:28" ht="15" customHeight="1" x14ac:dyDescent="0.3">
      <c r="AA1043638" s="65"/>
      <c r="AB1043638" s="65"/>
    </row>
    <row r="1043639" spans="27:28" ht="15" customHeight="1" x14ac:dyDescent="0.3">
      <c r="AA1043639" s="65"/>
      <c r="AB1043639" s="65"/>
    </row>
    <row r="1043640" spans="27:28" ht="15" customHeight="1" x14ac:dyDescent="0.3">
      <c r="AA1043640" s="65"/>
      <c r="AB1043640" s="65"/>
    </row>
    <row r="1043641" spans="27:28" ht="15" customHeight="1" x14ac:dyDescent="0.3">
      <c r="AA1043641" s="68"/>
      <c r="AB1043641" s="68"/>
    </row>
    <row r="1043642" spans="27:28" ht="15" customHeight="1" x14ac:dyDescent="0.3">
      <c r="AA1043642" s="65"/>
      <c r="AB1043642" s="65"/>
    </row>
    <row r="1043643" spans="27:28" ht="15" customHeight="1" x14ac:dyDescent="0.3">
      <c r="AA1043643" s="65"/>
      <c r="AB1043643" s="65"/>
    </row>
    <row r="1043644" spans="27:28" ht="15" customHeight="1" x14ac:dyDescent="0.3">
      <c r="AA1043644" s="65"/>
      <c r="AB1043644" s="65"/>
    </row>
    <row r="1043645" spans="27:28" ht="15" customHeight="1" x14ac:dyDescent="0.3">
      <c r="AA1043645" s="65"/>
      <c r="AB1043645" s="65"/>
    </row>
    <row r="1043646" spans="27:28" ht="15" customHeight="1" x14ac:dyDescent="0.3">
      <c r="AA1043646" s="65"/>
      <c r="AB1043646" s="65"/>
    </row>
    <row r="1043647" spans="27:28" ht="15" customHeight="1" x14ac:dyDescent="0.3">
      <c r="AA1043647" s="69"/>
      <c r="AB1043647" s="69"/>
    </row>
    <row r="1043648" spans="27:28" ht="15" customHeight="1" x14ac:dyDescent="0.3">
      <c r="AA1043648" s="65"/>
      <c r="AB1043648" s="65"/>
    </row>
    <row r="1043649" spans="27:28" ht="15" customHeight="1" x14ac:dyDescent="0.3">
      <c r="AA1043649" s="65"/>
      <c r="AB1043649" s="65"/>
    </row>
    <row r="1043650" spans="27:28" ht="15" customHeight="1" x14ac:dyDescent="0.3">
      <c r="AA1043650" s="65"/>
      <c r="AB1043650" s="65"/>
    </row>
    <row r="1043651" spans="27:28" ht="15" customHeight="1" x14ac:dyDescent="0.3">
      <c r="AA1043651" s="65"/>
      <c r="AB1043651" s="65"/>
    </row>
    <row r="1043652" spans="27:28" ht="15" customHeight="1" x14ac:dyDescent="0.3">
      <c r="AA1043652" s="70"/>
      <c r="AB1043652" s="70"/>
    </row>
    <row r="1043653" spans="27:28" ht="15" customHeight="1" x14ac:dyDescent="0.3">
      <c r="AA1043653" s="70"/>
      <c r="AB1043653" s="70"/>
    </row>
    <row r="1043654" spans="27:28" ht="15" customHeight="1" x14ac:dyDescent="0.3">
      <c r="AA1043654" s="70"/>
      <c r="AB1043654" s="70"/>
    </row>
    <row r="1043655" spans="27:28" ht="15" customHeight="1" x14ac:dyDescent="0.3">
      <c r="AA1043655" s="65"/>
      <c r="AB1043655" s="65"/>
    </row>
    <row r="1043656" spans="27:28" ht="15" customHeight="1" x14ac:dyDescent="0.3">
      <c r="AA1043656" s="65"/>
      <c r="AB1043656" s="65"/>
    </row>
    <row r="1043657" spans="27:28" ht="15" customHeight="1" x14ac:dyDescent="0.3">
      <c r="AA1043657" s="65"/>
      <c r="AB1043657" s="65"/>
    </row>
    <row r="1043658" spans="27:28" ht="15" customHeight="1" x14ac:dyDescent="0.3">
      <c r="AA1043658" s="71"/>
      <c r="AB1043658" s="71"/>
    </row>
    <row r="1043659" spans="27:28" ht="15" customHeight="1" x14ac:dyDescent="0.3">
      <c r="AA1043659" s="71"/>
      <c r="AB1043659" s="71"/>
    </row>
    <row r="1043660" spans="27:28" ht="15" customHeight="1" x14ac:dyDescent="0.3">
      <c r="AA1043660" s="65"/>
      <c r="AB1043660" s="65"/>
    </row>
    <row r="1043661" spans="27:28" ht="15" customHeight="1" x14ac:dyDescent="0.3">
      <c r="AA1043661" s="72"/>
      <c r="AB1043661" s="72"/>
    </row>
    <row r="1043662" spans="27:28" ht="15" customHeight="1" x14ac:dyDescent="0.3">
      <c r="AA1043662" s="72"/>
      <c r="AB1043662" s="72"/>
    </row>
    <row r="1043663" spans="27:28" ht="15" customHeight="1" x14ac:dyDescent="0.3">
      <c r="AA1043663" s="65"/>
      <c r="AB1043663" s="65"/>
    </row>
    <row r="1043664" spans="27:28" ht="15" customHeight="1" x14ac:dyDescent="0.3">
      <c r="AA1043664" s="65"/>
      <c r="AB1043664" s="65"/>
    </row>
    <row r="1043665" spans="27:28" ht="15" customHeight="1" x14ac:dyDescent="0.3">
      <c r="AA1043665" s="65"/>
      <c r="AB1043665" s="65"/>
    </row>
    <row r="1043666" spans="27:28" ht="15" customHeight="1" x14ac:dyDescent="0.3">
      <c r="AA1043666" s="65"/>
      <c r="AB1043666" s="65"/>
    </row>
    <row r="1043667" spans="27:28" ht="15" customHeight="1" x14ac:dyDescent="0.3">
      <c r="AA1043667" s="65"/>
      <c r="AB1043667" s="65"/>
    </row>
    <row r="1043668" spans="27:28" ht="15" customHeight="1" x14ac:dyDescent="0.3">
      <c r="AA1043668" s="65"/>
      <c r="AB1043668" s="65"/>
    </row>
    <row r="1043669" spans="27:28" ht="15" customHeight="1" x14ac:dyDescent="0.3">
      <c r="AA1043669" s="65"/>
      <c r="AB1043669" s="65"/>
    </row>
    <row r="1043670" spans="27:28" ht="15" customHeight="1" x14ac:dyDescent="0.3">
      <c r="AA1043670" s="65"/>
      <c r="AB1043670" s="65"/>
    </row>
    <row r="1043671" spans="27:28" ht="15" customHeight="1" x14ac:dyDescent="0.3">
      <c r="AA1043671" s="65"/>
      <c r="AB1043671" s="65"/>
    </row>
    <row r="1043672" spans="27:28" ht="15" customHeight="1" x14ac:dyDescent="0.3">
      <c r="AA1043672" s="65"/>
      <c r="AB1043672" s="65"/>
    </row>
    <row r="1043673" spans="27:28" ht="15" customHeight="1" x14ac:dyDescent="0.3">
      <c r="AA1043673" s="73"/>
      <c r="AB1043673" s="73"/>
    </row>
    <row r="1043674" spans="27:28" ht="15" customHeight="1" x14ac:dyDescent="0.3">
      <c r="AA1043674" s="65"/>
      <c r="AB1043674" s="65"/>
    </row>
    <row r="1043675" spans="27:28" ht="15" customHeight="1" x14ac:dyDescent="0.3">
      <c r="AA1043675" s="65"/>
      <c r="AB1043675" s="65"/>
    </row>
    <row r="1043676" spans="27:28" ht="15" customHeight="1" x14ac:dyDescent="0.3">
      <c r="AA1043676" s="65"/>
      <c r="AB1043676" s="65"/>
    </row>
    <row r="1043677" spans="27:28" ht="15" customHeight="1" x14ac:dyDescent="0.3">
      <c r="AA1043677" s="65"/>
      <c r="AB1043677" s="65"/>
    </row>
    <row r="1043678" spans="27:28" ht="15" customHeight="1" x14ac:dyDescent="0.3">
      <c r="AA1043678" s="65"/>
      <c r="AB1043678" s="65"/>
    </row>
    <row r="1043679" spans="27:28" ht="15" customHeight="1" x14ac:dyDescent="0.3">
      <c r="AA1043679" s="65"/>
      <c r="AB1043679" s="65"/>
    </row>
    <row r="1043680" spans="27:28" ht="15" customHeight="1" x14ac:dyDescent="0.3">
      <c r="AA1043680" s="74"/>
      <c r="AB1043680" s="74"/>
    </row>
    <row r="1043681" spans="27:28" ht="15" customHeight="1" x14ac:dyDescent="0.3">
      <c r="AA1043681" s="74"/>
      <c r="AB1043681" s="74"/>
    </row>
    <row r="1043682" spans="27:28" ht="15" customHeight="1" x14ac:dyDescent="0.3">
      <c r="AA1043682" s="65"/>
      <c r="AB1043682" s="65"/>
    </row>
    <row r="1043683" spans="27:28" ht="15" customHeight="1" x14ac:dyDescent="0.3">
      <c r="AA1043683" s="65"/>
      <c r="AB1043683" s="65"/>
    </row>
    <row r="1043684" spans="27:28" ht="15" customHeight="1" x14ac:dyDescent="0.3">
      <c r="AA1043684" s="65"/>
      <c r="AB1043684" s="65"/>
    </row>
    <row r="1043685" spans="27:28" ht="15" customHeight="1" x14ac:dyDescent="0.3">
      <c r="AA1043685" s="77"/>
      <c r="AB1043685" s="77"/>
    </row>
    <row r="1043686" spans="27:28" ht="15" customHeight="1" x14ac:dyDescent="0.3">
      <c r="AA1043686" s="76"/>
      <c r="AB1043686" s="76"/>
    </row>
    <row r="1043687" spans="27:28" ht="15" customHeight="1" x14ac:dyDescent="0.3">
      <c r="AA1043687" s="75"/>
      <c r="AB1043687" s="75"/>
    </row>
    <row r="1043688" spans="27:28" ht="15" customHeight="1" x14ac:dyDescent="0.3">
      <c r="AA1043688" s="75"/>
      <c r="AB1043688" s="75"/>
    </row>
    <row r="1043689" spans="27:28" ht="15" customHeight="1" x14ac:dyDescent="0.3">
      <c r="AA1043689" s="65"/>
      <c r="AB1043689" s="65"/>
    </row>
    <row r="1043690" spans="27:28" ht="15" customHeight="1" x14ac:dyDescent="0.3">
      <c r="AA1043690" s="65"/>
      <c r="AB1043690" s="65"/>
    </row>
    <row r="1043691" spans="27:28" ht="15" customHeight="1" x14ac:dyDescent="0.3">
      <c r="AA1043691" s="65"/>
      <c r="AB1043691" s="65"/>
    </row>
    <row r="1043692" spans="27:28" ht="15" customHeight="1" x14ac:dyDescent="0.3">
      <c r="AA1043692" s="75"/>
      <c r="AB1043692" s="75"/>
    </row>
    <row r="1043693" spans="27:28" ht="15" customHeight="1" x14ac:dyDescent="0.3">
      <c r="AA1043693" s="65"/>
      <c r="AB1043693" s="65"/>
    </row>
    <row r="1043694" spans="27:28" ht="15" customHeight="1" x14ac:dyDescent="0.3">
      <c r="AA1043694" s="65"/>
      <c r="AB1043694" s="65"/>
    </row>
    <row r="1043695" spans="27:28" ht="15" customHeight="1" x14ac:dyDescent="0.3">
      <c r="AA1043695" s="65"/>
      <c r="AB1043695" s="65"/>
    </row>
    <row r="1043696" spans="27:28" ht="15" customHeight="1" x14ac:dyDescent="0.3">
      <c r="AA1043696" s="65"/>
      <c r="AB1043696" s="65"/>
    </row>
    <row r="1043697" spans="27:28" ht="15" customHeight="1" x14ac:dyDescent="0.3">
      <c r="AA1043697" s="65"/>
      <c r="AB1043697" s="65"/>
    </row>
    <row r="1043698" spans="27:28" ht="15" customHeight="1" x14ac:dyDescent="0.3">
      <c r="AA1043698" s="78"/>
      <c r="AB1043698" s="78"/>
    </row>
  </sheetData>
  <autoFilter ref="A1:AB11" xr:uid="{00000000-0001-0000-0100-000000000000}"/>
  <customSheetViews>
    <customSheetView guid="{E6E7F0C3-0611-48EA-A1C7-82104D591517}" filter="1" showAutoFilter="1">
      <pageMargins left="0.7" right="0.7" top="0.75" bottom="0.75" header="0.3" footer="0.3"/>
      <autoFilter ref="A6:W2846" xr:uid="{526C3056-B83D-4564-87FC-C694C0341A25}"/>
    </customSheetView>
  </customSheetViews>
  <phoneticPr fontId="34" type="noConversion"/>
  <conditionalFormatting sqref="L1:L11">
    <cfRule type="containsText" dxfId="12898" priority="53692" operator="containsText" text="RECHAZADA">
      <formula>NOT(ISERROR(SEARCH("RECHAZADA",L1)))</formula>
    </cfRule>
    <cfRule type="containsText" dxfId="12897" priority="53693" operator="containsText" text="Atendida">
      <formula>NOT(ISERROR(SEARCH("Atendida",L1)))</formula>
    </cfRule>
  </conditionalFormatting>
  <conditionalFormatting sqref="L1:L1048576">
    <cfRule type="containsText" dxfId="12896" priority="53691" operator="containsText" text="Reasignación">
      <formula>NOT(ISERROR(SEARCH("Reasignación",L1)))</formula>
    </cfRule>
  </conditionalFormatting>
  <conditionalFormatting sqref="N12:N1048576 L12:L1048576">
    <cfRule type="containsText" dxfId="12895" priority="53644" operator="containsText" text="RECHAZADA">
      <formula>NOT(ISERROR(SEARCH("RECHAZADA",L12)))</formula>
    </cfRule>
  </conditionalFormatting>
  <conditionalFormatting sqref="N12:N1048576">
    <cfRule type="containsText" dxfId="12894" priority="53645" operator="containsText" text="Atendida">
      <formula>NOT(ISERROR(SEARCH("Atendida",N12)))</formula>
    </cfRule>
  </conditionalFormatting>
  <conditionalFormatting sqref="L12:L1048576">
    <cfRule type="containsText" dxfId="12893" priority="32634" operator="containsText" text="Atendida">
      <formula>NOT(ISERROR(SEARCH("Atendida",L12)))</formula>
    </cfRule>
  </conditionalFormatting>
  <conditionalFormatting sqref="N1:N11">
    <cfRule type="containsText" dxfId="12892" priority="47636" operator="containsText" text="RECHAZADA">
      <formula>NOT(ISERROR(SEARCH("RECHAZADA",N1)))</formula>
    </cfRule>
  </conditionalFormatting>
  <conditionalFormatting sqref="N1:N11">
    <cfRule type="containsText" dxfId="12891" priority="47376" operator="containsText" text="OBSERVADO">
      <formula>NOT(ISERROR(SEARCH("OBSERVADO",N1)))</formula>
    </cfRule>
    <cfRule type="containsText" dxfId="12890" priority="47377" operator="containsText" text="CONFORME">
      <formula>NOT(ISERROR(SEARCH("CONFORME",N1)))</formula>
    </cfRule>
  </conditionalFormatting>
  <conditionalFormatting sqref="N1:N11">
    <cfRule type="containsText" dxfId="12889" priority="49119" operator="containsText" text="Atendida">
      <formula>NOT(ISERROR(SEARCH("Atendida",N1)))</formula>
    </cfRule>
  </conditionalFormatting>
  <conditionalFormatting sqref="N12:N1048576">
    <cfRule type="containsText" dxfId="12888" priority="43314" operator="containsText" text="OBSERVADO">
      <formula>NOT(ISERROR(SEARCH("OBSERVADO",N12)))</formula>
    </cfRule>
  </conditionalFormatting>
  <conditionalFormatting sqref="N12:N1048576">
    <cfRule type="containsText" dxfId="12887" priority="43315" operator="containsText" text="CONFORME">
      <formula>NOT(ISERROR(SEARCH("CONFORME",N12)))</formula>
    </cfRule>
  </conditionalFormatting>
  <conditionalFormatting sqref="B1:B1048576">
    <cfRule type="duplicateValues" dxfId="1" priority="56292"/>
  </conditionalFormatting>
  <conditionalFormatting sqref="E1:E1048576">
    <cfRule type="duplicateValues" dxfId="0" priority="56295"/>
  </conditionalFormatting>
  <pageMargins left="0.7" right="0.7" top="0.75" bottom="0.75" header="0" footer="0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EEE8D7B4-CB47-4E20-B74B-C291EA5997DA}">
          <x14:formula1>
            <xm:f>OBSERVACIÓN!$A$24:$A$25</xm:f>
          </x14:formula1>
          <xm:sqref>AA2:AA11</xm:sqref>
        </x14:dataValidation>
        <x14:dataValidation type="list" allowBlank="1" showErrorMessage="1" xr:uid="{00000000-0002-0000-0100-000001000000}">
          <x14:formula1>
            <xm:f>OBSERVACIÓN!$A$13:$A$14</xm:f>
          </x14:formula1>
          <xm:sqref>N2:N11</xm:sqref>
        </x14:dataValidation>
        <x14:dataValidation type="list" allowBlank="1" showErrorMessage="1" xr:uid="{00000000-0002-0000-0100-000000000000}">
          <x14:formula1>
            <xm:f>OBSERVACIÓN!$A$2:$A$6</xm:f>
          </x14:formula1>
          <xm:sqref>L2:L11</xm:sqref>
        </x14:dataValidation>
        <x14:dataValidation type="list" allowBlank="1" showInputMessage="1" showErrorMessage="1" xr:uid="{17E40206-9173-400B-88AA-946C6BA0BC2C}">
          <x14:formula1>
            <xm:f>OBSERVACIÓN!$A$27:$A$28</xm:f>
          </x14:formula1>
          <xm:sqref>F2:F11</xm:sqref>
        </x14:dataValidation>
        <x14:dataValidation type="list" allowBlank="1" showInputMessage="1" showErrorMessage="1" xr:uid="{C9099885-C405-4E7E-BDD7-0597B4C47D78}">
          <x14:formula1>
            <xm:f>OBSERVACIÓN!$A$31:$A$32</xm:f>
          </x14:formula1>
          <xm:sqref>AB2:AB11</xm:sqref>
        </x14:dataValidation>
        <x14:dataValidation type="list" allowBlank="1" showInputMessage="1" showErrorMessage="1" xr:uid="{320C30C2-9BE7-4735-9CF2-913D388898D1}">
          <x14:formula1>
            <xm:f>OBSERVACIÓN!$A$20</xm:f>
          </x14:formula1>
          <xm:sqref>O2:O1048576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757F0-3F24-40DD-8679-684B46C64B5B}">
  <sheetPr codeName="Hoja2">
    <tabColor theme="7" tint="0.59999389629810485"/>
  </sheetPr>
  <dimension ref="A1:L23"/>
  <sheetViews>
    <sheetView topLeftCell="C1" zoomScale="93" zoomScaleNormal="93" workbookViewId="0">
      <selection activeCell="H2" sqref="H2"/>
    </sheetView>
  </sheetViews>
  <sheetFormatPr baseColWidth="10" defaultRowHeight="14.4" x14ac:dyDescent="0.3"/>
  <cols>
    <col min="1" max="1" width="13.6640625" bestFit="1" customWidth="1"/>
    <col min="2" max="2" width="57.88671875" bestFit="1" customWidth="1"/>
    <col min="3" max="3" width="20.33203125" bestFit="1" customWidth="1"/>
    <col min="4" max="4" width="43.33203125" customWidth="1"/>
    <col min="5" max="5" width="18.6640625" customWidth="1"/>
    <col min="6" max="6" width="17" customWidth="1"/>
    <col min="7" max="7" width="21.44140625" bestFit="1" customWidth="1"/>
    <col min="8" max="8" width="12.88671875" bestFit="1" customWidth="1"/>
  </cols>
  <sheetData>
    <row r="1" spans="1:8" x14ac:dyDescent="0.3">
      <c r="A1" s="29"/>
      <c r="B1" s="43" t="s">
        <v>3</v>
      </c>
      <c r="C1" s="44" t="s">
        <v>5</v>
      </c>
      <c r="D1" s="44" t="s">
        <v>370</v>
      </c>
      <c r="E1" s="13" t="s">
        <v>10</v>
      </c>
      <c r="F1" s="40" t="s">
        <v>1038</v>
      </c>
      <c r="G1" s="11" t="s">
        <v>392</v>
      </c>
      <c r="H1" s="11" t="s">
        <v>1117</v>
      </c>
    </row>
    <row r="2" spans="1:8" x14ac:dyDescent="0.3">
      <c r="A2" s="80">
        <v>44885022</v>
      </c>
      <c r="B2" s="53" t="s">
        <v>1103</v>
      </c>
      <c r="C2" s="18">
        <v>84181823</v>
      </c>
      <c r="D2" s="59" t="s">
        <v>1100</v>
      </c>
      <c r="E2" s="19" t="s">
        <v>770</v>
      </c>
      <c r="F2" s="38">
        <v>46037</v>
      </c>
      <c r="G2" s="58" t="s">
        <v>398</v>
      </c>
      <c r="H2" s="65" t="s">
        <v>1115</v>
      </c>
    </row>
    <row r="3" spans="1:8" x14ac:dyDescent="0.3">
      <c r="A3" s="80">
        <v>25779443</v>
      </c>
      <c r="B3" s="53" t="s">
        <v>1122</v>
      </c>
      <c r="C3" s="18">
        <v>84288793</v>
      </c>
      <c r="D3" s="59" t="s">
        <v>1123</v>
      </c>
      <c r="E3" s="19" t="s">
        <v>922</v>
      </c>
      <c r="F3" s="38">
        <v>46042</v>
      </c>
      <c r="G3" s="53" t="s">
        <v>426</v>
      </c>
      <c r="H3" s="65" t="s">
        <v>1115</v>
      </c>
    </row>
    <row r="4" spans="1:8" x14ac:dyDescent="0.3">
      <c r="A4" s="80">
        <v>32121118</v>
      </c>
      <c r="B4" s="53" t="s">
        <v>1125</v>
      </c>
      <c r="C4" s="18">
        <v>84296978</v>
      </c>
      <c r="D4" s="59" t="s">
        <v>1127</v>
      </c>
      <c r="E4" s="19" t="s">
        <v>1126</v>
      </c>
      <c r="F4" s="38">
        <v>46042</v>
      </c>
      <c r="G4" s="53" t="s">
        <v>394</v>
      </c>
      <c r="H4" s="65" t="s">
        <v>1115</v>
      </c>
    </row>
    <row r="5" spans="1:8" x14ac:dyDescent="0.3">
      <c r="A5" s="80">
        <v>22477027</v>
      </c>
      <c r="B5" s="53" t="s">
        <v>1129</v>
      </c>
      <c r="C5" s="18">
        <v>84314000</v>
      </c>
      <c r="D5" s="59" t="s">
        <v>1133</v>
      </c>
      <c r="E5" s="19" t="s">
        <v>518</v>
      </c>
      <c r="F5" s="38">
        <v>46043</v>
      </c>
      <c r="G5" s="53" t="s">
        <v>393</v>
      </c>
      <c r="H5" s="65" t="s">
        <v>1115</v>
      </c>
    </row>
    <row r="6" spans="1:8" x14ac:dyDescent="0.3">
      <c r="A6" s="80">
        <v>77674451</v>
      </c>
      <c r="B6" s="53" t="s">
        <v>1134</v>
      </c>
      <c r="C6" s="18">
        <v>84315966</v>
      </c>
      <c r="D6" s="59" t="s">
        <v>1136</v>
      </c>
      <c r="E6" s="19" t="s">
        <v>879</v>
      </c>
      <c r="F6" s="38">
        <v>46043</v>
      </c>
      <c r="G6" s="53" t="s">
        <v>399</v>
      </c>
      <c r="H6" s="65" t="s">
        <v>1115</v>
      </c>
    </row>
    <row r="7" spans="1:8" x14ac:dyDescent="0.3">
      <c r="A7" s="80">
        <v>81010256</v>
      </c>
      <c r="B7" s="53" t="s">
        <v>1137</v>
      </c>
      <c r="C7" s="18">
        <v>84335673</v>
      </c>
      <c r="D7" s="59" t="s">
        <v>1128</v>
      </c>
      <c r="E7" s="19" t="s">
        <v>518</v>
      </c>
      <c r="F7" s="38">
        <v>46044</v>
      </c>
      <c r="G7" s="53" t="s">
        <v>397</v>
      </c>
      <c r="H7" s="65" t="s">
        <v>1115</v>
      </c>
    </row>
    <row r="8" spans="1:8" x14ac:dyDescent="0.3">
      <c r="A8" s="80">
        <v>44609204</v>
      </c>
      <c r="B8" s="53" t="s">
        <v>1138</v>
      </c>
      <c r="C8" s="18">
        <v>84335956</v>
      </c>
      <c r="D8" s="59" t="s">
        <v>1140</v>
      </c>
      <c r="E8" s="19" t="s">
        <v>1124</v>
      </c>
      <c r="F8" s="38">
        <v>46044</v>
      </c>
      <c r="G8" s="53" t="s">
        <v>406</v>
      </c>
      <c r="H8" s="65" t="s">
        <v>1115</v>
      </c>
    </row>
    <row r="9" spans="1:8" x14ac:dyDescent="0.3">
      <c r="A9" s="80">
        <v>72074469</v>
      </c>
      <c r="B9" s="53" t="s">
        <v>1139</v>
      </c>
      <c r="C9" s="18">
        <v>84336608</v>
      </c>
      <c r="D9" s="59" t="s">
        <v>1132</v>
      </c>
      <c r="E9" s="19" t="s">
        <v>747</v>
      </c>
      <c r="F9" s="38">
        <v>46044</v>
      </c>
      <c r="G9" s="53" t="s">
        <v>397</v>
      </c>
      <c r="H9" s="65" t="s">
        <v>1115</v>
      </c>
    </row>
    <row r="10" spans="1:8" x14ac:dyDescent="0.3">
      <c r="A10" s="80">
        <v>20559212700</v>
      </c>
      <c r="B10" s="53" t="s">
        <v>1087</v>
      </c>
      <c r="C10" s="18">
        <v>84101193</v>
      </c>
      <c r="D10" s="59" t="s">
        <v>1146</v>
      </c>
      <c r="E10" s="19" t="s">
        <v>518</v>
      </c>
      <c r="F10" s="38">
        <v>46044</v>
      </c>
      <c r="G10" s="53" t="s">
        <v>402</v>
      </c>
      <c r="H10" s="65" t="s">
        <v>1115</v>
      </c>
    </row>
    <row r="11" spans="1:8" x14ac:dyDescent="0.3">
      <c r="A11" s="80">
        <v>41410739</v>
      </c>
      <c r="B11" s="53" t="s">
        <v>1141</v>
      </c>
      <c r="C11" s="18">
        <v>84340833</v>
      </c>
      <c r="D11" s="59" t="s">
        <v>1146</v>
      </c>
      <c r="E11" s="19" t="s">
        <v>770</v>
      </c>
      <c r="F11" s="38">
        <v>46044</v>
      </c>
      <c r="G11" s="53" t="s">
        <v>398</v>
      </c>
      <c r="H11" s="65" t="s">
        <v>1115</v>
      </c>
    </row>
    <row r="12" spans="1:8" x14ac:dyDescent="0.3">
      <c r="A12" s="80">
        <v>17824052</v>
      </c>
      <c r="B12" s="53" t="s">
        <v>1143</v>
      </c>
      <c r="C12" s="18">
        <v>84345948</v>
      </c>
      <c r="D12" s="59" t="s">
        <v>1145</v>
      </c>
      <c r="E12" s="19" t="s">
        <v>524</v>
      </c>
      <c r="F12" s="38">
        <v>46044</v>
      </c>
      <c r="G12" s="53" t="s">
        <v>396</v>
      </c>
      <c r="H12" s="65" t="s">
        <v>1115</v>
      </c>
    </row>
    <row r="13" spans="1:8" x14ac:dyDescent="0.3">
      <c r="A13" s="80">
        <v>10004047503</v>
      </c>
      <c r="B13" s="53" t="s">
        <v>1147</v>
      </c>
      <c r="C13" s="18">
        <v>84366062</v>
      </c>
      <c r="D13" s="59" t="s">
        <v>1127</v>
      </c>
      <c r="E13" s="19" t="s">
        <v>879</v>
      </c>
      <c r="F13" s="38">
        <v>46045</v>
      </c>
      <c r="G13" s="53" t="s">
        <v>401</v>
      </c>
      <c r="H13" s="65" t="s">
        <v>1115</v>
      </c>
    </row>
    <row r="14" spans="1:8" x14ac:dyDescent="0.3">
      <c r="A14" s="80">
        <v>41831737</v>
      </c>
      <c r="B14" s="53" t="s">
        <v>1148</v>
      </c>
      <c r="C14" s="18">
        <v>84367770</v>
      </c>
      <c r="D14" s="59" t="s">
        <v>1149</v>
      </c>
      <c r="E14" s="19" t="s">
        <v>518</v>
      </c>
      <c r="F14" s="38">
        <v>46045</v>
      </c>
      <c r="G14" s="53" t="s">
        <v>401</v>
      </c>
      <c r="H14" s="65" t="s">
        <v>1115</v>
      </c>
    </row>
    <row r="15" spans="1:8" x14ac:dyDescent="0.3">
      <c r="A15" s="80">
        <v>42361992</v>
      </c>
      <c r="B15" s="53" t="s">
        <v>1150</v>
      </c>
      <c r="C15" s="18">
        <v>84382786</v>
      </c>
      <c r="D15" s="59" t="s">
        <v>1161</v>
      </c>
      <c r="E15" s="19" t="s">
        <v>771</v>
      </c>
      <c r="F15" s="38">
        <v>46046</v>
      </c>
      <c r="G15" s="53" t="s">
        <v>394</v>
      </c>
      <c r="H15" s="65" t="s">
        <v>1115</v>
      </c>
    </row>
    <row r="16" spans="1:8" x14ac:dyDescent="0.3">
      <c r="A16" s="80">
        <v>74210852</v>
      </c>
      <c r="B16" s="53" t="s">
        <v>1151</v>
      </c>
      <c r="C16" s="18">
        <v>84382905</v>
      </c>
      <c r="D16" s="59" t="s">
        <v>1160</v>
      </c>
      <c r="E16" s="19" t="s">
        <v>770</v>
      </c>
      <c r="F16" s="38">
        <v>46046</v>
      </c>
      <c r="G16" s="53" t="s">
        <v>397</v>
      </c>
      <c r="H16" s="65" t="s">
        <v>1115</v>
      </c>
    </row>
    <row r="17" spans="1:12" x14ac:dyDescent="0.3">
      <c r="A17" s="80">
        <v>41506596</v>
      </c>
      <c r="B17" s="53" t="s">
        <v>1152</v>
      </c>
      <c r="C17" s="18">
        <v>84383034</v>
      </c>
      <c r="D17" s="59" t="s">
        <v>1159</v>
      </c>
      <c r="E17" s="19" t="s">
        <v>770</v>
      </c>
      <c r="F17" s="38">
        <v>46046</v>
      </c>
      <c r="G17" s="53" t="s">
        <v>397</v>
      </c>
      <c r="H17" s="65" t="s">
        <v>1115</v>
      </c>
    </row>
    <row r="18" spans="1:12" x14ac:dyDescent="0.3">
      <c r="A18" s="80">
        <v>75662026</v>
      </c>
      <c r="B18" s="53" t="s">
        <v>1153</v>
      </c>
      <c r="C18" s="18">
        <v>84384003</v>
      </c>
      <c r="D18" s="59" t="s">
        <v>1159</v>
      </c>
      <c r="E18" s="19" t="s">
        <v>518</v>
      </c>
      <c r="F18" s="38">
        <v>46046</v>
      </c>
      <c r="G18" s="53" t="s">
        <v>393</v>
      </c>
      <c r="H18" s="65" t="s">
        <v>1115</v>
      </c>
    </row>
    <row r="19" spans="1:12" x14ac:dyDescent="0.3">
      <c r="A19" s="80">
        <v>46760261</v>
      </c>
      <c r="B19" s="53" t="s">
        <v>1154</v>
      </c>
      <c r="C19" s="18">
        <v>84386170</v>
      </c>
      <c r="D19" s="59" t="s">
        <v>1145</v>
      </c>
      <c r="E19" s="19" t="s">
        <v>747</v>
      </c>
      <c r="F19" s="38">
        <v>46046</v>
      </c>
      <c r="G19" s="53" t="s">
        <v>396</v>
      </c>
      <c r="H19" s="65" t="s">
        <v>1115</v>
      </c>
      <c r="L19" s="52"/>
    </row>
    <row r="20" spans="1:12" x14ac:dyDescent="0.3">
      <c r="A20" s="80">
        <v>77345678</v>
      </c>
      <c r="B20" s="53" t="s">
        <v>1155</v>
      </c>
      <c r="C20" s="18">
        <v>84386426</v>
      </c>
      <c r="D20" s="59" t="s">
        <v>1158</v>
      </c>
      <c r="E20" s="19" t="s">
        <v>54</v>
      </c>
      <c r="F20" s="38">
        <v>46046</v>
      </c>
      <c r="G20" s="53" t="s">
        <v>393</v>
      </c>
      <c r="H20" s="65" t="s">
        <v>1115</v>
      </c>
    </row>
    <row r="21" spans="1:12" x14ac:dyDescent="0.3">
      <c r="A21" s="80">
        <v>27434766</v>
      </c>
      <c r="B21" s="53" t="s">
        <v>1156</v>
      </c>
      <c r="C21" s="18">
        <v>84386709</v>
      </c>
      <c r="D21" s="59" t="s">
        <v>1158</v>
      </c>
      <c r="E21" s="19" t="s">
        <v>1124</v>
      </c>
      <c r="F21" s="38">
        <v>46046</v>
      </c>
      <c r="G21" s="53" t="s">
        <v>393</v>
      </c>
      <c r="H21" s="65" t="s">
        <v>1115</v>
      </c>
    </row>
    <row r="22" spans="1:12" x14ac:dyDescent="0.3">
      <c r="A22" s="80">
        <v>48135300</v>
      </c>
      <c r="B22" s="53" t="s">
        <v>1157</v>
      </c>
      <c r="C22" s="18">
        <v>84385999</v>
      </c>
      <c r="D22" s="59" t="s">
        <v>1160</v>
      </c>
      <c r="E22" s="19" t="s">
        <v>1011</v>
      </c>
      <c r="F22" s="38">
        <v>46046</v>
      </c>
      <c r="G22" s="53" t="s">
        <v>393</v>
      </c>
      <c r="H22" s="65" t="s">
        <v>1116</v>
      </c>
    </row>
    <row r="23" spans="1:12" x14ac:dyDescent="0.3">
      <c r="A23" s="80">
        <v>9518142</v>
      </c>
      <c r="B23" s="53" t="s">
        <v>1162</v>
      </c>
      <c r="C23" s="18">
        <v>84387851</v>
      </c>
      <c r="D23" s="59" t="s">
        <v>1163</v>
      </c>
      <c r="E23" s="19" t="s">
        <v>54</v>
      </c>
      <c r="F23" s="38">
        <v>46046</v>
      </c>
      <c r="G23" s="53" t="s">
        <v>397</v>
      </c>
      <c r="H23" s="65" t="s">
        <v>1115</v>
      </c>
    </row>
  </sheetData>
  <autoFilter ref="A1:H23" xr:uid="{23F757F0-3F24-40DD-8679-684B46C64B5B}"/>
  <conditionalFormatting sqref="A1">
    <cfRule type="duplicateValues" dxfId="12886" priority="1256"/>
  </conditionalFormatting>
  <conditionalFormatting sqref="A10">
    <cfRule type="duplicateValues" dxfId="12885" priority="13"/>
  </conditionalFormatting>
  <conditionalFormatting sqref="C10">
    <cfRule type="duplicateValues" dxfId="12884" priority="11"/>
  </conditionalFormatting>
  <conditionalFormatting sqref="A5">
    <cfRule type="duplicateValues" dxfId="12883" priority="55448"/>
  </conditionalFormatting>
  <conditionalFormatting sqref="C5">
    <cfRule type="duplicateValues" dxfId="12882" priority="55449"/>
  </conditionalFormatting>
  <conditionalFormatting sqref="A7:A9">
    <cfRule type="duplicateValues" dxfId="12881" priority="55466"/>
  </conditionalFormatting>
  <conditionalFormatting sqref="C7:C9">
    <cfRule type="duplicateValues" dxfId="12880" priority="55467"/>
  </conditionalFormatting>
  <conditionalFormatting sqref="A6">
    <cfRule type="duplicateValues" dxfId="12879" priority="55800"/>
  </conditionalFormatting>
  <conditionalFormatting sqref="C6">
    <cfRule type="duplicateValues" dxfId="12878" priority="55801"/>
  </conditionalFormatting>
  <conditionalFormatting sqref="A2:A4">
    <cfRule type="duplicateValues" dxfId="12877" priority="55804"/>
  </conditionalFormatting>
  <conditionalFormatting sqref="C2:C4">
    <cfRule type="duplicateValues" dxfId="12876" priority="55806"/>
  </conditionalFormatting>
  <conditionalFormatting sqref="A11:A12">
    <cfRule type="duplicateValues" dxfId="12875" priority="56149"/>
  </conditionalFormatting>
  <conditionalFormatting sqref="C11:C12">
    <cfRule type="duplicateValues" dxfId="12874" priority="56150"/>
  </conditionalFormatting>
  <conditionalFormatting sqref="A23">
    <cfRule type="duplicateValues" dxfId="12873" priority="2"/>
  </conditionalFormatting>
  <conditionalFormatting sqref="C23">
    <cfRule type="duplicateValues" dxfId="12872" priority="1"/>
  </conditionalFormatting>
  <conditionalFormatting sqref="A13:A14">
    <cfRule type="duplicateValues" dxfId="12871" priority="56256"/>
  </conditionalFormatting>
  <conditionalFormatting sqref="C13:C14">
    <cfRule type="duplicateValues" dxfId="12870" priority="56257"/>
  </conditionalFormatting>
  <conditionalFormatting sqref="A15:A22">
    <cfRule type="duplicateValues" dxfId="12869" priority="56258"/>
  </conditionalFormatting>
  <conditionalFormatting sqref="C15:C22">
    <cfRule type="duplicateValues" dxfId="12868" priority="56260"/>
  </conditionalFormatting>
  <pageMargins left="0.7" right="0.7" top="0.75" bottom="0.75" header="0.3" footer="0.3"/>
  <pageSetup paperSize="9" orientation="portrait" horizontalDpi="200" verticalDpi="200" copies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8D63B41-D9BC-4352-8BC9-AEF8D336993B}">
          <x14:formula1>
            <xm:f>OBSERVACIÓN!$A$31:$A$32</xm:f>
          </x14:formula1>
          <xm:sqref>H2:H23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rgb="FFFF0000"/>
  </sheetPr>
  <dimension ref="A1:AA1303"/>
  <sheetViews>
    <sheetView topLeftCell="B1" zoomScale="90" zoomScaleNormal="90" workbookViewId="0">
      <selection activeCell="B1" sqref="B1:U1277"/>
    </sheetView>
  </sheetViews>
  <sheetFormatPr baseColWidth="10" defaultColWidth="12.33203125" defaultRowHeight="15" customHeight="1" x14ac:dyDescent="0.3"/>
  <cols>
    <col min="1" max="1" width="7.33203125" customWidth="1"/>
    <col min="2" max="2" width="13.33203125" style="23" bestFit="1" customWidth="1"/>
    <col min="3" max="3" width="44.33203125" style="23" bestFit="1" customWidth="1"/>
    <col min="4" max="5" width="10" style="23" bestFit="1" customWidth="1"/>
    <col min="6" max="6" width="4.6640625" style="23" customWidth="1"/>
    <col min="7" max="7" width="41.109375" style="23" bestFit="1" customWidth="1"/>
    <col min="8" max="9" width="4.6640625" style="23" customWidth="1"/>
    <col min="10" max="10" width="30.109375" style="23" customWidth="1"/>
    <col min="11" max="11" width="15.33203125" style="23" bestFit="1" customWidth="1"/>
    <col min="12" max="12" width="19.109375" style="23" bestFit="1" customWidth="1"/>
    <col min="13" max="13" width="17.33203125" style="23" bestFit="1" customWidth="1"/>
    <col min="14" max="15" width="11.33203125" style="23" bestFit="1" customWidth="1"/>
    <col min="16" max="16" width="15.33203125" style="23" bestFit="1" customWidth="1"/>
    <col min="17" max="17" width="18.6640625" style="23" bestFit="1" customWidth="1"/>
    <col min="18" max="18" width="14" style="23" bestFit="1" customWidth="1"/>
    <col min="19" max="19" width="9.33203125" style="28" bestFit="1" customWidth="1"/>
  </cols>
  <sheetData>
    <row r="1" spans="1:19" ht="14.25" customHeight="1" x14ac:dyDescent="0.3">
      <c r="A1" s="3" t="s">
        <v>1</v>
      </c>
      <c r="B1" s="14" t="s">
        <v>81</v>
      </c>
      <c r="C1" s="15" t="s">
        <v>3</v>
      </c>
      <c r="D1" s="15" t="s">
        <v>4</v>
      </c>
      <c r="E1" s="15" t="s">
        <v>5</v>
      </c>
      <c r="F1" s="15" t="s">
        <v>390</v>
      </c>
      <c r="G1" s="15" t="s">
        <v>332</v>
      </c>
      <c r="H1" s="15" t="s">
        <v>391</v>
      </c>
      <c r="I1" s="15" t="s">
        <v>374</v>
      </c>
      <c r="J1" s="16" t="s">
        <v>6</v>
      </c>
      <c r="K1" s="15" t="s">
        <v>82</v>
      </c>
      <c r="L1" s="15" t="s">
        <v>80</v>
      </c>
      <c r="M1" s="15" t="s">
        <v>83</v>
      </c>
      <c r="N1" s="15" t="s">
        <v>84</v>
      </c>
      <c r="O1" s="15" t="s">
        <v>9</v>
      </c>
      <c r="P1" s="15" t="s">
        <v>85</v>
      </c>
      <c r="Q1" s="15" t="s">
        <v>10</v>
      </c>
      <c r="R1" s="15" t="s">
        <v>86</v>
      </c>
      <c r="S1" s="16" t="s">
        <v>11</v>
      </c>
    </row>
    <row r="2" spans="1:19" ht="14.25" customHeight="1" x14ac:dyDescent="0.3">
      <c r="A2" s="17">
        <v>1</v>
      </c>
      <c r="B2" s="18">
        <v>18106340</v>
      </c>
      <c r="C2" s="19" t="s">
        <v>87</v>
      </c>
      <c r="D2" s="18">
        <v>85395370</v>
      </c>
      <c r="E2" s="20">
        <v>72162545</v>
      </c>
      <c r="F2" s="20"/>
      <c r="G2" s="20"/>
      <c r="H2" s="20"/>
      <c r="I2" s="20"/>
      <c r="J2" s="19" t="s">
        <v>16</v>
      </c>
      <c r="K2" s="21" t="s">
        <v>64</v>
      </c>
      <c r="L2" s="22"/>
      <c r="M2" s="21"/>
      <c r="N2" s="18"/>
      <c r="O2" s="22"/>
      <c r="P2" s="19" t="s">
        <v>19</v>
      </c>
      <c r="Q2" s="19" t="s">
        <v>88</v>
      </c>
      <c r="R2" s="22">
        <v>45489</v>
      </c>
      <c r="S2" s="19">
        <f t="shared" ref="S2:S14" si="0">IF(ISNUMBER(R2)=TRUE, MONTH(R2), " ")</f>
        <v>7</v>
      </c>
    </row>
    <row r="3" spans="1:19" ht="14.25" customHeight="1" x14ac:dyDescent="0.3">
      <c r="A3" s="17">
        <f>A2+1</f>
        <v>2</v>
      </c>
      <c r="B3" s="18">
        <v>2777326</v>
      </c>
      <c r="C3" s="19" t="s">
        <v>89</v>
      </c>
      <c r="D3" s="18">
        <v>85461214</v>
      </c>
      <c r="E3" s="20">
        <v>72197811</v>
      </c>
      <c r="F3" s="20"/>
      <c r="G3" s="20"/>
      <c r="H3" s="20"/>
      <c r="I3" s="20"/>
      <c r="J3" s="19" t="s">
        <v>16</v>
      </c>
      <c r="K3" s="21" t="s">
        <v>64</v>
      </c>
      <c r="L3" s="22"/>
      <c r="M3" s="21"/>
      <c r="N3" s="18"/>
      <c r="O3" s="22">
        <v>45491</v>
      </c>
      <c r="P3" s="19" t="s">
        <v>19</v>
      </c>
      <c r="Q3" s="19" t="s">
        <v>90</v>
      </c>
      <c r="R3" s="22">
        <v>45491</v>
      </c>
      <c r="S3" s="19">
        <f t="shared" si="0"/>
        <v>7</v>
      </c>
    </row>
    <row r="4" spans="1:19" ht="14.25" customHeight="1" x14ac:dyDescent="0.3">
      <c r="A4" s="17">
        <f t="shared" ref="A4:A67" si="1">A3+1</f>
        <v>3</v>
      </c>
      <c r="B4" s="18">
        <v>18024289</v>
      </c>
      <c r="C4" s="19" t="s">
        <v>91</v>
      </c>
      <c r="D4" s="18">
        <v>85427027</v>
      </c>
      <c r="E4" s="20">
        <v>72204545</v>
      </c>
      <c r="F4" s="20"/>
      <c r="G4" s="20"/>
      <c r="H4" s="20"/>
      <c r="I4" s="20"/>
      <c r="J4" s="19" t="s">
        <v>16</v>
      </c>
      <c r="K4" s="21" t="s">
        <v>64</v>
      </c>
      <c r="L4" s="22"/>
      <c r="M4" s="21"/>
      <c r="N4" s="18"/>
      <c r="O4" s="22"/>
      <c r="P4" s="19" t="s">
        <v>19</v>
      </c>
      <c r="Q4" s="19" t="s">
        <v>92</v>
      </c>
      <c r="R4" s="22">
        <v>45491</v>
      </c>
      <c r="S4" s="19">
        <f t="shared" si="0"/>
        <v>7</v>
      </c>
    </row>
    <row r="5" spans="1:19" ht="14.25" customHeight="1" x14ac:dyDescent="0.3">
      <c r="A5" s="17">
        <f t="shared" si="1"/>
        <v>4</v>
      </c>
      <c r="B5" s="18">
        <v>72360534</v>
      </c>
      <c r="C5" s="19" t="s">
        <v>93</v>
      </c>
      <c r="D5" s="18">
        <v>85657798</v>
      </c>
      <c r="E5" s="20">
        <v>72301284</v>
      </c>
      <c r="F5" s="20"/>
      <c r="G5" s="20"/>
      <c r="H5" s="20"/>
      <c r="I5" s="20"/>
      <c r="J5" s="19" t="s">
        <v>16</v>
      </c>
      <c r="K5" s="21" t="s">
        <v>64</v>
      </c>
      <c r="L5" s="22">
        <v>45500</v>
      </c>
      <c r="M5" s="21"/>
      <c r="N5" s="18"/>
      <c r="O5" s="22"/>
      <c r="P5" s="19" t="s">
        <v>19</v>
      </c>
      <c r="Q5" s="19" t="s">
        <v>92</v>
      </c>
      <c r="R5" s="22">
        <v>45497</v>
      </c>
      <c r="S5" s="19">
        <f t="shared" si="0"/>
        <v>7</v>
      </c>
    </row>
    <row r="6" spans="1:19" ht="14.25" customHeight="1" x14ac:dyDescent="0.3">
      <c r="A6" s="17">
        <f t="shared" si="1"/>
        <v>5</v>
      </c>
      <c r="B6" s="18">
        <v>76591146</v>
      </c>
      <c r="C6" s="19" t="s">
        <v>94</v>
      </c>
      <c r="D6" s="18">
        <v>85630585</v>
      </c>
      <c r="E6" s="20">
        <v>72280472</v>
      </c>
      <c r="F6" s="20"/>
      <c r="G6" s="20"/>
      <c r="H6" s="20"/>
      <c r="I6" s="20"/>
      <c r="J6" s="19" t="s">
        <v>16</v>
      </c>
      <c r="K6" s="21" t="s">
        <v>64</v>
      </c>
      <c r="L6" s="22">
        <v>45497</v>
      </c>
      <c r="M6" s="21"/>
      <c r="N6" s="18"/>
      <c r="O6" s="22"/>
      <c r="P6" s="19" t="s">
        <v>19</v>
      </c>
      <c r="Q6" s="19" t="s">
        <v>92</v>
      </c>
      <c r="R6" s="22">
        <v>45497</v>
      </c>
      <c r="S6" s="19">
        <f t="shared" si="0"/>
        <v>7</v>
      </c>
    </row>
    <row r="7" spans="1:19" ht="14.25" customHeight="1" x14ac:dyDescent="0.3">
      <c r="A7" s="17">
        <f t="shared" si="1"/>
        <v>6</v>
      </c>
      <c r="B7" s="18">
        <v>72594263</v>
      </c>
      <c r="C7" s="19" t="s">
        <v>95</v>
      </c>
      <c r="D7" s="18">
        <v>72319278</v>
      </c>
      <c r="E7" s="20">
        <v>72319278</v>
      </c>
      <c r="F7" s="20"/>
      <c r="G7" s="20"/>
      <c r="H7" s="20"/>
      <c r="I7" s="20"/>
      <c r="J7" s="19" t="s">
        <v>16</v>
      </c>
      <c r="K7" s="21" t="s">
        <v>64</v>
      </c>
      <c r="L7" s="22">
        <v>45501</v>
      </c>
      <c r="M7" s="21"/>
      <c r="N7" s="18"/>
      <c r="O7" s="22"/>
      <c r="P7" s="19" t="s">
        <v>19</v>
      </c>
      <c r="Q7" s="19" t="s">
        <v>96</v>
      </c>
      <c r="R7" s="22">
        <v>45498</v>
      </c>
      <c r="S7" s="19">
        <f t="shared" si="0"/>
        <v>7</v>
      </c>
    </row>
    <row r="8" spans="1:19" ht="14.25" customHeight="1" x14ac:dyDescent="0.3">
      <c r="A8" s="17">
        <f t="shared" si="1"/>
        <v>7</v>
      </c>
      <c r="B8" s="18">
        <v>71577918</v>
      </c>
      <c r="C8" s="19" t="s">
        <v>97</v>
      </c>
      <c r="D8" s="18">
        <v>85695905</v>
      </c>
      <c r="E8" s="20">
        <v>72335926</v>
      </c>
      <c r="F8" s="20"/>
      <c r="G8" s="20"/>
      <c r="H8" s="20"/>
      <c r="I8" s="20"/>
      <c r="J8" s="19" t="s">
        <v>16</v>
      </c>
      <c r="K8" s="21" t="s">
        <v>64</v>
      </c>
      <c r="L8" s="22">
        <v>45518</v>
      </c>
      <c r="M8" s="21"/>
      <c r="N8" s="18"/>
      <c r="O8" s="22"/>
      <c r="P8" s="19" t="s">
        <v>19</v>
      </c>
      <c r="Q8" s="19" t="s">
        <v>25</v>
      </c>
      <c r="R8" s="22">
        <v>45499</v>
      </c>
      <c r="S8" s="19">
        <f t="shared" si="0"/>
        <v>7</v>
      </c>
    </row>
    <row r="9" spans="1:19" ht="14.25" customHeight="1" x14ac:dyDescent="0.3">
      <c r="A9" s="17">
        <f t="shared" si="1"/>
        <v>8</v>
      </c>
      <c r="B9" s="18">
        <v>76038577</v>
      </c>
      <c r="C9" s="19" t="s">
        <v>98</v>
      </c>
      <c r="D9" s="18">
        <v>85728912</v>
      </c>
      <c r="E9" s="20">
        <v>72346961</v>
      </c>
      <c r="F9" s="20"/>
      <c r="G9" s="20"/>
      <c r="H9" s="20"/>
      <c r="I9" s="20"/>
      <c r="J9" s="19" t="s">
        <v>16</v>
      </c>
      <c r="K9" s="21" t="s">
        <v>64</v>
      </c>
      <c r="L9" s="22">
        <v>45507</v>
      </c>
      <c r="M9" s="21"/>
      <c r="N9" s="18"/>
      <c r="O9" s="22">
        <v>45500</v>
      </c>
      <c r="P9" s="19" t="s">
        <v>19</v>
      </c>
      <c r="Q9" s="19" t="s">
        <v>92</v>
      </c>
      <c r="R9" s="22">
        <v>45500</v>
      </c>
      <c r="S9" s="19">
        <f t="shared" si="0"/>
        <v>7</v>
      </c>
    </row>
    <row r="10" spans="1:19" ht="14.25" customHeight="1" x14ac:dyDescent="0.3">
      <c r="A10" s="17">
        <f t="shared" si="1"/>
        <v>9</v>
      </c>
      <c r="B10" s="18">
        <v>75185359</v>
      </c>
      <c r="C10" s="19" t="s">
        <v>99</v>
      </c>
      <c r="D10" s="18">
        <v>85752986</v>
      </c>
      <c r="E10" s="20">
        <v>72352113</v>
      </c>
      <c r="F10" s="20"/>
      <c r="G10" s="20"/>
      <c r="H10" s="20"/>
      <c r="I10" s="20"/>
      <c r="J10" s="19" t="s">
        <v>16</v>
      </c>
      <c r="K10" s="21" t="s">
        <v>64</v>
      </c>
      <c r="L10" s="22">
        <v>45504</v>
      </c>
      <c r="M10" s="21"/>
      <c r="N10" s="18"/>
      <c r="O10" s="22">
        <v>45491</v>
      </c>
      <c r="P10" s="19" t="s">
        <v>19</v>
      </c>
      <c r="Q10" s="19" t="s">
        <v>92</v>
      </c>
      <c r="R10" s="22">
        <v>45500</v>
      </c>
      <c r="S10" s="19">
        <f t="shared" si="0"/>
        <v>7</v>
      </c>
    </row>
    <row r="11" spans="1:19" ht="14.25" customHeight="1" x14ac:dyDescent="0.3">
      <c r="A11" s="17">
        <f t="shared" si="1"/>
        <v>10</v>
      </c>
      <c r="B11" s="18">
        <v>42609331</v>
      </c>
      <c r="C11" s="19" t="s">
        <v>100</v>
      </c>
      <c r="D11" s="18">
        <v>85753094</v>
      </c>
      <c r="E11" s="20">
        <v>72352153</v>
      </c>
      <c r="F11" s="20"/>
      <c r="G11" s="20"/>
      <c r="H11" s="20"/>
      <c r="I11" s="20"/>
      <c r="J11" s="19" t="s">
        <v>16</v>
      </c>
      <c r="K11" s="21" t="s">
        <v>64</v>
      </c>
      <c r="L11" s="22">
        <v>45506</v>
      </c>
      <c r="M11" s="21"/>
      <c r="N11" s="18"/>
      <c r="O11" s="22"/>
      <c r="P11" s="19" t="s">
        <v>19</v>
      </c>
      <c r="Q11" s="19" t="s">
        <v>39</v>
      </c>
      <c r="R11" s="22">
        <v>45500</v>
      </c>
      <c r="S11" s="19">
        <f t="shared" si="0"/>
        <v>7</v>
      </c>
    </row>
    <row r="12" spans="1:19" ht="14.25" customHeight="1" x14ac:dyDescent="0.3">
      <c r="A12" s="17">
        <f t="shared" si="1"/>
        <v>11</v>
      </c>
      <c r="B12" s="18">
        <v>75319248</v>
      </c>
      <c r="C12" s="19" t="s">
        <v>101</v>
      </c>
      <c r="D12" s="18">
        <v>85753237</v>
      </c>
      <c r="E12" s="20">
        <v>72352210</v>
      </c>
      <c r="F12" s="20"/>
      <c r="G12" s="20"/>
      <c r="H12" s="20"/>
      <c r="I12" s="20"/>
      <c r="J12" s="19" t="s">
        <v>16</v>
      </c>
      <c r="K12" s="21" t="s">
        <v>64</v>
      </c>
      <c r="L12" s="22">
        <v>45514</v>
      </c>
      <c r="M12" s="21"/>
      <c r="N12" s="18"/>
      <c r="O12" s="22"/>
      <c r="P12" s="19" t="s">
        <v>19</v>
      </c>
      <c r="Q12" s="19" t="s">
        <v>90</v>
      </c>
      <c r="R12" s="22">
        <v>45500</v>
      </c>
      <c r="S12" s="19">
        <f t="shared" si="0"/>
        <v>7</v>
      </c>
    </row>
    <row r="13" spans="1:19" ht="14.25" customHeight="1" x14ac:dyDescent="0.3">
      <c r="A13" s="17">
        <f t="shared" si="1"/>
        <v>12</v>
      </c>
      <c r="B13" s="18">
        <v>77387732</v>
      </c>
      <c r="C13" s="19" t="s">
        <v>102</v>
      </c>
      <c r="D13" s="18">
        <v>85743426</v>
      </c>
      <c r="E13" s="20">
        <v>72349980</v>
      </c>
      <c r="F13" s="20"/>
      <c r="G13" s="20"/>
      <c r="H13" s="20"/>
      <c r="I13" s="20"/>
      <c r="J13" s="19" t="s">
        <v>16</v>
      </c>
      <c r="K13" s="21" t="s">
        <v>64</v>
      </c>
      <c r="L13" s="22">
        <v>45504</v>
      </c>
      <c r="M13" s="21"/>
      <c r="N13" s="18"/>
      <c r="O13" s="22"/>
      <c r="P13" s="19" t="s">
        <v>19</v>
      </c>
      <c r="Q13" s="19" t="s">
        <v>92</v>
      </c>
      <c r="R13" s="22">
        <v>45505</v>
      </c>
      <c r="S13" s="19">
        <f t="shared" si="0"/>
        <v>8</v>
      </c>
    </row>
    <row r="14" spans="1:19" ht="14.25" customHeight="1" x14ac:dyDescent="0.3">
      <c r="A14" s="17">
        <f t="shared" si="1"/>
        <v>13</v>
      </c>
      <c r="B14" s="18">
        <v>16452757</v>
      </c>
      <c r="C14" s="19" t="s">
        <v>103</v>
      </c>
      <c r="D14" s="18">
        <v>86014773</v>
      </c>
      <c r="E14" s="20">
        <v>72525363</v>
      </c>
      <c r="F14" s="20"/>
      <c r="G14" s="20"/>
      <c r="H14" s="20"/>
      <c r="I14" s="20"/>
      <c r="J14" s="19" t="s">
        <v>16</v>
      </c>
      <c r="K14" s="21" t="s">
        <v>64</v>
      </c>
      <c r="L14" s="22">
        <v>45538</v>
      </c>
      <c r="M14" s="21"/>
      <c r="N14" s="18"/>
      <c r="O14" s="22"/>
      <c r="P14" s="19" t="s">
        <v>19</v>
      </c>
      <c r="Q14" s="19" t="s">
        <v>92</v>
      </c>
      <c r="R14" s="22">
        <v>45506</v>
      </c>
      <c r="S14" s="19">
        <f t="shared" si="0"/>
        <v>8</v>
      </c>
    </row>
    <row r="15" spans="1:19" ht="14.25" customHeight="1" x14ac:dyDescent="0.3">
      <c r="A15" s="17">
        <f t="shared" si="1"/>
        <v>14</v>
      </c>
      <c r="B15" s="18">
        <v>32973347</v>
      </c>
      <c r="C15" s="19" t="s">
        <v>104</v>
      </c>
      <c r="D15" s="18">
        <v>86070850</v>
      </c>
      <c r="E15" s="20">
        <v>72602884</v>
      </c>
      <c r="F15" s="20"/>
      <c r="G15" s="20"/>
      <c r="H15" s="20"/>
      <c r="I15" s="20"/>
      <c r="J15" s="19" t="s">
        <v>16</v>
      </c>
      <c r="K15" s="21" t="s">
        <v>64</v>
      </c>
      <c r="L15" s="22"/>
      <c r="M15" s="21"/>
      <c r="N15" s="18"/>
      <c r="O15" s="22"/>
      <c r="P15" s="19" t="s">
        <v>19</v>
      </c>
      <c r="Q15" s="19" t="s">
        <v>21</v>
      </c>
      <c r="R15" s="22">
        <v>45512</v>
      </c>
      <c r="S15" s="19" t="str">
        <f>IF(ISNUMBER('BASE DE VENTAS'!#REF!)=TRUE, MONTH('BASE DE VENTAS'!#REF!), " ")</f>
        <v xml:space="preserve"> </v>
      </c>
    </row>
    <row r="16" spans="1:19" ht="14.25" customHeight="1" x14ac:dyDescent="0.3">
      <c r="A16" s="17">
        <f t="shared" si="1"/>
        <v>15</v>
      </c>
      <c r="B16" s="18">
        <v>72667624</v>
      </c>
      <c r="C16" s="19" t="s">
        <v>105</v>
      </c>
      <c r="D16" s="18">
        <v>86197717</v>
      </c>
      <c r="E16" s="20">
        <v>72664479</v>
      </c>
      <c r="F16" s="20"/>
      <c r="G16" s="20"/>
      <c r="H16" s="20"/>
      <c r="I16" s="20"/>
      <c r="J16" s="19" t="s">
        <v>16</v>
      </c>
      <c r="K16" s="21" t="s">
        <v>64</v>
      </c>
      <c r="L16" s="22">
        <v>45517</v>
      </c>
      <c r="M16" s="21"/>
      <c r="N16" s="18"/>
      <c r="O16" s="22"/>
      <c r="P16" s="19" t="s">
        <v>19</v>
      </c>
      <c r="Q16" s="19" t="s">
        <v>25</v>
      </c>
      <c r="R16" s="22">
        <v>45513</v>
      </c>
      <c r="S16" s="19">
        <f t="shared" ref="S16:S127" si="2">IF(ISNUMBER(R16)=TRUE, MONTH(R16), " ")</f>
        <v>8</v>
      </c>
    </row>
    <row r="17" spans="1:19" ht="14.25" customHeight="1" x14ac:dyDescent="0.3">
      <c r="A17" s="17">
        <f t="shared" si="1"/>
        <v>16</v>
      </c>
      <c r="B17" s="18">
        <v>10436871801</v>
      </c>
      <c r="C17" s="19" t="s">
        <v>106</v>
      </c>
      <c r="D17" s="18">
        <v>86161921</v>
      </c>
      <c r="E17" s="20">
        <v>72639632</v>
      </c>
      <c r="F17" s="20"/>
      <c r="G17" s="20"/>
      <c r="H17" s="20"/>
      <c r="I17" s="20"/>
      <c r="J17" s="19" t="s">
        <v>16</v>
      </c>
      <c r="K17" s="21" t="s">
        <v>64</v>
      </c>
      <c r="L17" s="22"/>
      <c r="M17" s="21"/>
      <c r="N17" s="18"/>
      <c r="O17" s="22"/>
      <c r="P17" s="19" t="s">
        <v>19</v>
      </c>
      <c r="Q17" s="19" t="s">
        <v>92</v>
      </c>
      <c r="R17" s="22">
        <v>45513</v>
      </c>
      <c r="S17" s="19">
        <f t="shared" si="2"/>
        <v>8</v>
      </c>
    </row>
    <row r="18" spans="1:19" ht="14.25" customHeight="1" x14ac:dyDescent="0.3">
      <c r="A18" s="17">
        <f t="shared" si="1"/>
        <v>17</v>
      </c>
      <c r="B18" s="18">
        <v>247118</v>
      </c>
      <c r="C18" s="19" t="s">
        <v>107</v>
      </c>
      <c r="D18" s="18">
        <v>86101360</v>
      </c>
      <c r="E18" s="20">
        <v>72601683</v>
      </c>
      <c r="F18" s="20"/>
      <c r="G18" s="20"/>
      <c r="H18" s="20"/>
      <c r="I18" s="20"/>
      <c r="J18" s="19" t="s">
        <v>16</v>
      </c>
      <c r="K18" s="21" t="s">
        <v>64</v>
      </c>
      <c r="L18" s="22"/>
      <c r="M18" s="21"/>
      <c r="N18" s="18"/>
      <c r="O18" s="22"/>
      <c r="P18" s="19" t="s">
        <v>19</v>
      </c>
      <c r="Q18" s="19" t="s">
        <v>96</v>
      </c>
      <c r="R18" s="22">
        <v>45513</v>
      </c>
      <c r="S18" s="19">
        <f t="shared" si="2"/>
        <v>8</v>
      </c>
    </row>
    <row r="19" spans="1:19" ht="14.25" customHeight="1" x14ac:dyDescent="0.3">
      <c r="A19" s="17">
        <f t="shared" si="1"/>
        <v>18</v>
      </c>
      <c r="B19" s="18">
        <v>72793661</v>
      </c>
      <c r="C19" s="19" t="s">
        <v>108</v>
      </c>
      <c r="D19" s="18">
        <v>86124145</v>
      </c>
      <c r="E19" s="20">
        <v>72610949</v>
      </c>
      <c r="F19" s="20"/>
      <c r="G19" s="20"/>
      <c r="H19" s="20"/>
      <c r="I19" s="20"/>
      <c r="J19" s="19" t="s">
        <v>16</v>
      </c>
      <c r="K19" s="21" t="s">
        <v>64</v>
      </c>
      <c r="L19" s="22">
        <v>45523</v>
      </c>
      <c r="M19" s="21"/>
      <c r="N19" s="18"/>
      <c r="O19" s="22"/>
      <c r="P19" s="19" t="s">
        <v>19</v>
      </c>
      <c r="Q19" s="19" t="s">
        <v>96</v>
      </c>
      <c r="R19" s="22">
        <v>45514</v>
      </c>
      <c r="S19" s="19">
        <f t="shared" si="2"/>
        <v>8</v>
      </c>
    </row>
    <row r="20" spans="1:19" ht="14.25" customHeight="1" x14ac:dyDescent="0.3">
      <c r="A20" s="17">
        <f t="shared" si="1"/>
        <v>19</v>
      </c>
      <c r="B20" s="18">
        <v>32957202</v>
      </c>
      <c r="C20" s="19" t="s">
        <v>109</v>
      </c>
      <c r="D20" s="18">
        <v>86130017</v>
      </c>
      <c r="E20" s="20">
        <v>72612141</v>
      </c>
      <c r="F20" s="20"/>
      <c r="G20" s="20"/>
      <c r="H20" s="20"/>
      <c r="I20" s="20"/>
      <c r="J20" s="19" t="s">
        <v>16</v>
      </c>
      <c r="K20" s="21" t="s">
        <v>64</v>
      </c>
      <c r="L20" s="22">
        <v>45515</v>
      </c>
      <c r="M20" s="21"/>
      <c r="N20" s="18"/>
      <c r="O20" s="22"/>
      <c r="P20" s="19" t="s">
        <v>19</v>
      </c>
      <c r="Q20" s="19" t="s">
        <v>92</v>
      </c>
      <c r="R20" s="22">
        <v>45514</v>
      </c>
      <c r="S20" s="19">
        <f t="shared" si="2"/>
        <v>8</v>
      </c>
    </row>
    <row r="21" spans="1:19" ht="14.25" customHeight="1" x14ac:dyDescent="0.3">
      <c r="A21" s="17">
        <f t="shared" si="1"/>
        <v>20</v>
      </c>
      <c r="B21" s="18">
        <v>72793661</v>
      </c>
      <c r="C21" s="19" t="s">
        <v>108</v>
      </c>
      <c r="D21" s="18">
        <v>85790512</v>
      </c>
      <c r="E21" s="20">
        <v>72381570</v>
      </c>
      <c r="F21" s="20"/>
      <c r="G21" s="20"/>
      <c r="H21" s="20"/>
      <c r="I21" s="20"/>
      <c r="J21" s="19" t="s">
        <v>16</v>
      </c>
      <c r="K21" s="21" t="s">
        <v>64</v>
      </c>
      <c r="L21" s="22">
        <v>45514</v>
      </c>
      <c r="M21" s="21"/>
      <c r="N21" s="18"/>
      <c r="O21" s="22"/>
      <c r="P21" s="19" t="s">
        <v>19</v>
      </c>
      <c r="Q21" s="19" t="s">
        <v>39</v>
      </c>
      <c r="R21" s="22">
        <v>45514</v>
      </c>
      <c r="S21" s="19">
        <f t="shared" si="2"/>
        <v>8</v>
      </c>
    </row>
    <row r="22" spans="1:19" ht="14.25" customHeight="1" x14ac:dyDescent="0.3">
      <c r="A22" s="17">
        <f t="shared" si="1"/>
        <v>21</v>
      </c>
      <c r="B22" s="18">
        <v>16591518</v>
      </c>
      <c r="C22" s="19" t="s">
        <v>110</v>
      </c>
      <c r="D22" s="18">
        <v>86126971</v>
      </c>
      <c r="E22" s="20">
        <v>72611484</v>
      </c>
      <c r="F22" s="20"/>
      <c r="G22" s="20"/>
      <c r="H22" s="20"/>
      <c r="I22" s="20"/>
      <c r="J22" s="19" t="s">
        <v>16</v>
      </c>
      <c r="K22" s="21" t="s">
        <v>64</v>
      </c>
      <c r="L22" s="22"/>
      <c r="M22" s="21"/>
      <c r="N22" s="18"/>
      <c r="O22" s="22"/>
      <c r="P22" s="19" t="s">
        <v>19</v>
      </c>
      <c r="Q22" s="19" t="s">
        <v>21</v>
      </c>
      <c r="R22" s="22">
        <v>45514</v>
      </c>
      <c r="S22" s="19">
        <f t="shared" si="2"/>
        <v>8</v>
      </c>
    </row>
    <row r="23" spans="1:19" ht="14.25" customHeight="1" x14ac:dyDescent="0.3">
      <c r="A23" s="17">
        <f t="shared" si="1"/>
        <v>22</v>
      </c>
      <c r="B23" s="18">
        <v>79052449</v>
      </c>
      <c r="C23" s="19" t="s">
        <v>111</v>
      </c>
      <c r="D23" s="18">
        <v>86127823</v>
      </c>
      <c r="E23" s="20">
        <v>72611713</v>
      </c>
      <c r="F23" s="20"/>
      <c r="G23" s="20"/>
      <c r="H23" s="20"/>
      <c r="I23" s="20"/>
      <c r="J23" s="19" t="s">
        <v>16</v>
      </c>
      <c r="K23" s="21" t="s">
        <v>64</v>
      </c>
      <c r="L23" s="22"/>
      <c r="M23" s="21"/>
      <c r="N23" s="18"/>
      <c r="O23" s="22"/>
      <c r="P23" s="19" t="s">
        <v>19</v>
      </c>
      <c r="Q23" s="19" t="s">
        <v>28</v>
      </c>
      <c r="R23" s="22">
        <v>45514</v>
      </c>
      <c r="S23" s="19">
        <f t="shared" si="2"/>
        <v>8</v>
      </c>
    </row>
    <row r="24" spans="1:19" ht="14.25" customHeight="1" x14ac:dyDescent="0.3">
      <c r="A24" s="17">
        <f t="shared" si="1"/>
        <v>23</v>
      </c>
      <c r="B24" s="18">
        <v>16540323</v>
      </c>
      <c r="C24" s="19" t="s">
        <v>112</v>
      </c>
      <c r="D24" s="18">
        <v>86132435</v>
      </c>
      <c r="E24" s="20">
        <v>72612627</v>
      </c>
      <c r="F24" s="20"/>
      <c r="G24" s="20"/>
      <c r="H24" s="20"/>
      <c r="I24" s="20"/>
      <c r="J24" s="19" t="s">
        <v>16</v>
      </c>
      <c r="K24" s="21" t="s">
        <v>64</v>
      </c>
      <c r="L24" s="22"/>
      <c r="M24" s="21"/>
      <c r="N24" s="18"/>
      <c r="O24" s="22"/>
      <c r="P24" s="19" t="s">
        <v>19</v>
      </c>
      <c r="Q24" s="19" t="s">
        <v>25</v>
      </c>
      <c r="R24" s="22">
        <v>45514</v>
      </c>
      <c r="S24" s="19">
        <f t="shared" si="2"/>
        <v>8</v>
      </c>
    </row>
    <row r="25" spans="1:19" ht="14.25" customHeight="1" x14ac:dyDescent="0.3">
      <c r="A25" s="17">
        <f t="shared" si="1"/>
        <v>24</v>
      </c>
      <c r="B25" s="18">
        <v>10727936608</v>
      </c>
      <c r="C25" s="19" t="s">
        <v>36</v>
      </c>
      <c r="D25" s="18">
        <v>86339316</v>
      </c>
      <c r="E25" s="20">
        <v>72750250</v>
      </c>
      <c r="F25" s="20"/>
      <c r="G25" s="20"/>
      <c r="H25" s="20"/>
      <c r="I25" s="20"/>
      <c r="J25" s="19" t="s">
        <v>16</v>
      </c>
      <c r="K25" s="21" t="s">
        <v>64</v>
      </c>
      <c r="L25" s="22"/>
      <c r="M25" s="21"/>
      <c r="N25" s="18"/>
      <c r="O25" s="22"/>
      <c r="P25" s="19" t="s">
        <v>19</v>
      </c>
      <c r="Q25" s="19" t="s">
        <v>39</v>
      </c>
      <c r="R25" s="22">
        <v>45514</v>
      </c>
      <c r="S25" s="19">
        <f t="shared" si="2"/>
        <v>8</v>
      </c>
    </row>
    <row r="26" spans="1:19" ht="14.25" customHeight="1" x14ac:dyDescent="0.3">
      <c r="A26" s="17">
        <f t="shared" si="1"/>
        <v>25</v>
      </c>
      <c r="B26" s="18">
        <v>2694046</v>
      </c>
      <c r="C26" s="19" t="s">
        <v>113</v>
      </c>
      <c r="D26" s="18">
        <v>86194074</v>
      </c>
      <c r="E26" s="20">
        <v>72652780</v>
      </c>
      <c r="F26" s="20"/>
      <c r="G26" s="20"/>
      <c r="H26" s="20"/>
      <c r="I26" s="20"/>
      <c r="J26" s="19" t="s">
        <v>16</v>
      </c>
      <c r="K26" s="21" t="s">
        <v>64</v>
      </c>
      <c r="L26" s="22">
        <v>45518</v>
      </c>
      <c r="M26" s="21"/>
      <c r="N26" s="18"/>
      <c r="O26" s="22"/>
      <c r="P26" s="19" t="s">
        <v>19</v>
      </c>
      <c r="Q26" s="19" t="s">
        <v>28</v>
      </c>
      <c r="R26" s="22">
        <v>45516</v>
      </c>
      <c r="S26" s="19">
        <f t="shared" si="2"/>
        <v>8</v>
      </c>
    </row>
    <row r="27" spans="1:19" ht="14.25" customHeight="1" x14ac:dyDescent="0.3">
      <c r="A27" s="17">
        <f t="shared" si="1"/>
        <v>26</v>
      </c>
      <c r="B27" s="18">
        <v>76645091</v>
      </c>
      <c r="C27" s="19" t="s">
        <v>114</v>
      </c>
      <c r="D27" s="18">
        <v>86199062</v>
      </c>
      <c r="E27" s="20">
        <v>72664864</v>
      </c>
      <c r="F27" s="20"/>
      <c r="G27" s="20"/>
      <c r="H27" s="20"/>
      <c r="I27" s="20"/>
      <c r="J27" s="19" t="s">
        <v>16</v>
      </c>
      <c r="K27" s="21" t="s">
        <v>64</v>
      </c>
      <c r="L27" s="22"/>
      <c r="M27" s="21"/>
      <c r="N27" s="18"/>
      <c r="O27" s="22"/>
      <c r="P27" s="19" t="s">
        <v>19</v>
      </c>
      <c r="Q27" s="19" t="s">
        <v>96</v>
      </c>
      <c r="R27" s="22">
        <v>45517</v>
      </c>
      <c r="S27" s="19">
        <f t="shared" si="2"/>
        <v>8</v>
      </c>
    </row>
    <row r="28" spans="1:19" ht="14.25" customHeight="1" x14ac:dyDescent="0.3">
      <c r="A28" s="17">
        <f t="shared" si="1"/>
        <v>27</v>
      </c>
      <c r="B28" s="18">
        <v>42348288</v>
      </c>
      <c r="C28" s="19" t="s">
        <v>115</v>
      </c>
      <c r="D28" s="18">
        <v>86212166</v>
      </c>
      <c r="E28" s="20">
        <v>72699812</v>
      </c>
      <c r="F28" s="20"/>
      <c r="G28" s="20"/>
      <c r="H28" s="20"/>
      <c r="I28" s="20"/>
      <c r="J28" s="19" t="s">
        <v>16</v>
      </c>
      <c r="K28" s="21" t="s">
        <v>64</v>
      </c>
      <c r="L28" s="22"/>
      <c r="M28" s="21"/>
      <c r="N28" s="18"/>
      <c r="O28" s="22"/>
      <c r="P28" s="19" t="s">
        <v>19</v>
      </c>
      <c r="Q28" s="19" t="s">
        <v>21</v>
      </c>
      <c r="R28" s="22">
        <v>45517</v>
      </c>
      <c r="S28" s="19">
        <f t="shared" si="2"/>
        <v>8</v>
      </c>
    </row>
    <row r="29" spans="1:19" ht="14.25" customHeight="1" x14ac:dyDescent="0.3">
      <c r="A29" s="17">
        <f t="shared" si="1"/>
        <v>28</v>
      </c>
      <c r="B29" s="18">
        <v>16655405</v>
      </c>
      <c r="C29" s="19" t="s">
        <v>116</v>
      </c>
      <c r="D29" s="18">
        <v>86246961</v>
      </c>
      <c r="E29" s="20">
        <v>72698369</v>
      </c>
      <c r="F29" s="20"/>
      <c r="G29" s="20"/>
      <c r="H29" s="20"/>
      <c r="I29" s="20"/>
      <c r="J29" s="19" t="s">
        <v>16</v>
      </c>
      <c r="K29" s="21" t="s">
        <v>64</v>
      </c>
      <c r="L29" s="22"/>
      <c r="M29" s="21"/>
      <c r="N29" s="18"/>
      <c r="O29" s="22"/>
      <c r="P29" s="19" t="s">
        <v>19</v>
      </c>
      <c r="Q29" s="19" t="s">
        <v>92</v>
      </c>
      <c r="R29" s="22">
        <v>45518</v>
      </c>
      <c r="S29" s="19">
        <f t="shared" si="2"/>
        <v>8</v>
      </c>
    </row>
    <row r="30" spans="1:19" ht="14.25" customHeight="1" x14ac:dyDescent="0.3">
      <c r="A30" s="17">
        <f t="shared" si="1"/>
        <v>29</v>
      </c>
      <c r="B30" s="18">
        <v>48674723</v>
      </c>
      <c r="C30" s="19" t="s">
        <v>35</v>
      </c>
      <c r="D30" s="18">
        <v>86263698</v>
      </c>
      <c r="E30" s="20">
        <v>72711804</v>
      </c>
      <c r="F30" s="20"/>
      <c r="G30" s="20"/>
      <c r="H30" s="20"/>
      <c r="I30" s="20"/>
      <c r="J30" s="19" t="s">
        <v>16</v>
      </c>
      <c r="K30" s="21" t="s">
        <v>64</v>
      </c>
      <c r="L30" s="22">
        <v>45527</v>
      </c>
      <c r="M30" s="21"/>
      <c r="N30" s="18"/>
      <c r="O30" s="22"/>
      <c r="P30" s="19" t="s">
        <v>19</v>
      </c>
      <c r="Q30" s="19" t="s">
        <v>92</v>
      </c>
      <c r="R30" s="22">
        <v>45519</v>
      </c>
      <c r="S30" s="19">
        <f t="shared" si="2"/>
        <v>8</v>
      </c>
    </row>
    <row r="31" spans="1:19" ht="14.25" customHeight="1" x14ac:dyDescent="0.3">
      <c r="A31" s="17">
        <f t="shared" si="1"/>
        <v>30</v>
      </c>
      <c r="B31" s="18">
        <v>73468060</v>
      </c>
      <c r="C31" s="19" t="s">
        <v>117</v>
      </c>
      <c r="D31" s="18">
        <v>86320047</v>
      </c>
      <c r="E31" s="20">
        <v>72740833</v>
      </c>
      <c r="F31" s="20"/>
      <c r="G31" s="20"/>
      <c r="H31" s="20"/>
      <c r="I31" s="20"/>
      <c r="J31" s="19" t="s">
        <v>16</v>
      </c>
      <c r="K31" s="21" t="s">
        <v>64</v>
      </c>
      <c r="L31" s="22"/>
      <c r="M31" s="21"/>
      <c r="N31" s="18"/>
      <c r="O31" s="22"/>
      <c r="P31" s="19" t="s">
        <v>19</v>
      </c>
      <c r="Q31" s="19" t="s">
        <v>96</v>
      </c>
      <c r="R31" s="22">
        <v>45520</v>
      </c>
      <c r="S31" s="19">
        <f t="shared" si="2"/>
        <v>8</v>
      </c>
    </row>
    <row r="32" spans="1:19" ht="14.25" customHeight="1" x14ac:dyDescent="0.3">
      <c r="A32" s="17">
        <f t="shared" si="1"/>
        <v>31</v>
      </c>
      <c r="B32" s="18">
        <v>10628088</v>
      </c>
      <c r="C32" s="19" t="s">
        <v>118</v>
      </c>
      <c r="D32" s="18">
        <v>86352945</v>
      </c>
      <c r="E32" s="20">
        <v>72775208</v>
      </c>
      <c r="F32" s="20"/>
      <c r="G32" s="20"/>
      <c r="H32" s="20"/>
      <c r="I32" s="20"/>
      <c r="J32" s="19" t="s">
        <v>16</v>
      </c>
      <c r="K32" s="21" t="s">
        <v>64</v>
      </c>
      <c r="L32" s="22"/>
      <c r="M32" s="21"/>
      <c r="N32" s="18"/>
      <c r="O32" s="22"/>
      <c r="P32" s="19" t="s">
        <v>19</v>
      </c>
      <c r="Q32" s="19" t="s">
        <v>28</v>
      </c>
      <c r="R32" s="22">
        <v>45521</v>
      </c>
      <c r="S32" s="19">
        <f t="shared" si="2"/>
        <v>8</v>
      </c>
    </row>
    <row r="33" spans="1:19" ht="14.25" customHeight="1" x14ac:dyDescent="0.3">
      <c r="A33" s="17">
        <f t="shared" si="1"/>
        <v>32</v>
      </c>
      <c r="B33" s="18">
        <v>42917972</v>
      </c>
      <c r="C33" s="19" t="s">
        <v>119</v>
      </c>
      <c r="D33" s="18">
        <v>86437130</v>
      </c>
      <c r="E33" s="20">
        <v>72799560</v>
      </c>
      <c r="F33" s="20"/>
      <c r="G33" s="20"/>
      <c r="H33" s="20"/>
      <c r="I33" s="20"/>
      <c r="J33" s="19" t="s">
        <v>16</v>
      </c>
      <c r="K33" s="21" t="s">
        <v>64</v>
      </c>
      <c r="L33" s="22"/>
      <c r="M33" s="21"/>
      <c r="N33" s="18"/>
      <c r="O33" s="22"/>
      <c r="P33" s="19" t="s">
        <v>19</v>
      </c>
      <c r="Q33" s="19" t="s">
        <v>28</v>
      </c>
      <c r="R33" s="22">
        <v>45524</v>
      </c>
      <c r="S33" s="19">
        <f t="shared" si="2"/>
        <v>8</v>
      </c>
    </row>
    <row r="34" spans="1:19" ht="14.25" customHeight="1" x14ac:dyDescent="0.3">
      <c r="A34" s="17">
        <f t="shared" si="1"/>
        <v>33</v>
      </c>
      <c r="B34" s="18">
        <v>47798797</v>
      </c>
      <c r="C34" s="19" t="s">
        <v>120</v>
      </c>
      <c r="D34" s="18">
        <v>86496976</v>
      </c>
      <c r="E34" s="20">
        <v>72902763</v>
      </c>
      <c r="F34" s="20"/>
      <c r="G34" s="20"/>
      <c r="H34" s="20"/>
      <c r="I34" s="20"/>
      <c r="J34" s="19" t="s">
        <v>16</v>
      </c>
      <c r="K34" s="21" t="s">
        <v>64</v>
      </c>
      <c r="L34" s="22"/>
      <c r="M34" s="21"/>
      <c r="N34" s="18"/>
      <c r="O34" s="22"/>
      <c r="P34" s="19" t="s">
        <v>19</v>
      </c>
      <c r="Q34" s="19" t="s">
        <v>121</v>
      </c>
      <c r="R34" s="22">
        <v>45526</v>
      </c>
      <c r="S34" s="19">
        <f t="shared" si="2"/>
        <v>8</v>
      </c>
    </row>
    <row r="35" spans="1:19" ht="14.25" customHeight="1" x14ac:dyDescent="0.3">
      <c r="A35" s="17">
        <f t="shared" si="1"/>
        <v>34</v>
      </c>
      <c r="B35" s="18">
        <v>20610823140</v>
      </c>
      <c r="C35" s="19" t="s">
        <v>122</v>
      </c>
      <c r="D35" s="18">
        <v>86556759</v>
      </c>
      <c r="E35" s="20">
        <v>72916989</v>
      </c>
      <c r="F35" s="20"/>
      <c r="G35" s="20"/>
      <c r="H35" s="20"/>
      <c r="I35" s="20"/>
      <c r="J35" s="19" t="s">
        <v>16</v>
      </c>
      <c r="K35" s="21" t="s">
        <v>64</v>
      </c>
      <c r="L35" s="22"/>
      <c r="M35" s="21"/>
      <c r="N35" s="18"/>
      <c r="O35" s="22"/>
      <c r="P35" s="19" t="s">
        <v>19</v>
      </c>
      <c r="Q35" s="19" t="s">
        <v>123</v>
      </c>
      <c r="R35" s="22">
        <v>45528</v>
      </c>
      <c r="S35" s="19">
        <f t="shared" si="2"/>
        <v>8</v>
      </c>
    </row>
    <row r="36" spans="1:19" ht="14.25" customHeight="1" x14ac:dyDescent="0.3">
      <c r="A36" s="17">
        <f t="shared" si="1"/>
        <v>35</v>
      </c>
      <c r="B36" s="18">
        <v>42364277</v>
      </c>
      <c r="C36" s="19" t="s">
        <v>124</v>
      </c>
      <c r="D36" s="18">
        <v>86620179</v>
      </c>
      <c r="E36" s="20">
        <v>72951944</v>
      </c>
      <c r="F36" s="20"/>
      <c r="G36" s="20"/>
      <c r="H36" s="20"/>
      <c r="I36" s="20"/>
      <c r="J36" s="19" t="s">
        <v>16</v>
      </c>
      <c r="K36" s="21" t="s">
        <v>64</v>
      </c>
      <c r="L36" s="22">
        <v>45533</v>
      </c>
      <c r="M36" s="21"/>
      <c r="N36" s="18"/>
      <c r="O36" s="22"/>
      <c r="P36" s="19" t="s">
        <v>19</v>
      </c>
      <c r="Q36" s="19" t="s">
        <v>28</v>
      </c>
      <c r="R36" s="22">
        <v>45530</v>
      </c>
      <c r="S36" s="19">
        <f t="shared" si="2"/>
        <v>8</v>
      </c>
    </row>
    <row r="37" spans="1:19" ht="14.25" customHeight="1" x14ac:dyDescent="0.3">
      <c r="A37" s="17">
        <f t="shared" si="1"/>
        <v>36</v>
      </c>
      <c r="B37" s="18">
        <v>46534586</v>
      </c>
      <c r="C37" s="19" t="s">
        <v>125</v>
      </c>
      <c r="D37" s="18">
        <v>86652573</v>
      </c>
      <c r="E37" s="20">
        <v>72979174</v>
      </c>
      <c r="F37" s="20"/>
      <c r="G37" s="20"/>
      <c r="H37" s="20"/>
      <c r="I37" s="20"/>
      <c r="J37" s="19" t="s">
        <v>16</v>
      </c>
      <c r="K37" s="21" t="s">
        <v>64</v>
      </c>
      <c r="L37" s="22"/>
      <c r="M37" s="21"/>
      <c r="N37" s="18"/>
      <c r="O37" s="22"/>
      <c r="P37" s="19" t="s">
        <v>19</v>
      </c>
      <c r="Q37" s="19" t="s">
        <v>92</v>
      </c>
      <c r="R37" s="22">
        <v>45531</v>
      </c>
      <c r="S37" s="19">
        <f t="shared" si="2"/>
        <v>8</v>
      </c>
    </row>
    <row r="38" spans="1:19" ht="14.25" customHeight="1" x14ac:dyDescent="0.3">
      <c r="A38" s="17">
        <f t="shared" si="1"/>
        <v>37</v>
      </c>
      <c r="B38" s="18">
        <v>20602225021</v>
      </c>
      <c r="C38" s="19" t="s">
        <v>126</v>
      </c>
      <c r="D38" s="18">
        <v>86636312</v>
      </c>
      <c r="E38" s="20">
        <v>72972995</v>
      </c>
      <c r="F38" s="20"/>
      <c r="G38" s="20"/>
      <c r="H38" s="20"/>
      <c r="I38" s="20"/>
      <c r="J38" s="19" t="s">
        <v>16</v>
      </c>
      <c r="K38" s="21" t="s">
        <v>64</v>
      </c>
      <c r="L38" s="22">
        <v>45533</v>
      </c>
      <c r="M38" s="21"/>
      <c r="N38" s="18"/>
      <c r="O38" s="22"/>
      <c r="P38" s="19" t="s">
        <v>19</v>
      </c>
      <c r="Q38" s="19" t="s">
        <v>21</v>
      </c>
      <c r="R38" s="22">
        <v>45531</v>
      </c>
      <c r="S38" s="19">
        <f t="shared" si="2"/>
        <v>8</v>
      </c>
    </row>
    <row r="39" spans="1:19" ht="14.25" customHeight="1" x14ac:dyDescent="0.3">
      <c r="A39" s="17">
        <f t="shared" si="1"/>
        <v>38</v>
      </c>
      <c r="B39" s="18">
        <v>48019444</v>
      </c>
      <c r="C39" s="19" t="s">
        <v>127</v>
      </c>
      <c r="D39" s="18">
        <v>86646564</v>
      </c>
      <c r="E39" s="20">
        <v>72976710</v>
      </c>
      <c r="F39" s="20"/>
      <c r="G39" s="20"/>
      <c r="H39" s="20"/>
      <c r="I39" s="20"/>
      <c r="J39" s="19" t="s">
        <v>16</v>
      </c>
      <c r="K39" s="21" t="s">
        <v>64</v>
      </c>
      <c r="L39" s="22"/>
      <c r="M39" s="21"/>
      <c r="N39" s="18"/>
      <c r="O39" s="22"/>
      <c r="P39" s="19" t="s">
        <v>19</v>
      </c>
      <c r="Q39" s="19" t="s">
        <v>123</v>
      </c>
      <c r="R39" s="22">
        <v>45531</v>
      </c>
      <c r="S39" s="19">
        <f t="shared" si="2"/>
        <v>8</v>
      </c>
    </row>
    <row r="40" spans="1:19" ht="14.25" customHeight="1" x14ac:dyDescent="0.3">
      <c r="A40" s="17">
        <f t="shared" si="1"/>
        <v>39</v>
      </c>
      <c r="B40" s="18">
        <v>16708381</v>
      </c>
      <c r="C40" s="19" t="s">
        <v>128</v>
      </c>
      <c r="D40" s="18">
        <v>86682552</v>
      </c>
      <c r="E40" s="20">
        <v>73002342</v>
      </c>
      <c r="F40" s="20"/>
      <c r="G40" s="20"/>
      <c r="H40" s="20"/>
      <c r="I40" s="20"/>
      <c r="J40" s="19" t="s">
        <v>16</v>
      </c>
      <c r="K40" s="21" t="s">
        <v>64</v>
      </c>
      <c r="L40" s="22">
        <v>45533</v>
      </c>
      <c r="M40" s="21"/>
      <c r="N40" s="18"/>
      <c r="O40" s="22"/>
      <c r="P40" s="19" t="s">
        <v>19</v>
      </c>
      <c r="Q40" s="19" t="s">
        <v>51</v>
      </c>
      <c r="R40" s="22">
        <v>45532</v>
      </c>
      <c r="S40" s="19">
        <f t="shared" si="2"/>
        <v>8</v>
      </c>
    </row>
    <row r="41" spans="1:19" ht="14.25" customHeight="1" x14ac:dyDescent="0.3">
      <c r="A41" s="17">
        <f t="shared" si="1"/>
        <v>40</v>
      </c>
      <c r="B41" s="18">
        <v>46076903</v>
      </c>
      <c r="C41" s="19" t="s">
        <v>129</v>
      </c>
      <c r="D41" s="18">
        <v>86711270</v>
      </c>
      <c r="E41" s="20"/>
      <c r="F41" s="20"/>
      <c r="G41" s="20"/>
      <c r="H41" s="20"/>
      <c r="I41" s="20"/>
      <c r="J41" s="19" t="s">
        <v>16</v>
      </c>
      <c r="K41" s="21" t="s">
        <v>64</v>
      </c>
      <c r="L41" s="22"/>
      <c r="M41" s="21"/>
      <c r="N41" s="18"/>
      <c r="O41" s="22"/>
      <c r="P41" s="19" t="s">
        <v>19</v>
      </c>
      <c r="Q41" s="19" t="s">
        <v>96</v>
      </c>
      <c r="R41" s="22">
        <v>45533</v>
      </c>
      <c r="S41" s="19">
        <f t="shared" si="2"/>
        <v>8</v>
      </c>
    </row>
    <row r="42" spans="1:19" ht="14.25" customHeight="1" x14ac:dyDescent="0.3">
      <c r="A42" s="17">
        <f t="shared" si="1"/>
        <v>41</v>
      </c>
      <c r="B42" s="18">
        <v>76130694</v>
      </c>
      <c r="C42" s="19" t="s">
        <v>130</v>
      </c>
      <c r="D42" s="18">
        <v>86886176</v>
      </c>
      <c r="E42" s="20">
        <v>73141278</v>
      </c>
      <c r="F42" s="20"/>
      <c r="G42" s="20"/>
      <c r="H42" s="20"/>
      <c r="I42" s="20"/>
      <c r="J42" s="19" t="s">
        <v>16</v>
      </c>
      <c r="K42" s="21" t="s">
        <v>64</v>
      </c>
      <c r="L42" s="22"/>
      <c r="M42" s="21"/>
      <c r="N42" s="18"/>
      <c r="O42" s="22"/>
      <c r="P42" s="19" t="s">
        <v>19</v>
      </c>
      <c r="Q42" s="19" t="s">
        <v>92</v>
      </c>
      <c r="R42" s="22">
        <v>45533</v>
      </c>
      <c r="S42" s="19">
        <f t="shared" si="2"/>
        <v>8</v>
      </c>
    </row>
    <row r="43" spans="1:19" ht="14.25" customHeight="1" x14ac:dyDescent="0.3">
      <c r="A43" s="17">
        <f t="shared" si="1"/>
        <v>42</v>
      </c>
      <c r="B43" s="18">
        <v>73207334</v>
      </c>
      <c r="C43" s="19" t="s">
        <v>131</v>
      </c>
      <c r="D43" s="18">
        <v>86837636</v>
      </c>
      <c r="E43" s="20">
        <v>73109936</v>
      </c>
      <c r="F43" s="20"/>
      <c r="G43" s="20"/>
      <c r="H43" s="20"/>
      <c r="I43" s="20"/>
      <c r="J43" s="19" t="s">
        <v>16</v>
      </c>
      <c r="K43" s="21" t="s">
        <v>64</v>
      </c>
      <c r="L43" s="22"/>
      <c r="M43" s="21"/>
      <c r="N43" s="18"/>
      <c r="O43" s="22"/>
      <c r="P43" s="19" t="s">
        <v>19</v>
      </c>
      <c r="Q43" s="19" t="s">
        <v>25</v>
      </c>
      <c r="R43" s="22">
        <v>45533</v>
      </c>
      <c r="S43" s="19">
        <f t="shared" si="2"/>
        <v>8</v>
      </c>
    </row>
    <row r="44" spans="1:19" ht="14.25" customHeight="1" x14ac:dyDescent="0.3">
      <c r="A44" s="17">
        <f t="shared" si="1"/>
        <v>43</v>
      </c>
      <c r="B44" s="18">
        <v>45042374</v>
      </c>
      <c r="C44" s="19" t="s">
        <v>132</v>
      </c>
      <c r="D44" s="18">
        <v>86823619</v>
      </c>
      <c r="E44" s="20">
        <v>73101269</v>
      </c>
      <c r="F44" s="20"/>
      <c r="G44" s="20"/>
      <c r="H44" s="20"/>
      <c r="I44" s="20"/>
      <c r="J44" s="19" t="s">
        <v>16</v>
      </c>
      <c r="K44" s="21" t="s">
        <v>64</v>
      </c>
      <c r="L44" s="22"/>
      <c r="M44" s="21"/>
      <c r="N44" s="18"/>
      <c r="O44" s="22"/>
      <c r="P44" s="19" t="s">
        <v>19</v>
      </c>
      <c r="Q44" s="19" t="s">
        <v>25</v>
      </c>
      <c r="R44" s="22">
        <v>45537</v>
      </c>
      <c r="S44" s="19">
        <f t="shared" si="2"/>
        <v>9</v>
      </c>
    </row>
    <row r="45" spans="1:19" ht="14.25" customHeight="1" x14ac:dyDescent="0.3">
      <c r="A45" s="17">
        <f t="shared" si="1"/>
        <v>44</v>
      </c>
      <c r="B45" s="18">
        <v>46310553</v>
      </c>
      <c r="C45" s="19" t="s">
        <v>133</v>
      </c>
      <c r="D45" s="18">
        <v>86817139</v>
      </c>
      <c r="E45" s="20">
        <v>73085584</v>
      </c>
      <c r="F45" s="20"/>
      <c r="G45" s="20"/>
      <c r="H45" s="20"/>
      <c r="I45" s="20"/>
      <c r="J45" s="19" t="s">
        <v>16</v>
      </c>
      <c r="K45" s="21" t="s">
        <v>64</v>
      </c>
      <c r="L45" s="22"/>
      <c r="M45" s="21"/>
      <c r="N45" s="18"/>
      <c r="O45" s="22"/>
      <c r="P45" s="19" t="s">
        <v>19</v>
      </c>
      <c r="Q45" s="19" t="s">
        <v>92</v>
      </c>
      <c r="R45" s="22">
        <v>45537</v>
      </c>
      <c r="S45" s="19">
        <f t="shared" si="2"/>
        <v>9</v>
      </c>
    </row>
    <row r="46" spans="1:19" ht="14.25" customHeight="1" x14ac:dyDescent="0.3">
      <c r="A46" s="17">
        <f t="shared" si="1"/>
        <v>45</v>
      </c>
      <c r="B46" s="18">
        <v>42787472</v>
      </c>
      <c r="C46" s="19" t="s">
        <v>38</v>
      </c>
      <c r="D46" s="18">
        <v>86868602</v>
      </c>
      <c r="E46" s="20">
        <v>73127416</v>
      </c>
      <c r="F46" s="20"/>
      <c r="G46" s="20"/>
      <c r="H46" s="20"/>
      <c r="I46" s="20"/>
      <c r="J46" s="19" t="s">
        <v>16</v>
      </c>
      <c r="K46" s="21" t="s">
        <v>64</v>
      </c>
      <c r="L46" s="22"/>
      <c r="M46" s="21"/>
      <c r="N46" s="18"/>
      <c r="O46" s="22"/>
      <c r="P46" s="19" t="s">
        <v>19</v>
      </c>
      <c r="Q46" s="19" t="s">
        <v>92</v>
      </c>
      <c r="R46" s="22">
        <v>45539</v>
      </c>
      <c r="S46" s="19">
        <f t="shared" si="2"/>
        <v>9</v>
      </c>
    </row>
    <row r="47" spans="1:19" ht="14.25" customHeight="1" x14ac:dyDescent="0.3">
      <c r="A47" s="17">
        <f t="shared" si="1"/>
        <v>46</v>
      </c>
      <c r="B47" s="18">
        <v>74587225</v>
      </c>
      <c r="C47" s="19" t="s">
        <v>134</v>
      </c>
      <c r="D47" s="18">
        <v>86855658</v>
      </c>
      <c r="E47" s="20">
        <v>73123122</v>
      </c>
      <c r="F47" s="20"/>
      <c r="G47" s="20"/>
      <c r="H47" s="20"/>
      <c r="I47" s="20"/>
      <c r="J47" s="19" t="s">
        <v>16</v>
      </c>
      <c r="K47" s="21" t="s">
        <v>64</v>
      </c>
      <c r="L47" s="22"/>
      <c r="M47" s="21"/>
      <c r="N47" s="18"/>
      <c r="O47" s="22"/>
      <c r="P47" s="19" t="s">
        <v>19</v>
      </c>
      <c r="Q47" s="19" t="s">
        <v>25</v>
      </c>
      <c r="R47" s="22">
        <v>45539</v>
      </c>
      <c r="S47" s="19">
        <f t="shared" si="2"/>
        <v>9</v>
      </c>
    </row>
    <row r="48" spans="1:19" ht="14.25" customHeight="1" x14ac:dyDescent="0.3">
      <c r="A48" s="17">
        <f t="shared" si="1"/>
        <v>47</v>
      </c>
      <c r="B48" s="18">
        <v>9670792</v>
      </c>
      <c r="C48" s="19" t="s">
        <v>37</v>
      </c>
      <c r="D48" s="18">
        <v>86871244</v>
      </c>
      <c r="E48" s="20">
        <v>73128213</v>
      </c>
      <c r="F48" s="20"/>
      <c r="G48" s="20"/>
      <c r="H48" s="20"/>
      <c r="I48" s="20"/>
      <c r="J48" s="19" t="s">
        <v>16</v>
      </c>
      <c r="K48" s="21" t="s">
        <v>64</v>
      </c>
      <c r="L48" s="22"/>
      <c r="M48" s="21"/>
      <c r="N48" s="18"/>
      <c r="O48" s="22"/>
      <c r="P48" s="19" t="s">
        <v>19</v>
      </c>
      <c r="Q48" s="19" t="s">
        <v>21</v>
      </c>
      <c r="R48" s="22">
        <v>45539</v>
      </c>
      <c r="S48" s="19">
        <f t="shared" si="2"/>
        <v>9</v>
      </c>
    </row>
    <row r="49" spans="1:19" ht="14.25" customHeight="1" x14ac:dyDescent="0.3">
      <c r="A49" s="17">
        <f t="shared" si="1"/>
        <v>48</v>
      </c>
      <c r="B49" s="18">
        <v>73304094</v>
      </c>
      <c r="C49" s="19" t="s">
        <v>135</v>
      </c>
      <c r="D49" s="18">
        <v>86942505</v>
      </c>
      <c r="E49" s="20">
        <v>73169689</v>
      </c>
      <c r="F49" s="20"/>
      <c r="G49" s="20"/>
      <c r="H49" s="20"/>
      <c r="I49" s="20"/>
      <c r="J49" s="19" t="s">
        <v>16</v>
      </c>
      <c r="K49" s="21" t="s">
        <v>64</v>
      </c>
      <c r="L49" s="22"/>
      <c r="M49" s="21"/>
      <c r="N49" s="18"/>
      <c r="O49" s="22"/>
      <c r="P49" s="19" t="s">
        <v>19</v>
      </c>
      <c r="Q49" s="19" t="s">
        <v>96</v>
      </c>
      <c r="R49" s="22">
        <v>45541</v>
      </c>
      <c r="S49" s="19">
        <f t="shared" si="2"/>
        <v>9</v>
      </c>
    </row>
    <row r="50" spans="1:19" ht="14.25" customHeight="1" x14ac:dyDescent="0.3">
      <c r="A50" s="17">
        <f t="shared" si="1"/>
        <v>49</v>
      </c>
      <c r="B50" s="18">
        <v>76203830</v>
      </c>
      <c r="C50" s="19" t="s">
        <v>136</v>
      </c>
      <c r="D50" s="18">
        <v>87000397</v>
      </c>
      <c r="E50" s="20">
        <v>73208358</v>
      </c>
      <c r="F50" s="20"/>
      <c r="G50" s="20"/>
      <c r="H50" s="20"/>
      <c r="I50" s="20"/>
      <c r="J50" s="19" t="s">
        <v>16</v>
      </c>
      <c r="K50" s="21" t="s">
        <v>64</v>
      </c>
      <c r="L50" s="22"/>
      <c r="M50" s="21"/>
      <c r="N50" s="18"/>
      <c r="O50" s="22"/>
      <c r="P50" s="19" t="s">
        <v>19</v>
      </c>
      <c r="Q50" s="19" t="s">
        <v>96</v>
      </c>
      <c r="R50" s="22">
        <v>45541</v>
      </c>
      <c r="S50" s="19">
        <f t="shared" si="2"/>
        <v>9</v>
      </c>
    </row>
    <row r="51" spans="1:19" ht="14.25" customHeight="1" x14ac:dyDescent="0.3">
      <c r="A51" s="17">
        <f t="shared" si="1"/>
        <v>50</v>
      </c>
      <c r="B51" s="18">
        <v>71847067</v>
      </c>
      <c r="C51" s="19" t="s">
        <v>137</v>
      </c>
      <c r="D51" s="18">
        <v>86936288</v>
      </c>
      <c r="E51" s="20">
        <v>73167938</v>
      </c>
      <c r="F51" s="20"/>
      <c r="G51" s="20"/>
      <c r="H51" s="20"/>
      <c r="I51" s="20"/>
      <c r="J51" s="19" t="s">
        <v>16</v>
      </c>
      <c r="K51" s="21" t="s">
        <v>64</v>
      </c>
      <c r="L51" s="22"/>
      <c r="M51" s="21"/>
      <c r="N51" s="18"/>
      <c r="O51" s="22"/>
      <c r="P51" s="19" t="s">
        <v>19</v>
      </c>
      <c r="Q51" s="19" t="s">
        <v>51</v>
      </c>
      <c r="R51" s="22">
        <v>45541</v>
      </c>
      <c r="S51" s="19">
        <f t="shared" si="2"/>
        <v>9</v>
      </c>
    </row>
    <row r="52" spans="1:19" ht="14.25" customHeight="1" x14ac:dyDescent="0.3">
      <c r="A52" s="17">
        <f t="shared" si="1"/>
        <v>51</v>
      </c>
      <c r="B52" s="18">
        <v>72327274</v>
      </c>
      <c r="C52" s="19" t="s">
        <v>138</v>
      </c>
      <c r="D52" s="18">
        <v>87071596</v>
      </c>
      <c r="E52" s="20">
        <v>73257421</v>
      </c>
      <c r="F52" s="20"/>
      <c r="G52" s="20"/>
      <c r="H52" s="20"/>
      <c r="I52" s="20"/>
      <c r="J52" s="19" t="s">
        <v>16</v>
      </c>
      <c r="K52" s="21" t="s">
        <v>64</v>
      </c>
      <c r="L52" s="22"/>
      <c r="M52" s="21"/>
      <c r="N52" s="18"/>
      <c r="O52" s="22"/>
      <c r="P52" s="19" t="s">
        <v>19</v>
      </c>
      <c r="Q52" s="19" t="s">
        <v>21</v>
      </c>
      <c r="R52" s="22">
        <v>45541</v>
      </c>
      <c r="S52" s="19">
        <f t="shared" si="2"/>
        <v>9</v>
      </c>
    </row>
    <row r="53" spans="1:19" ht="14.25" customHeight="1" x14ac:dyDescent="0.3">
      <c r="A53" s="17">
        <f t="shared" si="1"/>
        <v>52</v>
      </c>
      <c r="B53" s="18">
        <v>9383632</v>
      </c>
      <c r="C53" s="19" t="s">
        <v>139</v>
      </c>
      <c r="D53" s="18">
        <v>87007075</v>
      </c>
      <c r="E53" s="20">
        <v>73211803</v>
      </c>
      <c r="F53" s="20"/>
      <c r="G53" s="20"/>
      <c r="H53" s="20"/>
      <c r="I53" s="20"/>
      <c r="J53" s="19" t="s">
        <v>16</v>
      </c>
      <c r="K53" s="21" t="s">
        <v>64</v>
      </c>
      <c r="L53" s="22"/>
      <c r="M53" s="21"/>
      <c r="N53" s="18"/>
      <c r="O53" s="22"/>
      <c r="P53" s="19" t="s">
        <v>19</v>
      </c>
      <c r="Q53" s="19" t="s">
        <v>28</v>
      </c>
      <c r="R53" s="22">
        <v>45544</v>
      </c>
      <c r="S53" s="19">
        <f t="shared" si="2"/>
        <v>9</v>
      </c>
    </row>
    <row r="54" spans="1:19" ht="14.25" customHeight="1" x14ac:dyDescent="0.3">
      <c r="A54" s="17">
        <f t="shared" si="1"/>
        <v>53</v>
      </c>
      <c r="B54" s="18">
        <v>74046450</v>
      </c>
      <c r="C54" s="19" t="s">
        <v>139</v>
      </c>
      <c r="D54" s="18">
        <v>87008208</v>
      </c>
      <c r="E54" s="20">
        <v>73212251</v>
      </c>
      <c r="F54" s="20"/>
      <c r="G54" s="20"/>
      <c r="H54" s="20"/>
      <c r="I54" s="20"/>
      <c r="J54" s="19" t="s">
        <v>16</v>
      </c>
      <c r="K54" s="21" t="s">
        <v>64</v>
      </c>
      <c r="L54" s="22"/>
      <c r="M54" s="21"/>
      <c r="N54" s="18"/>
      <c r="O54" s="22"/>
      <c r="P54" s="19" t="s">
        <v>19</v>
      </c>
      <c r="Q54" s="19" t="s">
        <v>21</v>
      </c>
      <c r="R54" s="22">
        <v>45544</v>
      </c>
      <c r="S54" s="19">
        <f t="shared" si="2"/>
        <v>9</v>
      </c>
    </row>
    <row r="55" spans="1:19" ht="14.25" customHeight="1" x14ac:dyDescent="0.3">
      <c r="A55" s="17">
        <f t="shared" si="1"/>
        <v>54</v>
      </c>
      <c r="B55" s="18">
        <v>9711821</v>
      </c>
      <c r="C55" s="19" t="s">
        <v>140</v>
      </c>
      <c r="D55" s="18">
        <v>87087998</v>
      </c>
      <c r="E55" s="20">
        <v>73263273</v>
      </c>
      <c r="F55" s="20"/>
      <c r="G55" s="20"/>
      <c r="H55" s="20"/>
      <c r="I55" s="20"/>
      <c r="J55" s="19" t="s">
        <v>16</v>
      </c>
      <c r="K55" s="21" t="s">
        <v>64</v>
      </c>
      <c r="L55" s="22"/>
      <c r="M55" s="21"/>
      <c r="N55" s="18"/>
      <c r="O55" s="22"/>
      <c r="P55" s="19" t="s">
        <v>19</v>
      </c>
      <c r="Q55" s="19" t="s">
        <v>123</v>
      </c>
      <c r="R55" s="22">
        <v>45545</v>
      </c>
      <c r="S55" s="19">
        <f t="shared" si="2"/>
        <v>9</v>
      </c>
    </row>
    <row r="56" spans="1:19" ht="14.25" customHeight="1" x14ac:dyDescent="0.3">
      <c r="A56" s="17">
        <f t="shared" si="1"/>
        <v>55</v>
      </c>
      <c r="B56" s="18">
        <v>10036841368</v>
      </c>
      <c r="C56" s="19" t="s">
        <v>141</v>
      </c>
      <c r="D56" s="18">
        <v>87031288</v>
      </c>
      <c r="E56" s="20">
        <v>73233643</v>
      </c>
      <c r="F56" s="20"/>
      <c r="G56" s="20"/>
      <c r="H56" s="20"/>
      <c r="I56" s="20"/>
      <c r="J56" s="19" t="s">
        <v>16</v>
      </c>
      <c r="K56" s="21" t="s">
        <v>64</v>
      </c>
      <c r="L56" s="22"/>
      <c r="M56" s="21"/>
      <c r="N56" s="18"/>
      <c r="O56" s="22"/>
      <c r="P56" s="19" t="s">
        <v>19</v>
      </c>
      <c r="Q56" s="19" t="s">
        <v>96</v>
      </c>
      <c r="R56" s="22">
        <v>45545</v>
      </c>
      <c r="S56" s="19">
        <f t="shared" si="2"/>
        <v>9</v>
      </c>
    </row>
    <row r="57" spans="1:19" ht="14.25" customHeight="1" x14ac:dyDescent="0.3">
      <c r="A57" s="17">
        <f t="shared" si="1"/>
        <v>56</v>
      </c>
      <c r="B57" s="18">
        <v>45923334</v>
      </c>
      <c r="C57" s="19" t="s">
        <v>142</v>
      </c>
      <c r="D57" s="18">
        <v>87081484</v>
      </c>
      <c r="E57" s="20">
        <v>73261544</v>
      </c>
      <c r="F57" s="20"/>
      <c r="G57" s="20"/>
      <c r="H57" s="20"/>
      <c r="I57" s="20"/>
      <c r="J57" s="19" t="s">
        <v>16</v>
      </c>
      <c r="K57" s="21" t="s">
        <v>64</v>
      </c>
      <c r="L57" s="22"/>
      <c r="M57" s="21"/>
      <c r="N57" s="18"/>
      <c r="O57" s="22"/>
      <c r="P57" s="19" t="s">
        <v>19</v>
      </c>
      <c r="Q57" s="19" t="s">
        <v>28</v>
      </c>
      <c r="R57" s="22">
        <v>45545</v>
      </c>
      <c r="S57" s="19">
        <f t="shared" si="2"/>
        <v>9</v>
      </c>
    </row>
    <row r="58" spans="1:19" ht="14.25" customHeight="1" x14ac:dyDescent="0.3">
      <c r="A58" s="17">
        <f t="shared" si="1"/>
        <v>57</v>
      </c>
      <c r="B58" s="18">
        <v>42179945</v>
      </c>
      <c r="C58" s="19" t="s">
        <v>143</v>
      </c>
      <c r="D58" s="18">
        <v>87047205</v>
      </c>
      <c r="E58" s="20">
        <v>73241319</v>
      </c>
      <c r="F58" s="20"/>
      <c r="G58" s="20"/>
      <c r="H58" s="20"/>
      <c r="I58" s="20"/>
      <c r="J58" s="19" t="s">
        <v>16</v>
      </c>
      <c r="K58" s="21" t="s">
        <v>64</v>
      </c>
      <c r="L58" s="22"/>
      <c r="M58" s="21"/>
      <c r="N58" s="18"/>
      <c r="O58" s="22"/>
      <c r="P58" s="19" t="s">
        <v>19</v>
      </c>
      <c r="Q58" s="19" t="s">
        <v>28</v>
      </c>
      <c r="R58" s="22">
        <v>45545</v>
      </c>
      <c r="S58" s="19">
        <f t="shared" si="2"/>
        <v>9</v>
      </c>
    </row>
    <row r="59" spans="1:19" ht="14.25" customHeight="1" x14ac:dyDescent="0.3">
      <c r="A59" s="17">
        <f t="shared" si="1"/>
        <v>58</v>
      </c>
      <c r="B59" s="18">
        <v>26962719</v>
      </c>
      <c r="C59" s="19" t="s">
        <v>144</v>
      </c>
      <c r="D59" s="18">
        <v>87115948</v>
      </c>
      <c r="E59" s="18">
        <v>73303944</v>
      </c>
      <c r="F59" s="18"/>
      <c r="G59" s="18"/>
      <c r="H59" s="18"/>
      <c r="I59" s="18"/>
      <c r="J59" s="19" t="s">
        <v>16</v>
      </c>
      <c r="K59" s="21" t="s">
        <v>64</v>
      </c>
      <c r="L59" s="22"/>
      <c r="M59" s="21"/>
      <c r="N59" s="18"/>
      <c r="O59" s="22"/>
      <c r="P59" s="19" t="s">
        <v>19</v>
      </c>
      <c r="Q59" s="19" t="s">
        <v>96</v>
      </c>
      <c r="R59" s="22">
        <v>45547</v>
      </c>
      <c r="S59" s="19">
        <f t="shared" si="2"/>
        <v>9</v>
      </c>
    </row>
    <row r="60" spans="1:19" ht="14.25" customHeight="1" x14ac:dyDescent="0.3">
      <c r="A60" s="17">
        <f t="shared" si="1"/>
        <v>59</v>
      </c>
      <c r="B60" s="18">
        <v>42419985</v>
      </c>
      <c r="C60" s="19" t="s">
        <v>145</v>
      </c>
      <c r="D60" s="18">
        <v>87249115</v>
      </c>
      <c r="E60" s="18">
        <v>73361904</v>
      </c>
      <c r="F60" s="18"/>
      <c r="G60" s="18"/>
      <c r="H60" s="18"/>
      <c r="I60" s="18"/>
      <c r="J60" s="19" t="s">
        <v>16</v>
      </c>
      <c r="K60" s="21" t="s">
        <v>64</v>
      </c>
      <c r="L60" s="22"/>
      <c r="M60" s="21"/>
      <c r="N60" s="18"/>
      <c r="O60" s="22"/>
      <c r="P60" s="19" t="s">
        <v>19</v>
      </c>
      <c r="Q60" s="19" t="s">
        <v>96</v>
      </c>
      <c r="R60" s="22">
        <v>45547</v>
      </c>
      <c r="S60" s="19">
        <f t="shared" si="2"/>
        <v>9</v>
      </c>
    </row>
    <row r="61" spans="1:19" ht="14.25" customHeight="1" x14ac:dyDescent="0.3">
      <c r="A61" s="17">
        <f t="shared" si="1"/>
        <v>60</v>
      </c>
      <c r="B61" s="18">
        <v>9748399</v>
      </c>
      <c r="C61" s="19" t="s">
        <v>146</v>
      </c>
      <c r="D61" s="18">
        <v>87248248</v>
      </c>
      <c r="E61" s="18">
        <v>73361619</v>
      </c>
      <c r="F61" s="18"/>
      <c r="G61" s="18"/>
      <c r="H61" s="18"/>
      <c r="I61" s="18"/>
      <c r="J61" s="19" t="s">
        <v>16</v>
      </c>
      <c r="K61" s="21" t="s">
        <v>64</v>
      </c>
      <c r="L61" s="22"/>
      <c r="M61" s="21"/>
      <c r="N61" s="18"/>
      <c r="O61" s="22"/>
      <c r="P61" s="19" t="s">
        <v>19</v>
      </c>
      <c r="Q61" s="19" t="s">
        <v>96</v>
      </c>
      <c r="R61" s="22">
        <v>45548</v>
      </c>
      <c r="S61" s="19">
        <f t="shared" si="2"/>
        <v>9</v>
      </c>
    </row>
    <row r="62" spans="1:19" ht="14.25" customHeight="1" x14ac:dyDescent="0.3">
      <c r="A62" s="17">
        <f t="shared" si="1"/>
        <v>61</v>
      </c>
      <c r="B62" s="18">
        <v>42292647</v>
      </c>
      <c r="C62" s="19" t="s">
        <v>147</v>
      </c>
      <c r="D62" s="18">
        <v>87149033</v>
      </c>
      <c r="E62" s="18">
        <v>73300199</v>
      </c>
      <c r="F62" s="18"/>
      <c r="G62" s="18"/>
      <c r="H62" s="18"/>
      <c r="I62" s="18"/>
      <c r="J62" s="19" t="s">
        <v>16</v>
      </c>
      <c r="K62" s="21" t="s">
        <v>64</v>
      </c>
      <c r="L62" s="22"/>
      <c r="M62" s="21"/>
      <c r="N62" s="18"/>
      <c r="O62" s="22"/>
      <c r="P62" s="19" t="s">
        <v>19</v>
      </c>
      <c r="Q62" s="19" t="s">
        <v>34</v>
      </c>
      <c r="R62" s="22">
        <v>45548</v>
      </c>
      <c r="S62" s="19">
        <f t="shared" si="2"/>
        <v>9</v>
      </c>
    </row>
    <row r="63" spans="1:19" ht="14.25" customHeight="1" x14ac:dyDescent="0.3">
      <c r="A63" s="17">
        <f t="shared" si="1"/>
        <v>62</v>
      </c>
      <c r="B63" s="18">
        <v>44486227</v>
      </c>
      <c r="C63" s="19" t="s">
        <v>148</v>
      </c>
      <c r="D63" s="18">
        <v>87196699</v>
      </c>
      <c r="E63" s="18">
        <v>73318592</v>
      </c>
      <c r="F63" s="18"/>
      <c r="G63" s="18"/>
      <c r="H63" s="18"/>
      <c r="I63" s="18"/>
      <c r="J63" s="19" t="s">
        <v>16</v>
      </c>
      <c r="K63" s="21" t="s">
        <v>64</v>
      </c>
      <c r="L63" s="22"/>
      <c r="M63" s="21"/>
      <c r="N63" s="18"/>
      <c r="O63" s="22"/>
      <c r="P63" s="19" t="s">
        <v>19</v>
      </c>
      <c r="Q63" s="19" t="s">
        <v>34</v>
      </c>
      <c r="R63" s="22">
        <v>45549</v>
      </c>
      <c r="S63" s="19">
        <f t="shared" si="2"/>
        <v>9</v>
      </c>
    </row>
    <row r="64" spans="1:19" ht="14.25" customHeight="1" x14ac:dyDescent="0.3">
      <c r="A64" s="17">
        <f t="shared" si="1"/>
        <v>63</v>
      </c>
      <c r="B64" s="18">
        <v>42364277</v>
      </c>
      <c r="C64" s="19" t="s">
        <v>149</v>
      </c>
      <c r="D64" s="18">
        <v>87278320</v>
      </c>
      <c r="E64" s="18">
        <v>73380563</v>
      </c>
      <c r="F64" s="18"/>
      <c r="G64" s="18"/>
      <c r="H64" s="18"/>
      <c r="I64" s="18"/>
      <c r="J64" s="19" t="s">
        <v>16</v>
      </c>
      <c r="K64" s="21" t="s">
        <v>64</v>
      </c>
      <c r="L64" s="22"/>
      <c r="M64" s="21"/>
      <c r="N64" s="18"/>
      <c r="O64" s="22"/>
      <c r="P64" s="19" t="s">
        <v>19</v>
      </c>
      <c r="Q64" s="19" t="s">
        <v>28</v>
      </c>
      <c r="R64" s="22">
        <v>45551</v>
      </c>
      <c r="S64" s="19">
        <f t="shared" si="2"/>
        <v>9</v>
      </c>
    </row>
    <row r="65" spans="1:19" ht="14.25" customHeight="1" x14ac:dyDescent="0.3">
      <c r="A65" s="17">
        <f t="shared" si="1"/>
        <v>64</v>
      </c>
      <c r="B65" s="18">
        <v>21563689</v>
      </c>
      <c r="C65" s="19" t="s">
        <v>150</v>
      </c>
      <c r="D65" s="18">
        <v>87271271</v>
      </c>
      <c r="E65" s="18">
        <v>73369610</v>
      </c>
      <c r="F65" s="18"/>
      <c r="G65" s="18"/>
      <c r="H65" s="18"/>
      <c r="I65" s="18"/>
      <c r="J65" s="19" t="s">
        <v>16</v>
      </c>
      <c r="K65" s="21" t="s">
        <v>64</v>
      </c>
      <c r="L65" s="22"/>
      <c r="M65" s="21"/>
      <c r="N65" s="18"/>
      <c r="O65" s="22"/>
      <c r="P65" s="19" t="s">
        <v>19</v>
      </c>
      <c r="Q65" s="19" t="s">
        <v>34</v>
      </c>
      <c r="R65" s="22">
        <v>45552</v>
      </c>
      <c r="S65" s="19">
        <f t="shared" si="2"/>
        <v>9</v>
      </c>
    </row>
    <row r="66" spans="1:19" ht="14.25" customHeight="1" x14ac:dyDescent="0.3">
      <c r="A66" s="17">
        <f t="shared" si="1"/>
        <v>65</v>
      </c>
      <c r="B66" s="18">
        <v>76537228</v>
      </c>
      <c r="C66" s="19" t="s">
        <v>152</v>
      </c>
      <c r="D66" s="18">
        <v>87243976</v>
      </c>
      <c r="E66" s="18">
        <v>73350992</v>
      </c>
      <c r="F66" s="18"/>
      <c r="G66" s="18"/>
      <c r="H66" s="18"/>
      <c r="I66" s="18"/>
      <c r="J66" s="19" t="s">
        <v>16</v>
      </c>
      <c r="K66" s="21" t="s">
        <v>64</v>
      </c>
      <c r="L66" s="22"/>
      <c r="M66" s="21"/>
      <c r="N66" s="18"/>
      <c r="O66" s="22"/>
      <c r="P66" s="19" t="s">
        <v>19</v>
      </c>
      <c r="Q66" s="19" t="s">
        <v>21</v>
      </c>
      <c r="R66" s="22">
        <v>45552</v>
      </c>
      <c r="S66" s="19">
        <f t="shared" si="2"/>
        <v>9</v>
      </c>
    </row>
    <row r="67" spans="1:19" ht="14.25" customHeight="1" x14ac:dyDescent="0.3">
      <c r="A67" s="17">
        <f t="shared" si="1"/>
        <v>66</v>
      </c>
      <c r="B67" s="18">
        <v>41844672</v>
      </c>
      <c r="C67" s="19" t="s">
        <v>153</v>
      </c>
      <c r="D67" s="18">
        <v>87332446</v>
      </c>
      <c r="E67" s="18">
        <v>73404301</v>
      </c>
      <c r="F67" s="18"/>
      <c r="G67" s="18"/>
      <c r="H67" s="18"/>
      <c r="I67" s="18"/>
      <c r="J67" s="19" t="s">
        <v>16</v>
      </c>
      <c r="K67" s="21" t="s">
        <v>64</v>
      </c>
      <c r="L67" s="22"/>
      <c r="M67" s="21"/>
      <c r="N67" s="18"/>
      <c r="O67" s="22"/>
      <c r="P67" s="19" t="s">
        <v>19</v>
      </c>
      <c r="Q67" s="19" t="s">
        <v>25</v>
      </c>
      <c r="R67" s="22">
        <v>45554</v>
      </c>
      <c r="S67" s="19">
        <f t="shared" si="2"/>
        <v>9</v>
      </c>
    </row>
    <row r="68" spans="1:19" ht="14.25" customHeight="1" x14ac:dyDescent="0.3">
      <c r="A68" s="17">
        <f t="shared" ref="A68:A131" si="3">A67+1</f>
        <v>67</v>
      </c>
      <c r="B68" s="18">
        <v>74828253</v>
      </c>
      <c r="C68" s="19" t="s">
        <v>154</v>
      </c>
      <c r="D68" s="18">
        <v>87331862</v>
      </c>
      <c r="E68" s="18">
        <v>73404008</v>
      </c>
      <c r="F68" s="18"/>
      <c r="G68" s="18"/>
      <c r="H68" s="18"/>
      <c r="I68" s="18"/>
      <c r="J68" s="19" t="s">
        <v>16</v>
      </c>
      <c r="K68" s="21" t="s">
        <v>64</v>
      </c>
      <c r="L68" s="22"/>
      <c r="M68" s="21"/>
      <c r="N68" s="18"/>
      <c r="O68" s="22"/>
      <c r="P68" s="19" t="s">
        <v>19</v>
      </c>
      <c r="Q68" s="19" t="s">
        <v>96</v>
      </c>
      <c r="R68" s="22">
        <v>45554</v>
      </c>
      <c r="S68" s="19">
        <f t="shared" si="2"/>
        <v>9</v>
      </c>
    </row>
    <row r="69" spans="1:19" ht="14.25" customHeight="1" x14ac:dyDescent="0.3">
      <c r="A69" s="17">
        <f t="shared" si="3"/>
        <v>68</v>
      </c>
      <c r="B69" s="18">
        <v>32777547</v>
      </c>
      <c r="C69" s="19" t="s">
        <v>155</v>
      </c>
      <c r="D69" s="18">
        <v>87330136</v>
      </c>
      <c r="E69" s="18">
        <v>73428220</v>
      </c>
      <c r="F69" s="18"/>
      <c r="G69" s="18"/>
      <c r="H69" s="18"/>
      <c r="I69" s="18"/>
      <c r="J69" s="19" t="s">
        <v>16</v>
      </c>
      <c r="K69" s="21" t="s">
        <v>64</v>
      </c>
      <c r="L69" s="22"/>
      <c r="M69" s="21"/>
      <c r="N69" s="18"/>
      <c r="O69" s="22"/>
      <c r="P69" s="19" t="s">
        <v>19</v>
      </c>
      <c r="Q69" s="19" t="s">
        <v>96</v>
      </c>
      <c r="R69" s="22">
        <v>45554</v>
      </c>
      <c r="S69" s="19">
        <f t="shared" si="2"/>
        <v>9</v>
      </c>
    </row>
    <row r="70" spans="1:19" ht="14.25" customHeight="1" x14ac:dyDescent="0.3">
      <c r="A70" s="17">
        <f t="shared" si="3"/>
        <v>69</v>
      </c>
      <c r="B70" s="18">
        <v>46715375</v>
      </c>
      <c r="C70" s="19" t="s">
        <v>156</v>
      </c>
      <c r="D70" s="18">
        <v>87334833</v>
      </c>
      <c r="E70" s="18">
        <v>73407118</v>
      </c>
      <c r="F70" s="18"/>
      <c r="G70" s="18"/>
      <c r="H70" s="18"/>
      <c r="I70" s="18"/>
      <c r="J70" s="19" t="s">
        <v>16</v>
      </c>
      <c r="K70" s="21" t="s">
        <v>64</v>
      </c>
      <c r="L70" s="22"/>
      <c r="M70" s="21"/>
      <c r="N70" s="18"/>
      <c r="O70" s="22"/>
      <c r="P70" s="19" t="s">
        <v>19</v>
      </c>
      <c r="Q70" s="19" t="s">
        <v>96</v>
      </c>
      <c r="R70" s="22">
        <v>45554</v>
      </c>
      <c r="S70" s="19">
        <f t="shared" si="2"/>
        <v>9</v>
      </c>
    </row>
    <row r="71" spans="1:19" ht="14.25" customHeight="1" x14ac:dyDescent="0.3">
      <c r="A71" s="17">
        <f t="shared" si="3"/>
        <v>70</v>
      </c>
      <c r="B71" s="18">
        <v>44140599</v>
      </c>
      <c r="C71" s="19" t="s">
        <v>157</v>
      </c>
      <c r="D71" s="18">
        <v>87347223</v>
      </c>
      <c r="E71" s="18">
        <v>73421156</v>
      </c>
      <c r="F71" s="18"/>
      <c r="G71" s="18"/>
      <c r="H71" s="18"/>
      <c r="I71" s="18"/>
      <c r="J71" s="19" t="s">
        <v>16</v>
      </c>
      <c r="K71" s="21" t="s">
        <v>64</v>
      </c>
      <c r="L71" s="22"/>
      <c r="M71" s="21"/>
      <c r="N71" s="18"/>
      <c r="O71" s="22"/>
      <c r="P71" s="19" t="s">
        <v>19</v>
      </c>
      <c r="Q71" s="19" t="s">
        <v>96</v>
      </c>
      <c r="R71" s="22">
        <v>45555</v>
      </c>
      <c r="S71" s="19">
        <f t="shared" si="2"/>
        <v>9</v>
      </c>
    </row>
    <row r="72" spans="1:19" ht="14.25" customHeight="1" x14ac:dyDescent="0.3">
      <c r="A72" s="17">
        <f t="shared" si="3"/>
        <v>71</v>
      </c>
      <c r="B72" s="18">
        <v>7668474</v>
      </c>
      <c r="C72" s="19" t="s">
        <v>158</v>
      </c>
      <c r="D72" s="18">
        <v>87386550</v>
      </c>
      <c r="E72" s="18">
        <v>73436633</v>
      </c>
      <c r="F72" s="18"/>
      <c r="G72" s="18"/>
      <c r="H72" s="18"/>
      <c r="I72" s="18"/>
      <c r="J72" s="19" t="s">
        <v>16</v>
      </c>
      <c r="K72" s="21" t="s">
        <v>64</v>
      </c>
      <c r="L72" s="22"/>
      <c r="M72" s="21"/>
      <c r="N72" s="18"/>
      <c r="O72" s="22"/>
      <c r="P72" s="19" t="s">
        <v>19</v>
      </c>
      <c r="Q72" s="19" t="s">
        <v>34</v>
      </c>
      <c r="R72" s="22">
        <v>45556</v>
      </c>
      <c r="S72" s="19">
        <f t="shared" si="2"/>
        <v>9</v>
      </c>
    </row>
    <row r="73" spans="1:19" ht="14.25" customHeight="1" x14ac:dyDescent="0.3">
      <c r="A73" s="17">
        <f t="shared" si="3"/>
        <v>72</v>
      </c>
      <c r="B73" s="18">
        <v>42451615</v>
      </c>
      <c r="C73" s="19" t="s">
        <v>159</v>
      </c>
      <c r="D73" s="18">
        <v>87442236</v>
      </c>
      <c r="E73" s="18">
        <v>73468299</v>
      </c>
      <c r="F73" s="18"/>
      <c r="G73" s="18"/>
      <c r="H73" s="18"/>
      <c r="I73" s="18"/>
      <c r="J73" s="19" t="s">
        <v>16</v>
      </c>
      <c r="K73" s="21" t="s">
        <v>64</v>
      </c>
      <c r="L73" s="22"/>
      <c r="M73" s="21"/>
      <c r="N73" s="18"/>
      <c r="O73" s="22"/>
      <c r="P73" s="19" t="s">
        <v>19</v>
      </c>
      <c r="Q73" s="19" t="s">
        <v>25</v>
      </c>
      <c r="R73" s="22">
        <v>45558</v>
      </c>
      <c r="S73" s="19">
        <f t="shared" si="2"/>
        <v>9</v>
      </c>
    </row>
    <row r="74" spans="1:19" ht="14.25" customHeight="1" x14ac:dyDescent="0.3">
      <c r="A74" s="17">
        <f t="shared" si="3"/>
        <v>73</v>
      </c>
      <c r="B74" s="18">
        <v>72791722</v>
      </c>
      <c r="C74" s="19" t="s">
        <v>160</v>
      </c>
      <c r="D74" s="18">
        <v>87451555</v>
      </c>
      <c r="E74" s="18">
        <v>73471101</v>
      </c>
      <c r="F74" s="18"/>
      <c r="G74" s="18"/>
      <c r="H74" s="18"/>
      <c r="I74" s="18"/>
      <c r="J74" s="19" t="s">
        <v>16</v>
      </c>
      <c r="K74" s="21" t="s">
        <v>64</v>
      </c>
      <c r="L74" s="22"/>
      <c r="M74" s="21"/>
      <c r="N74" s="18"/>
      <c r="O74" s="22"/>
      <c r="P74" s="19" t="s">
        <v>19</v>
      </c>
      <c r="Q74" s="19" t="s">
        <v>96</v>
      </c>
      <c r="R74" s="22">
        <v>45558</v>
      </c>
      <c r="S74" s="19">
        <f t="shared" si="2"/>
        <v>9</v>
      </c>
    </row>
    <row r="75" spans="1:19" ht="14.25" customHeight="1" x14ac:dyDescent="0.3">
      <c r="A75" s="17">
        <f t="shared" si="3"/>
        <v>74</v>
      </c>
      <c r="B75" s="18">
        <v>44256585</v>
      </c>
      <c r="C75" s="19" t="s">
        <v>161</v>
      </c>
      <c r="D75" s="18">
        <v>87494951</v>
      </c>
      <c r="E75" s="18">
        <v>73507694</v>
      </c>
      <c r="F75" s="18"/>
      <c r="G75" s="18"/>
      <c r="H75" s="18"/>
      <c r="I75" s="18"/>
      <c r="J75" s="19" t="s">
        <v>16</v>
      </c>
      <c r="K75" s="21" t="s">
        <v>64</v>
      </c>
      <c r="L75" s="22"/>
      <c r="M75" s="21"/>
      <c r="N75" s="18"/>
      <c r="O75" s="22"/>
      <c r="P75" s="19" t="s">
        <v>19</v>
      </c>
      <c r="Q75" s="19" t="s">
        <v>34</v>
      </c>
      <c r="R75" s="22">
        <v>45560</v>
      </c>
      <c r="S75" s="19">
        <f t="shared" si="2"/>
        <v>9</v>
      </c>
    </row>
    <row r="76" spans="1:19" ht="14.25" customHeight="1" x14ac:dyDescent="0.3">
      <c r="A76" s="17">
        <f t="shared" si="3"/>
        <v>75</v>
      </c>
      <c r="B76" s="18">
        <v>45923334</v>
      </c>
      <c r="C76" s="19" t="s">
        <v>142</v>
      </c>
      <c r="D76" s="18">
        <v>87081484</v>
      </c>
      <c r="E76" s="18">
        <v>73556828</v>
      </c>
      <c r="F76" s="18"/>
      <c r="G76" s="18"/>
      <c r="H76" s="18"/>
      <c r="I76" s="18"/>
      <c r="J76" s="19" t="s">
        <v>16</v>
      </c>
      <c r="K76" s="21" t="s">
        <v>64</v>
      </c>
      <c r="L76" s="22"/>
      <c r="M76" s="21"/>
      <c r="N76" s="18"/>
      <c r="O76" s="22"/>
      <c r="P76" s="19" t="s">
        <v>19</v>
      </c>
      <c r="Q76" s="19"/>
      <c r="R76" s="22">
        <v>45560</v>
      </c>
      <c r="S76" s="19">
        <f t="shared" si="2"/>
        <v>9</v>
      </c>
    </row>
    <row r="77" spans="1:19" ht="14.25" customHeight="1" x14ac:dyDescent="0.3">
      <c r="A77" s="17">
        <f t="shared" si="3"/>
        <v>76</v>
      </c>
      <c r="B77" s="18">
        <v>32790393</v>
      </c>
      <c r="C77" s="19" t="s">
        <v>162</v>
      </c>
      <c r="D77" s="18">
        <v>87592242</v>
      </c>
      <c r="E77" s="18">
        <v>73565760</v>
      </c>
      <c r="F77" s="18"/>
      <c r="G77" s="18"/>
      <c r="H77" s="18"/>
      <c r="I77" s="18"/>
      <c r="J77" s="19" t="s">
        <v>16</v>
      </c>
      <c r="K77" s="21" t="s">
        <v>64</v>
      </c>
      <c r="L77" s="22"/>
      <c r="M77" s="21"/>
      <c r="N77" s="18"/>
      <c r="O77" s="22"/>
      <c r="P77" s="19" t="s">
        <v>19</v>
      </c>
      <c r="Q77" s="19" t="s">
        <v>96</v>
      </c>
      <c r="R77" s="22">
        <v>45563</v>
      </c>
      <c r="S77" s="19">
        <f t="shared" si="2"/>
        <v>9</v>
      </c>
    </row>
    <row r="78" spans="1:19" ht="14.25" customHeight="1" x14ac:dyDescent="0.3">
      <c r="A78" s="17">
        <f t="shared" si="3"/>
        <v>77</v>
      </c>
      <c r="B78" s="18">
        <v>80174641</v>
      </c>
      <c r="C78" s="19" t="s">
        <v>163</v>
      </c>
      <c r="D78" s="18">
        <v>87583813</v>
      </c>
      <c r="E78" s="18">
        <v>73564135</v>
      </c>
      <c r="F78" s="18"/>
      <c r="G78" s="18"/>
      <c r="H78" s="18"/>
      <c r="I78" s="18"/>
      <c r="J78" s="19" t="s">
        <v>16</v>
      </c>
      <c r="K78" s="21" t="s">
        <v>64</v>
      </c>
      <c r="L78" s="22"/>
      <c r="M78" s="21"/>
      <c r="N78" s="18"/>
      <c r="O78" s="22"/>
      <c r="P78" s="19" t="s">
        <v>19</v>
      </c>
      <c r="Q78" s="19" t="s">
        <v>28</v>
      </c>
      <c r="R78" s="22">
        <v>45563</v>
      </c>
      <c r="S78" s="19">
        <f t="shared" si="2"/>
        <v>9</v>
      </c>
    </row>
    <row r="79" spans="1:19" ht="14.25" customHeight="1" x14ac:dyDescent="0.3">
      <c r="A79" s="17">
        <f t="shared" si="3"/>
        <v>78</v>
      </c>
      <c r="B79" s="18">
        <v>22521733</v>
      </c>
      <c r="C79" s="19" t="s">
        <v>164</v>
      </c>
      <c r="D79" s="18">
        <v>87597409</v>
      </c>
      <c r="E79" s="18">
        <v>73566968</v>
      </c>
      <c r="F79" s="18"/>
      <c r="G79" s="18"/>
      <c r="H79" s="18"/>
      <c r="I79" s="18"/>
      <c r="J79" s="19" t="s">
        <v>16</v>
      </c>
      <c r="K79" s="21" t="s">
        <v>64</v>
      </c>
      <c r="L79" s="22"/>
      <c r="M79" s="21"/>
      <c r="N79" s="18"/>
      <c r="O79" s="22"/>
      <c r="P79" s="19" t="s">
        <v>19</v>
      </c>
      <c r="Q79" s="19" t="s">
        <v>21</v>
      </c>
      <c r="R79" s="22">
        <v>45565</v>
      </c>
      <c r="S79" s="19">
        <f t="shared" si="2"/>
        <v>9</v>
      </c>
    </row>
    <row r="80" spans="1:19" ht="14.25" customHeight="1" x14ac:dyDescent="0.3">
      <c r="A80" s="17">
        <f t="shared" si="3"/>
        <v>79</v>
      </c>
      <c r="B80" s="18">
        <v>9402296</v>
      </c>
      <c r="C80" s="19" t="s">
        <v>166</v>
      </c>
      <c r="D80" s="18">
        <v>87676758</v>
      </c>
      <c r="E80" s="18">
        <v>73632542</v>
      </c>
      <c r="F80" s="18"/>
      <c r="G80" s="18"/>
      <c r="H80" s="18"/>
      <c r="I80" s="18"/>
      <c r="J80" s="19" t="s">
        <v>16</v>
      </c>
      <c r="K80" s="21" t="s">
        <v>64</v>
      </c>
      <c r="L80" s="22"/>
      <c r="M80" s="21"/>
      <c r="N80" s="18"/>
      <c r="O80" s="22"/>
      <c r="P80" s="19" t="s">
        <v>19</v>
      </c>
      <c r="Q80" s="19" t="s">
        <v>34</v>
      </c>
      <c r="R80" s="22">
        <v>45566</v>
      </c>
      <c r="S80" s="19">
        <f t="shared" si="2"/>
        <v>10</v>
      </c>
    </row>
    <row r="81" spans="1:19" ht="14.25" customHeight="1" x14ac:dyDescent="0.3">
      <c r="A81" s="17">
        <f t="shared" si="3"/>
        <v>80</v>
      </c>
      <c r="B81" s="18">
        <v>75691231</v>
      </c>
      <c r="C81" s="19" t="s">
        <v>167</v>
      </c>
      <c r="D81" s="18">
        <v>87717516</v>
      </c>
      <c r="E81" s="18">
        <v>73655959</v>
      </c>
      <c r="F81" s="18"/>
      <c r="G81" s="18"/>
      <c r="H81" s="18"/>
      <c r="I81" s="18"/>
      <c r="J81" s="19" t="s">
        <v>16</v>
      </c>
      <c r="K81" s="21" t="s">
        <v>64</v>
      </c>
      <c r="L81" s="22"/>
      <c r="M81" s="21"/>
      <c r="N81" s="18"/>
      <c r="O81" s="22"/>
      <c r="P81" s="19" t="s">
        <v>19</v>
      </c>
      <c r="Q81" s="19" t="s">
        <v>96</v>
      </c>
      <c r="R81" s="22">
        <v>45567</v>
      </c>
      <c r="S81" s="19">
        <f t="shared" si="2"/>
        <v>10</v>
      </c>
    </row>
    <row r="82" spans="1:19" ht="14.25" customHeight="1" x14ac:dyDescent="0.3">
      <c r="A82" s="17">
        <f t="shared" si="3"/>
        <v>81</v>
      </c>
      <c r="B82" s="18">
        <v>48410046</v>
      </c>
      <c r="C82" s="19" t="s">
        <v>168</v>
      </c>
      <c r="D82" s="18">
        <v>87738341</v>
      </c>
      <c r="E82" s="18">
        <v>73669676</v>
      </c>
      <c r="F82" s="18"/>
      <c r="G82" s="18"/>
      <c r="H82" s="18"/>
      <c r="I82" s="18"/>
      <c r="J82" s="19" t="s">
        <v>16</v>
      </c>
      <c r="K82" s="21" t="s">
        <v>64</v>
      </c>
      <c r="L82" s="22"/>
      <c r="M82" s="21"/>
      <c r="N82" s="18"/>
      <c r="O82" s="22"/>
      <c r="P82" s="19" t="s">
        <v>19</v>
      </c>
      <c r="Q82" s="19" t="s">
        <v>169</v>
      </c>
      <c r="R82" s="22">
        <v>45568</v>
      </c>
      <c r="S82" s="19">
        <f t="shared" si="2"/>
        <v>10</v>
      </c>
    </row>
    <row r="83" spans="1:19" ht="14.25" customHeight="1" x14ac:dyDescent="0.3">
      <c r="A83" s="17">
        <f t="shared" si="3"/>
        <v>82</v>
      </c>
      <c r="B83" s="18">
        <v>72210066</v>
      </c>
      <c r="C83" s="19" t="s">
        <v>170</v>
      </c>
      <c r="D83" s="18">
        <v>87769053</v>
      </c>
      <c r="E83" s="18">
        <v>73697974</v>
      </c>
      <c r="F83" s="18"/>
      <c r="G83" s="18"/>
      <c r="H83" s="18"/>
      <c r="I83" s="18"/>
      <c r="J83" s="19" t="s">
        <v>16</v>
      </c>
      <c r="K83" s="21" t="s">
        <v>64</v>
      </c>
      <c r="L83" s="22"/>
      <c r="M83" s="21"/>
      <c r="N83" s="18"/>
      <c r="O83" s="22"/>
      <c r="P83" s="19" t="s">
        <v>19</v>
      </c>
      <c r="Q83" s="19" t="s">
        <v>96</v>
      </c>
      <c r="R83" s="22">
        <v>45569</v>
      </c>
      <c r="S83" s="19">
        <f t="shared" si="2"/>
        <v>10</v>
      </c>
    </row>
    <row r="84" spans="1:19" ht="14.25" customHeight="1" x14ac:dyDescent="0.3">
      <c r="A84" s="17">
        <f t="shared" si="3"/>
        <v>83</v>
      </c>
      <c r="B84" s="18">
        <v>71887663</v>
      </c>
      <c r="C84" s="19" t="s">
        <v>171</v>
      </c>
      <c r="D84" s="18">
        <v>87815539</v>
      </c>
      <c r="E84" s="18">
        <v>73717160</v>
      </c>
      <c r="F84" s="18"/>
      <c r="G84" s="18"/>
      <c r="H84" s="18"/>
      <c r="I84" s="18"/>
      <c r="J84" s="19" t="s">
        <v>16</v>
      </c>
      <c r="K84" s="21" t="s">
        <v>64</v>
      </c>
      <c r="L84" s="22"/>
      <c r="M84" s="21"/>
      <c r="N84" s="18"/>
      <c r="O84" s="22"/>
      <c r="P84" s="19" t="s">
        <v>19</v>
      </c>
      <c r="Q84" s="19" t="s">
        <v>21</v>
      </c>
      <c r="R84" s="22">
        <v>45571</v>
      </c>
      <c r="S84" s="19">
        <f t="shared" si="2"/>
        <v>10</v>
      </c>
    </row>
    <row r="85" spans="1:19" ht="14.25" customHeight="1" x14ac:dyDescent="0.3">
      <c r="A85" s="17">
        <f t="shared" si="3"/>
        <v>84</v>
      </c>
      <c r="B85" s="18">
        <v>40713584</v>
      </c>
      <c r="C85" s="19" t="s">
        <v>172</v>
      </c>
      <c r="D85" s="18">
        <v>87854409</v>
      </c>
      <c r="E85" s="18">
        <v>73728790</v>
      </c>
      <c r="F85" s="18"/>
      <c r="G85" s="18"/>
      <c r="H85" s="18"/>
      <c r="I85" s="18"/>
      <c r="J85" s="19" t="s">
        <v>16</v>
      </c>
      <c r="K85" s="21" t="s">
        <v>64</v>
      </c>
      <c r="L85" s="22"/>
      <c r="M85" s="21"/>
      <c r="N85" s="18"/>
      <c r="O85" s="22"/>
      <c r="P85" s="19" t="s">
        <v>19</v>
      </c>
      <c r="Q85" s="19" t="s">
        <v>169</v>
      </c>
      <c r="R85" s="22">
        <v>45572</v>
      </c>
      <c r="S85" s="19">
        <f t="shared" si="2"/>
        <v>10</v>
      </c>
    </row>
    <row r="86" spans="1:19" ht="14.25" customHeight="1" x14ac:dyDescent="0.3">
      <c r="A86" s="17">
        <f t="shared" si="3"/>
        <v>85</v>
      </c>
      <c r="B86" s="18">
        <v>7125846</v>
      </c>
      <c r="C86" s="19" t="s">
        <v>173</v>
      </c>
      <c r="D86" s="18">
        <v>87872181</v>
      </c>
      <c r="E86" s="18">
        <v>73768090</v>
      </c>
      <c r="F86" s="18"/>
      <c r="G86" s="18"/>
      <c r="H86" s="18"/>
      <c r="I86" s="18"/>
      <c r="J86" s="19" t="s">
        <v>16</v>
      </c>
      <c r="K86" s="21" t="s">
        <v>64</v>
      </c>
      <c r="L86" s="22"/>
      <c r="M86" s="21"/>
      <c r="N86" s="18"/>
      <c r="O86" s="22"/>
      <c r="P86" s="19" t="s">
        <v>19</v>
      </c>
      <c r="Q86" s="19" t="s">
        <v>96</v>
      </c>
      <c r="R86" s="22">
        <v>45573</v>
      </c>
      <c r="S86" s="19">
        <f t="shared" si="2"/>
        <v>10</v>
      </c>
    </row>
    <row r="87" spans="1:19" ht="14.25" customHeight="1" x14ac:dyDescent="0.3">
      <c r="A87" s="17">
        <f t="shared" si="3"/>
        <v>86</v>
      </c>
      <c r="B87" s="18">
        <v>75821562</v>
      </c>
      <c r="C87" s="19" t="s">
        <v>174</v>
      </c>
      <c r="D87" s="18">
        <v>87907803</v>
      </c>
      <c r="E87" s="18">
        <v>73772598</v>
      </c>
      <c r="F87" s="18"/>
      <c r="G87" s="18"/>
      <c r="H87" s="18"/>
      <c r="I87" s="18"/>
      <c r="J87" s="19" t="s">
        <v>16</v>
      </c>
      <c r="K87" s="21" t="s">
        <v>64</v>
      </c>
      <c r="L87" s="22"/>
      <c r="M87" s="21"/>
      <c r="N87" s="18"/>
      <c r="O87" s="22"/>
      <c r="P87" s="19" t="s">
        <v>19</v>
      </c>
      <c r="Q87" s="19" t="s">
        <v>175</v>
      </c>
      <c r="R87" s="22">
        <v>45574</v>
      </c>
      <c r="S87" s="19">
        <f t="shared" si="2"/>
        <v>10</v>
      </c>
    </row>
    <row r="88" spans="1:19" ht="14.25" customHeight="1" x14ac:dyDescent="0.3">
      <c r="A88" s="17">
        <f t="shared" si="3"/>
        <v>87</v>
      </c>
      <c r="B88" s="18">
        <v>76391534</v>
      </c>
      <c r="C88" s="19" t="s">
        <v>176</v>
      </c>
      <c r="D88" s="18">
        <v>87937617</v>
      </c>
      <c r="E88" s="18">
        <v>73789354</v>
      </c>
      <c r="F88" s="18"/>
      <c r="G88" s="18"/>
      <c r="H88" s="18"/>
      <c r="I88" s="18"/>
      <c r="J88" s="19" t="s">
        <v>16</v>
      </c>
      <c r="K88" s="21" t="s">
        <v>64</v>
      </c>
      <c r="L88" s="22"/>
      <c r="M88" s="21"/>
      <c r="N88" s="18"/>
      <c r="O88" s="22"/>
      <c r="P88" s="19" t="s">
        <v>19</v>
      </c>
      <c r="Q88" s="19" t="s">
        <v>25</v>
      </c>
      <c r="R88" s="22">
        <v>45575</v>
      </c>
      <c r="S88" s="19">
        <f t="shared" si="2"/>
        <v>10</v>
      </c>
    </row>
    <row r="89" spans="1:19" ht="14.25" customHeight="1" x14ac:dyDescent="0.3">
      <c r="A89" s="17">
        <f t="shared" si="3"/>
        <v>88</v>
      </c>
      <c r="B89" s="18">
        <v>47772255</v>
      </c>
      <c r="C89" s="19" t="s">
        <v>177</v>
      </c>
      <c r="D89" s="18">
        <v>87992385</v>
      </c>
      <c r="E89" s="18">
        <v>73827628</v>
      </c>
      <c r="F89" s="18"/>
      <c r="G89" s="18"/>
      <c r="H89" s="18"/>
      <c r="I89" s="18"/>
      <c r="J89" s="19" t="s">
        <v>16</v>
      </c>
      <c r="K89" s="21" t="s">
        <v>64</v>
      </c>
      <c r="L89" s="22"/>
      <c r="M89" s="21"/>
      <c r="N89" s="18"/>
      <c r="O89" s="22"/>
      <c r="P89" s="19" t="s">
        <v>19</v>
      </c>
      <c r="Q89" s="19" t="s">
        <v>34</v>
      </c>
      <c r="R89" s="22">
        <v>45576</v>
      </c>
      <c r="S89" s="19">
        <f t="shared" si="2"/>
        <v>10</v>
      </c>
    </row>
    <row r="90" spans="1:19" ht="14.25" customHeight="1" x14ac:dyDescent="0.3">
      <c r="A90" s="17">
        <f t="shared" si="3"/>
        <v>89</v>
      </c>
      <c r="B90" s="18">
        <v>76307503</v>
      </c>
      <c r="C90" s="19" t="s">
        <v>178</v>
      </c>
      <c r="D90" s="18">
        <v>87992859</v>
      </c>
      <c r="E90" s="18">
        <v>73827743</v>
      </c>
      <c r="F90" s="18"/>
      <c r="G90" s="18"/>
      <c r="H90" s="18"/>
      <c r="I90" s="18"/>
      <c r="J90" s="19" t="s">
        <v>16</v>
      </c>
      <c r="K90" s="21" t="s">
        <v>64</v>
      </c>
      <c r="L90" s="22"/>
      <c r="M90" s="21"/>
      <c r="N90" s="18"/>
      <c r="O90" s="22"/>
      <c r="P90" s="19" t="s">
        <v>19</v>
      </c>
      <c r="Q90" s="19" t="s">
        <v>96</v>
      </c>
      <c r="R90" s="22">
        <v>45576</v>
      </c>
      <c r="S90" s="19">
        <f t="shared" si="2"/>
        <v>10</v>
      </c>
    </row>
    <row r="91" spans="1:19" ht="14.25" customHeight="1" x14ac:dyDescent="0.3">
      <c r="A91" s="17">
        <f t="shared" si="3"/>
        <v>90</v>
      </c>
      <c r="B91" s="18">
        <v>74820023</v>
      </c>
      <c r="C91" s="19" t="s">
        <v>179</v>
      </c>
      <c r="D91" s="18">
        <v>87958714</v>
      </c>
      <c r="E91" s="18">
        <v>73814541</v>
      </c>
      <c r="F91" s="18"/>
      <c r="G91" s="18"/>
      <c r="H91" s="18"/>
      <c r="I91" s="18"/>
      <c r="J91" s="19" t="s">
        <v>16</v>
      </c>
      <c r="K91" s="21" t="s">
        <v>64</v>
      </c>
      <c r="L91" s="22"/>
      <c r="M91" s="21"/>
      <c r="N91" s="18"/>
      <c r="O91" s="22"/>
      <c r="P91" s="19" t="s">
        <v>19</v>
      </c>
      <c r="Q91" s="19" t="s">
        <v>96</v>
      </c>
      <c r="R91" s="22">
        <v>45576</v>
      </c>
      <c r="S91" s="19">
        <f t="shared" si="2"/>
        <v>10</v>
      </c>
    </row>
    <row r="92" spans="1:19" ht="14.25" customHeight="1" x14ac:dyDescent="0.3">
      <c r="A92" s="17">
        <f t="shared" si="3"/>
        <v>91</v>
      </c>
      <c r="B92" s="18">
        <v>10058772</v>
      </c>
      <c r="C92" s="19" t="s">
        <v>180</v>
      </c>
      <c r="D92" s="18">
        <v>88273561</v>
      </c>
      <c r="E92" s="18">
        <v>73997121</v>
      </c>
      <c r="F92" s="18"/>
      <c r="G92" s="18"/>
      <c r="H92" s="18"/>
      <c r="I92" s="18"/>
      <c r="J92" s="19" t="s">
        <v>16</v>
      </c>
      <c r="K92" s="21" t="s">
        <v>64</v>
      </c>
      <c r="L92" s="22"/>
      <c r="M92" s="21"/>
      <c r="N92" s="18"/>
      <c r="O92" s="22"/>
      <c r="P92" s="19" t="s">
        <v>39</v>
      </c>
      <c r="Q92" s="19" t="s">
        <v>21</v>
      </c>
      <c r="R92" s="22">
        <v>45576</v>
      </c>
      <c r="S92" s="19">
        <f t="shared" si="2"/>
        <v>10</v>
      </c>
    </row>
    <row r="93" spans="1:19" ht="14.25" customHeight="1" x14ac:dyDescent="0.3">
      <c r="A93" s="17">
        <f t="shared" si="3"/>
        <v>92</v>
      </c>
      <c r="B93" s="18" t="s">
        <v>181</v>
      </c>
      <c r="C93" s="19" t="s">
        <v>180</v>
      </c>
      <c r="D93" s="18">
        <v>88174697</v>
      </c>
      <c r="E93" s="20" t="s">
        <v>5</v>
      </c>
      <c r="F93" s="20"/>
      <c r="G93" s="20"/>
      <c r="H93" s="20"/>
      <c r="I93" s="20"/>
      <c r="J93" s="19" t="s">
        <v>16</v>
      </c>
      <c r="K93" s="21" t="s">
        <v>64</v>
      </c>
      <c r="L93" s="22"/>
      <c r="M93" s="21"/>
      <c r="N93" s="18"/>
      <c r="O93" s="22"/>
      <c r="P93" s="19" t="s">
        <v>39</v>
      </c>
      <c r="Q93" s="19" t="s">
        <v>21</v>
      </c>
      <c r="R93" s="22">
        <v>45576</v>
      </c>
      <c r="S93" s="19">
        <f t="shared" si="2"/>
        <v>10</v>
      </c>
    </row>
    <row r="94" spans="1:19" ht="14.25" customHeight="1" x14ac:dyDescent="0.3">
      <c r="A94" s="17">
        <f t="shared" si="3"/>
        <v>93</v>
      </c>
      <c r="B94" s="18">
        <v>80346679</v>
      </c>
      <c r="C94" s="19" t="s">
        <v>44</v>
      </c>
      <c r="D94" s="18">
        <v>88044483</v>
      </c>
      <c r="E94" s="20" t="s">
        <v>5</v>
      </c>
      <c r="F94" s="20"/>
      <c r="G94" s="20"/>
      <c r="H94" s="20"/>
      <c r="I94" s="20"/>
      <c r="J94" s="19" t="s">
        <v>16</v>
      </c>
      <c r="K94" s="21" t="s">
        <v>64</v>
      </c>
      <c r="L94" s="22"/>
      <c r="M94" s="21"/>
      <c r="N94" s="18"/>
      <c r="O94" s="22"/>
      <c r="P94" s="19" t="s">
        <v>19</v>
      </c>
      <c r="Q94" s="19" t="s">
        <v>28</v>
      </c>
      <c r="R94" s="22">
        <v>45579</v>
      </c>
      <c r="S94" s="19">
        <f t="shared" si="2"/>
        <v>10</v>
      </c>
    </row>
    <row r="95" spans="1:19" ht="14.25" customHeight="1" x14ac:dyDescent="0.3">
      <c r="A95" s="17">
        <f t="shared" si="3"/>
        <v>94</v>
      </c>
      <c r="B95" s="18">
        <v>28591810</v>
      </c>
      <c r="C95" s="19" t="s">
        <v>182</v>
      </c>
      <c r="D95" s="18">
        <v>88042240</v>
      </c>
      <c r="E95" s="18">
        <v>73890300</v>
      </c>
      <c r="F95" s="18"/>
      <c r="G95" s="18"/>
      <c r="H95" s="18"/>
      <c r="I95" s="18"/>
      <c r="J95" s="19" t="s">
        <v>16</v>
      </c>
      <c r="K95" s="21" t="s">
        <v>64</v>
      </c>
      <c r="L95" s="22"/>
      <c r="M95" s="21"/>
      <c r="N95" s="18"/>
      <c r="O95" s="22"/>
      <c r="P95" s="19" t="s">
        <v>19</v>
      </c>
      <c r="Q95" s="19" t="s">
        <v>96</v>
      </c>
      <c r="R95" s="22">
        <v>45579</v>
      </c>
      <c r="S95" s="19">
        <f t="shared" si="2"/>
        <v>10</v>
      </c>
    </row>
    <row r="96" spans="1:19" ht="14.25" customHeight="1" x14ac:dyDescent="0.3">
      <c r="A96" s="17">
        <f t="shared" si="3"/>
        <v>95</v>
      </c>
      <c r="B96" s="18">
        <v>33560695</v>
      </c>
      <c r="C96" s="19" t="s">
        <v>183</v>
      </c>
      <c r="D96" s="18">
        <v>88119404</v>
      </c>
      <c r="E96" s="20">
        <v>73894934</v>
      </c>
      <c r="F96" s="20"/>
      <c r="G96" s="20"/>
      <c r="H96" s="20"/>
      <c r="I96" s="20"/>
      <c r="J96" s="19" t="s">
        <v>16</v>
      </c>
      <c r="K96" s="21" t="s">
        <v>64</v>
      </c>
      <c r="L96" s="22"/>
      <c r="M96" s="21"/>
      <c r="N96" s="18"/>
      <c r="O96" s="22"/>
      <c r="P96" s="19" t="s">
        <v>19</v>
      </c>
      <c r="Q96" s="19" t="s">
        <v>28</v>
      </c>
      <c r="R96" s="22">
        <v>45579</v>
      </c>
      <c r="S96" s="19">
        <f t="shared" si="2"/>
        <v>10</v>
      </c>
    </row>
    <row r="97" spans="1:19" ht="14.25" customHeight="1" x14ac:dyDescent="0.3">
      <c r="A97" s="17">
        <f t="shared" si="3"/>
        <v>96</v>
      </c>
      <c r="B97" s="18">
        <v>73416478</v>
      </c>
      <c r="C97" s="19" t="s">
        <v>42</v>
      </c>
      <c r="D97" s="18">
        <v>88072408</v>
      </c>
      <c r="E97" s="18">
        <v>73869167</v>
      </c>
      <c r="F97" s="18"/>
      <c r="G97" s="18"/>
      <c r="H97" s="18"/>
      <c r="I97" s="18"/>
      <c r="J97" s="19" t="s">
        <v>16</v>
      </c>
      <c r="K97" s="21" t="s">
        <v>64</v>
      </c>
      <c r="L97" s="22"/>
      <c r="M97" s="21"/>
      <c r="N97" s="18"/>
      <c r="O97" s="22"/>
      <c r="P97" s="19" t="s">
        <v>19</v>
      </c>
      <c r="Q97" s="19" t="s">
        <v>96</v>
      </c>
      <c r="R97" s="22">
        <v>45580</v>
      </c>
      <c r="S97" s="19">
        <f t="shared" si="2"/>
        <v>10</v>
      </c>
    </row>
    <row r="98" spans="1:19" ht="14.25" customHeight="1" x14ac:dyDescent="0.3">
      <c r="A98" s="17">
        <f t="shared" si="3"/>
        <v>97</v>
      </c>
      <c r="B98" s="18">
        <v>74066484</v>
      </c>
      <c r="C98" s="19" t="s">
        <v>184</v>
      </c>
      <c r="D98" s="18">
        <v>88081780</v>
      </c>
      <c r="E98" s="18">
        <v>73871748</v>
      </c>
      <c r="F98" s="18"/>
      <c r="G98" s="18"/>
      <c r="H98" s="18"/>
      <c r="I98" s="18"/>
      <c r="J98" s="19" t="s">
        <v>16</v>
      </c>
      <c r="K98" s="21" t="s">
        <v>64</v>
      </c>
      <c r="L98" s="22"/>
      <c r="M98" s="21"/>
      <c r="N98" s="18"/>
      <c r="O98" s="22"/>
      <c r="P98" s="19" t="s">
        <v>19</v>
      </c>
      <c r="Q98" s="19" t="s">
        <v>175</v>
      </c>
      <c r="R98" s="22">
        <v>45580</v>
      </c>
      <c r="S98" s="19">
        <f t="shared" si="2"/>
        <v>10</v>
      </c>
    </row>
    <row r="99" spans="1:19" ht="14.25" customHeight="1" x14ac:dyDescent="0.3">
      <c r="A99" s="17">
        <f t="shared" si="3"/>
        <v>98</v>
      </c>
      <c r="B99" s="18">
        <v>45727422</v>
      </c>
      <c r="C99" s="19" t="s">
        <v>40</v>
      </c>
      <c r="D99" s="18">
        <v>88075770</v>
      </c>
      <c r="E99" s="18">
        <v>73870011</v>
      </c>
      <c r="F99" s="18"/>
      <c r="G99" s="18"/>
      <c r="H99" s="18"/>
      <c r="I99" s="18"/>
      <c r="J99" s="19" t="s">
        <v>16</v>
      </c>
      <c r="K99" s="21" t="s">
        <v>64</v>
      </c>
      <c r="L99" s="22"/>
      <c r="M99" s="21"/>
      <c r="N99" s="18"/>
      <c r="O99" s="22"/>
      <c r="P99" s="19" t="s">
        <v>19</v>
      </c>
      <c r="Q99" s="19" t="s">
        <v>25</v>
      </c>
      <c r="R99" s="22">
        <v>45580</v>
      </c>
      <c r="S99" s="19">
        <f t="shared" si="2"/>
        <v>10</v>
      </c>
    </row>
    <row r="100" spans="1:19" ht="14.25" customHeight="1" x14ac:dyDescent="0.3">
      <c r="A100" s="17">
        <f t="shared" si="3"/>
        <v>99</v>
      </c>
      <c r="B100" s="18">
        <v>47341597</v>
      </c>
      <c r="C100" s="19" t="s">
        <v>185</v>
      </c>
      <c r="D100" s="18">
        <v>88061272</v>
      </c>
      <c r="E100" s="18">
        <v>73908717</v>
      </c>
      <c r="F100" s="18"/>
      <c r="G100" s="18"/>
      <c r="H100" s="18"/>
      <c r="I100" s="18"/>
      <c r="J100" s="19" t="s">
        <v>16</v>
      </c>
      <c r="K100" s="21" t="s">
        <v>64</v>
      </c>
      <c r="L100" s="22"/>
      <c r="M100" s="21"/>
      <c r="N100" s="18"/>
      <c r="O100" s="22"/>
      <c r="P100" s="19" t="s">
        <v>19</v>
      </c>
      <c r="Q100" s="19" t="s">
        <v>96</v>
      </c>
      <c r="R100" s="22">
        <v>45580</v>
      </c>
      <c r="S100" s="19">
        <f t="shared" si="2"/>
        <v>10</v>
      </c>
    </row>
    <row r="101" spans="1:19" ht="14.25" customHeight="1" x14ac:dyDescent="0.3">
      <c r="A101" s="17">
        <f t="shared" si="3"/>
        <v>100</v>
      </c>
      <c r="B101" s="18">
        <v>9127253</v>
      </c>
      <c r="C101" s="19" t="s">
        <v>186</v>
      </c>
      <c r="D101" s="18">
        <v>88099714</v>
      </c>
      <c r="E101" s="18">
        <v>73887453</v>
      </c>
      <c r="F101" s="18"/>
      <c r="G101" s="18"/>
      <c r="H101" s="18"/>
      <c r="I101" s="18"/>
      <c r="J101" s="19" t="s">
        <v>16</v>
      </c>
      <c r="K101" s="21" t="s">
        <v>64</v>
      </c>
      <c r="L101" s="22"/>
      <c r="M101" s="21"/>
      <c r="N101" s="18"/>
      <c r="O101" s="22"/>
      <c r="P101" s="19" t="s">
        <v>19</v>
      </c>
      <c r="Q101" s="19" t="s">
        <v>21</v>
      </c>
      <c r="R101" s="22">
        <v>45581</v>
      </c>
      <c r="S101" s="19">
        <f t="shared" si="2"/>
        <v>10</v>
      </c>
    </row>
    <row r="102" spans="1:19" ht="14.25" customHeight="1" x14ac:dyDescent="0.3">
      <c r="A102" s="17">
        <f t="shared" si="3"/>
        <v>101</v>
      </c>
      <c r="B102" s="18">
        <v>6452551</v>
      </c>
      <c r="C102" s="19" t="s">
        <v>187</v>
      </c>
      <c r="D102" s="18">
        <v>88114707</v>
      </c>
      <c r="E102" s="18">
        <v>73892415</v>
      </c>
      <c r="F102" s="18"/>
      <c r="G102" s="18"/>
      <c r="H102" s="18"/>
      <c r="I102" s="18"/>
      <c r="J102" s="19" t="s">
        <v>16</v>
      </c>
      <c r="K102" s="21" t="s">
        <v>64</v>
      </c>
      <c r="L102" s="22"/>
      <c r="M102" s="21"/>
      <c r="N102" s="18"/>
      <c r="O102" s="22"/>
      <c r="P102" s="19" t="s">
        <v>19</v>
      </c>
      <c r="Q102" s="19" t="s">
        <v>96</v>
      </c>
      <c r="R102" s="22">
        <v>45581</v>
      </c>
      <c r="S102" s="19">
        <f t="shared" si="2"/>
        <v>10</v>
      </c>
    </row>
    <row r="103" spans="1:19" ht="14.25" customHeight="1" x14ac:dyDescent="0.3">
      <c r="A103" s="17">
        <f t="shared" si="3"/>
        <v>102</v>
      </c>
      <c r="B103" s="18">
        <v>16626977</v>
      </c>
      <c r="C103" s="19" t="s">
        <v>188</v>
      </c>
      <c r="D103" s="18">
        <v>88136933</v>
      </c>
      <c r="E103" s="18">
        <v>73906469</v>
      </c>
      <c r="F103" s="18"/>
      <c r="G103" s="18"/>
      <c r="H103" s="18"/>
      <c r="I103" s="18"/>
      <c r="J103" s="19" t="s">
        <v>16</v>
      </c>
      <c r="K103" s="21" t="s">
        <v>64</v>
      </c>
      <c r="L103" s="22"/>
      <c r="M103" s="21"/>
      <c r="N103" s="18"/>
      <c r="O103" s="22"/>
      <c r="P103" s="19" t="s">
        <v>19</v>
      </c>
      <c r="Q103" s="19"/>
      <c r="R103" s="22">
        <v>45582</v>
      </c>
      <c r="S103" s="19">
        <f t="shared" si="2"/>
        <v>10</v>
      </c>
    </row>
    <row r="104" spans="1:19" ht="14.25" customHeight="1" x14ac:dyDescent="0.3">
      <c r="A104" s="17">
        <f t="shared" si="3"/>
        <v>103</v>
      </c>
      <c r="B104" s="18">
        <v>44858145</v>
      </c>
      <c r="C104" s="19" t="s">
        <v>189</v>
      </c>
      <c r="D104" s="18">
        <v>88140577</v>
      </c>
      <c r="E104" s="18">
        <v>73908209</v>
      </c>
      <c r="F104" s="18"/>
      <c r="G104" s="18"/>
      <c r="H104" s="18"/>
      <c r="I104" s="18"/>
      <c r="J104" s="19" t="s">
        <v>16</v>
      </c>
      <c r="K104" s="21" t="s">
        <v>64</v>
      </c>
      <c r="L104" s="22"/>
      <c r="M104" s="21"/>
      <c r="N104" s="18"/>
      <c r="O104" s="22"/>
      <c r="P104" s="19" t="s">
        <v>19</v>
      </c>
      <c r="Q104" s="19"/>
      <c r="R104" s="22">
        <v>45582</v>
      </c>
      <c r="S104" s="19">
        <f t="shared" si="2"/>
        <v>10</v>
      </c>
    </row>
    <row r="105" spans="1:19" ht="14.25" customHeight="1" x14ac:dyDescent="0.3">
      <c r="A105" s="17">
        <f t="shared" si="3"/>
        <v>104</v>
      </c>
      <c r="B105" s="18">
        <v>70506371</v>
      </c>
      <c r="C105" s="19" t="s">
        <v>190</v>
      </c>
      <c r="D105" s="18">
        <v>88173221</v>
      </c>
      <c r="E105" s="18">
        <v>73932965</v>
      </c>
      <c r="F105" s="18"/>
      <c r="G105" s="18"/>
      <c r="H105" s="18"/>
      <c r="I105" s="18"/>
      <c r="J105" s="19" t="s">
        <v>16</v>
      </c>
      <c r="K105" s="21" t="s">
        <v>64</v>
      </c>
      <c r="L105" s="22"/>
      <c r="M105" s="21"/>
      <c r="N105" s="18"/>
      <c r="O105" s="22"/>
      <c r="P105" s="19" t="s">
        <v>19</v>
      </c>
      <c r="Q105" s="19" t="s">
        <v>96</v>
      </c>
      <c r="R105" s="22">
        <v>45583</v>
      </c>
      <c r="S105" s="19">
        <f t="shared" si="2"/>
        <v>10</v>
      </c>
    </row>
    <row r="106" spans="1:19" ht="14.25" customHeight="1" x14ac:dyDescent="0.3">
      <c r="A106" s="17">
        <f t="shared" si="3"/>
        <v>105</v>
      </c>
      <c r="B106" s="18">
        <v>2416004</v>
      </c>
      <c r="C106" s="19" t="s">
        <v>191</v>
      </c>
      <c r="D106" s="18">
        <v>88191125</v>
      </c>
      <c r="E106" s="18">
        <v>73967736</v>
      </c>
      <c r="F106" s="18"/>
      <c r="G106" s="18"/>
      <c r="H106" s="18"/>
      <c r="I106" s="18"/>
      <c r="J106" s="19" t="s">
        <v>16</v>
      </c>
      <c r="K106" s="21" t="s">
        <v>64</v>
      </c>
      <c r="L106" s="22"/>
      <c r="M106" s="21"/>
      <c r="N106" s="18"/>
      <c r="O106" s="22"/>
      <c r="P106" s="19" t="s">
        <v>19</v>
      </c>
      <c r="Q106" s="19" t="s">
        <v>25</v>
      </c>
      <c r="R106" s="22">
        <v>45584</v>
      </c>
      <c r="S106" s="19">
        <f t="shared" si="2"/>
        <v>10</v>
      </c>
    </row>
    <row r="107" spans="1:19" ht="14.25" customHeight="1" x14ac:dyDescent="0.3">
      <c r="A107" s="17">
        <f t="shared" si="3"/>
        <v>106</v>
      </c>
      <c r="B107" s="18">
        <v>21520505</v>
      </c>
      <c r="C107" s="19" t="s">
        <v>192</v>
      </c>
      <c r="D107" s="18">
        <v>88198512</v>
      </c>
      <c r="E107" s="18">
        <v>73942920</v>
      </c>
      <c r="F107" s="18"/>
      <c r="G107" s="18"/>
      <c r="H107" s="18"/>
      <c r="I107" s="18"/>
      <c r="J107" s="19" t="s">
        <v>16</v>
      </c>
      <c r="K107" s="21" t="s">
        <v>64</v>
      </c>
      <c r="L107" s="22"/>
      <c r="M107" s="21"/>
      <c r="N107" s="18"/>
      <c r="O107" s="22"/>
      <c r="P107" s="19" t="s">
        <v>19</v>
      </c>
      <c r="Q107" s="19" t="s">
        <v>28</v>
      </c>
      <c r="R107" s="22">
        <v>45584</v>
      </c>
      <c r="S107" s="19">
        <f t="shared" si="2"/>
        <v>10</v>
      </c>
    </row>
    <row r="108" spans="1:19" ht="14.25" customHeight="1" x14ac:dyDescent="0.3">
      <c r="A108" s="17">
        <f t="shared" si="3"/>
        <v>107</v>
      </c>
      <c r="B108" s="18">
        <v>2146108</v>
      </c>
      <c r="C108" s="19" t="s">
        <v>193</v>
      </c>
      <c r="D108" s="18">
        <v>88431962</v>
      </c>
      <c r="E108" s="18">
        <v>74109655</v>
      </c>
      <c r="F108" s="18"/>
      <c r="G108" s="18"/>
      <c r="H108" s="18"/>
      <c r="I108" s="18"/>
      <c r="J108" s="19" t="s">
        <v>16</v>
      </c>
      <c r="K108" s="21" t="s">
        <v>64</v>
      </c>
      <c r="L108" s="22" t="s">
        <v>151</v>
      </c>
      <c r="M108" s="21"/>
      <c r="N108" s="18"/>
      <c r="O108" s="22"/>
      <c r="P108" s="19" t="s">
        <v>39</v>
      </c>
      <c r="Q108" s="19" t="s">
        <v>96</v>
      </c>
      <c r="R108" s="22">
        <v>45584</v>
      </c>
      <c r="S108" s="19">
        <f t="shared" si="2"/>
        <v>10</v>
      </c>
    </row>
    <row r="109" spans="1:19" ht="14.25" customHeight="1" x14ac:dyDescent="0.3">
      <c r="A109" s="17">
        <f t="shared" si="3"/>
        <v>108</v>
      </c>
      <c r="B109" s="18">
        <v>45251715</v>
      </c>
      <c r="C109" s="19" t="s">
        <v>194</v>
      </c>
      <c r="D109" s="18">
        <v>88247184</v>
      </c>
      <c r="E109" s="18">
        <v>74028242</v>
      </c>
      <c r="F109" s="18"/>
      <c r="G109" s="18"/>
      <c r="H109" s="18"/>
      <c r="I109" s="18"/>
      <c r="J109" s="19" t="s">
        <v>16</v>
      </c>
      <c r="K109" s="21" t="s">
        <v>64</v>
      </c>
      <c r="L109" s="22"/>
      <c r="M109" s="21"/>
      <c r="N109" s="18"/>
      <c r="O109" s="22"/>
      <c r="P109" s="19" t="s">
        <v>19</v>
      </c>
      <c r="Q109" s="19" t="s">
        <v>34</v>
      </c>
      <c r="R109" s="22">
        <v>45586</v>
      </c>
      <c r="S109" s="19">
        <f t="shared" si="2"/>
        <v>10</v>
      </c>
    </row>
    <row r="110" spans="1:19" ht="14.25" customHeight="1" x14ac:dyDescent="0.3">
      <c r="A110" s="17">
        <f t="shared" si="3"/>
        <v>109</v>
      </c>
      <c r="B110" s="18">
        <v>25710221</v>
      </c>
      <c r="C110" s="19" t="s">
        <v>195</v>
      </c>
      <c r="D110" s="18">
        <v>88508157</v>
      </c>
      <c r="E110" s="18">
        <v>74161407</v>
      </c>
      <c r="F110" s="18"/>
      <c r="G110" s="18"/>
      <c r="H110" s="18"/>
      <c r="I110" s="18"/>
      <c r="J110" s="19" t="s">
        <v>16</v>
      </c>
      <c r="K110" s="21" t="s">
        <v>64</v>
      </c>
      <c r="L110" s="22" t="s">
        <v>151</v>
      </c>
      <c r="M110" s="21"/>
      <c r="N110" s="18"/>
      <c r="O110" s="22"/>
      <c r="P110" s="19" t="s">
        <v>39</v>
      </c>
      <c r="Q110" s="19" t="s">
        <v>21</v>
      </c>
      <c r="R110" s="22">
        <v>45586</v>
      </c>
      <c r="S110" s="19">
        <f t="shared" si="2"/>
        <v>10</v>
      </c>
    </row>
    <row r="111" spans="1:19" ht="14.25" customHeight="1" x14ac:dyDescent="0.3">
      <c r="A111" s="17">
        <f t="shared" si="3"/>
        <v>110</v>
      </c>
      <c r="B111" s="18">
        <v>41455768</v>
      </c>
      <c r="C111" s="19" t="s">
        <v>196</v>
      </c>
      <c r="D111" s="18">
        <v>88266918</v>
      </c>
      <c r="E111" s="20" t="s">
        <v>197</v>
      </c>
      <c r="F111" s="20"/>
      <c r="G111" s="20"/>
      <c r="H111" s="20"/>
      <c r="I111" s="20"/>
      <c r="J111" s="19" t="s">
        <v>16</v>
      </c>
      <c r="K111" s="21" t="s">
        <v>64</v>
      </c>
      <c r="L111" s="22"/>
      <c r="M111" s="21"/>
      <c r="N111" s="18"/>
      <c r="O111" s="22"/>
      <c r="P111" s="19" t="s">
        <v>19</v>
      </c>
      <c r="Q111" s="19" t="s">
        <v>34</v>
      </c>
      <c r="R111" s="22">
        <v>45587</v>
      </c>
      <c r="S111" s="19">
        <f t="shared" si="2"/>
        <v>10</v>
      </c>
    </row>
    <row r="112" spans="1:19" ht="14.25" customHeight="1" x14ac:dyDescent="0.3">
      <c r="A112" s="17">
        <f t="shared" si="3"/>
        <v>111</v>
      </c>
      <c r="B112" s="18">
        <v>46001816</v>
      </c>
      <c r="C112" s="19" t="s">
        <v>198</v>
      </c>
      <c r="D112" s="18">
        <v>88283918</v>
      </c>
      <c r="E112" s="20" t="s">
        <v>199</v>
      </c>
      <c r="F112" s="20"/>
      <c r="G112" s="20"/>
      <c r="H112" s="20"/>
      <c r="I112" s="20"/>
      <c r="J112" s="19" t="s">
        <v>16</v>
      </c>
      <c r="K112" s="21" t="s">
        <v>64</v>
      </c>
      <c r="L112" s="22" t="s">
        <v>200</v>
      </c>
      <c r="M112" s="21"/>
      <c r="N112" s="18"/>
      <c r="O112" s="22"/>
      <c r="P112" s="19" t="s">
        <v>19</v>
      </c>
      <c r="Q112" s="19" t="s">
        <v>21</v>
      </c>
      <c r="R112" s="22">
        <v>45587</v>
      </c>
      <c r="S112" s="19">
        <f t="shared" si="2"/>
        <v>10</v>
      </c>
    </row>
    <row r="113" spans="1:19" ht="14.25" customHeight="1" x14ac:dyDescent="0.3">
      <c r="A113" s="17">
        <f t="shared" si="3"/>
        <v>112</v>
      </c>
      <c r="B113" s="18">
        <v>10095750</v>
      </c>
      <c r="C113" s="19" t="s">
        <v>201</v>
      </c>
      <c r="D113" s="18">
        <v>88278393</v>
      </c>
      <c r="E113" s="18">
        <v>74048504</v>
      </c>
      <c r="F113" s="18"/>
      <c r="G113" s="18"/>
      <c r="H113" s="18"/>
      <c r="I113" s="18"/>
      <c r="J113" s="19" t="s">
        <v>16</v>
      </c>
      <c r="K113" s="21" t="s">
        <v>64</v>
      </c>
      <c r="L113" s="22"/>
      <c r="M113" s="21"/>
      <c r="N113" s="18"/>
      <c r="O113" s="22"/>
      <c r="P113" s="19" t="s">
        <v>19</v>
      </c>
      <c r="Q113" s="19" t="s">
        <v>175</v>
      </c>
      <c r="R113" s="22">
        <v>45587</v>
      </c>
      <c r="S113" s="19">
        <f t="shared" si="2"/>
        <v>10</v>
      </c>
    </row>
    <row r="114" spans="1:19" ht="14.25" customHeight="1" x14ac:dyDescent="0.3">
      <c r="A114" s="17">
        <f t="shared" si="3"/>
        <v>113</v>
      </c>
      <c r="B114" s="18">
        <v>74938811</v>
      </c>
      <c r="C114" s="19" t="s">
        <v>202</v>
      </c>
      <c r="D114" s="18">
        <v>88311480</v>
      </c>
      <c r="E114" s="18">
        <v>74028612</v>
      </c>
      <c r="F114" s="18"/>
      <c r="G114" s="18"/>
      <c r="H114" s="18"/>
      <c r="I114" s="18"/>
      <c r="J114" s="19" t="s">
        <v>16</v>
      </c>
      <c r="K114" s="21" t="s">
        <v>64</v>
      </c>
      <c r="L114" s="22"/>
      <c r="M114" s="21"/>
      <c r="N114" s="18"/>
      <c r="O114" s="22"/>
      <c r="P114" s="19" t="s">
        <v>19</v>
      </c>
      <c r="Q114" s="19" t="s">
        <v>25</v>
      </c>
      <c r="R114" s="22">
        <v>45588</v>
      </c>
      <c r="S114" s="19">
        <f t="shared" si="2"/>
        <v>10</v>
      </c>
    </row>
    <row r="115" spans="1:19" ht="14.25" customHeight="1" x14ac:dyDescent="0.3">
      <c r="A115" s="17">
        <f t="shared" si="3"/>
        <v>114</v>
      </c>
      <c r="B115" s="18">
        <v>80625301</v>
      </c>
      <c r="C115" s="19" t="s">
        <v>203</v>
      </c>
      <c r="D115" s="18">
        <v>88338857</v>
      </c>
      <c r="E115" s="18">
        <v>74048330</v>
      </c>
      <c r="F115" s="18"/>
      <c r="G115" s="18"/>
      <c r="H115" s="18"/>
      <c r="I115" s="18"/>
      <c r="J115" s="19" t="s">
        <v>16</v>
      </c>
      <c r="K115" s="21" t="s">
        <v>64</v>
      </c>
      <c r="L115" s="22"/>
      <c r="M115" s="21"/>
      <c r="N115" s="18"/>
      <c r="O115" s="22"/>
      <c r="P115" s="19" t="s">
        <v>39</v>
      </c>
      <c r="Q115" s="19" t="s">
        <v>25</v>
      </c>
      <c r="R115" s="22">
        <v>45588</v>
      </c>
      <c r="S115" s="19">
        <f t="shared" si="2"/>
        <v>10</v>
      </c>
    </row>
    <row r="116" spans="1:19" ht="14.25" customHeight="1" x14ac:dyDescent="0.3">
      <c r="A116" s="17">
        <f t="shared" si="3"/>
        <v>115</v>
      </c>
      <c r="B116" s="18">
        <v>76616415</v>
      </c>
      <c r="C116" s="19" t="s">
        <v>204</v>
      </c>
      <c r="D116" s="18">
        <v>88428066</v>
      </c>
      <c r="E116" s="18">
        <v>74108146</v>
      </c>
      <c r="F116" s="18"/>
      <c r="G116" s="18"/>
      <c r="H116" s="18"/>
      <c r="I116" s="18"/>
      <c r="J116" s="19" t="s">
        <v>16</v>
      </c>
      <c r="K116" s="21" t="s">
        <v>64</v>
      </c>
      <c r="L116" s="22" t="s">
        <v>165</v>
      </c>
      <c r="M116" s="21"/>
      <c r="N116" s="18"/>
      <c r="O116" s="22"/>
      <c r="P116" s="19" t="s">
        <v>39</v>
      </c>
      <c r="Q116" s="19" t="s">
        <v>96</v>
      </c>
      <c r="R116" s="22">
        <v>45588</v>
      </c>
      <c r="S116" s="19">
        <f t="shared" si="2"/>
        <v>10</v>
      </c>
    </row>
    <row r="117" spans="1:19" ht="14.25" customHeight="1" x14ac:dyDescent="0.3">
      <c r="A117" s="17">
        <f t="shared" si="3"/>
        <v>116</v>
      </c>
      <c r="B117" s="18">
        <v>74066484</v>
      </c>
      <c r="C117" s="19" t="s">
        <v>205</v>
      </c>
      <c r="D117" s="18">
        <v>88355939</v>
      </c>
      <c r="E117" s="18">
        <v>74063245</v>
      </c>
      <c r="F117" s="18"/>
      <c r="G117" s="18"/>
      <c r="H117" s="18"/>
      <c r="I117" s="18"/>
      <c r="J117" s="19" t="s">
        <v>16</v>
      </c>
      <c r="K117" s="21" t="s">
        <v>64</v>
      </c>
      <c r="L117" s="22"/>
      <c r="M117" s="21"/>
      <c r="N117" s="18"/>
      <c r="O117" s="22"/>
      <c r="P117" s="19" t="s">
        <v>39</v>
      </c>
      <c r="Q117" s="19" t="s">
        <v>175</v>
      </c>
      <c r="R117" s="22">
        <v>45590</v>
      </c>
      <c r="S117" s="19">
        <f t="shared" si="2"/>
        <v>10</v>
      </c>
    </row>
    <row r="118" spans="1:19" ht="14.25" customHeight="1" x14ac:dyDescent="0.3">
      <c r="A118" s="17">
        <f t="shared" si="3"/>
        <v>117</v>
      </c>
      <c r="B118" s="18">
        <v>10159694360</v>
      </c>
      <c r="C118" s="19" t="s">
        <v>206</v>
      </c>
      <c r="D118" s="18">
        <v>88429451</v>
      </c>
      <c r="E118" s="18">
        <v>74108688</v>
      </c>
      <c r="F118" s="18"/>
      <c r="G118" s="18"/>
      <c r="H118" s="18"/>
      <c r="I118" s="18"/>
      <c r="J118" s="19" t="s">
        <v>16</v>
      </c>
      <c r="K118" s="21" t="s">
        <v>64</v>
      </c>
      <c r="L118" s="22"/>
      <c r="M118" s="21"/>
      <c r="N118" s="18"/>
      <c r="O118" s="22"/>
      <c r="P118" s="19" t="s">
        <v>39</v>
      </c>
      <c r="Q118" s="19" t="s">
        <v>175</v>
      </c>
      <c r="R118" s="22">
        <v>45591</v>
      </c>
      <c r="S118" s="19">
        <f t="shared" si="2"/>
        <v>10</v>
      </c>
    </row>
    <row r="119" spans="1:19" ht="14.25" customHeight="1" x14ac:dyDescent="0.3">
      <c r="A119" s="17">
        <f t="shared" si="3"/>
        <v>118</v>
      </c>
      <c r="B119" s="18">
        <v>80053148</v>
      </c>
      <c r="C119" s="19" t="s">
        <v>207</v>
      </c>
      <c r="D119" s="18">
        <v>88403387</v>
      </c>
      <c r="E119" s="18">
        <v>74083293</v>
      </c>
      <c r="F119" s="18"/>
      <c r="G119" s="18"/>
      <c r="H119" s="18"/>
      <c r="I119" s="18"/>
      <c r="J119" s="19" t="s">
        <v>16</v>
      </c>
      <c r="K119" s="21" t="s">
        <v>64</v>
      </c>
      <c r="L119" s="22" t="s">
        <v>200</v>
      </c>
      <c r="M119" s="21"/>
      <c r="N119" s="18"/>
      <c r="O119" s="22"/>
      <c r="P119" s="19" t="s">
        <v>39</v>
      </c>
      <c r="Q119" s="19" t="s">
        <v>175</v>
      </c>
      <c r="R119" s="22">
        <v>45591</v>
      </c>
      <c r="S119" s="19">
        <f t="shared" si="2"/>
        <v>10</v>
      </c>
    </row>
    <row r="120" spans="1:19" ht="14.25" customHeight="1" x14ac:dyDescent="0.3">
      <c r="A120" s="17">
        <f t="shared" si="3"/>
        <v>119</v>
      </c>
      <c r="B120" s="18">
        <v>46310675</v>
      </c>
      <c r="C120" s="19" t="s">
        <v>208</v>
      </c>
      <c r="D120" s="18">
        <v>88405084</v>
      </c>
      <c r="E120" s="18">
        <v>74083540</v>
      </c>
      <c r="F120" s="18"/>
      <c r="G120" s="18"/>
      <c r="H120" s="18"/>
      <c r="I120" s="18"/>
      <c r="J120" s="19" t="s">
        <v>16</v>
      </c>
      <c r="K120" s="21" t="s">
        <v>64</v>
      </c>
      <c r="L120" s="22"/>
      <c r="M120" s="21"/>
      <c r="N120" s="18"/>
      <c r="O120" s="22"/>
      <c r="P120" s="19" t="s">
        <v>39</v>
      </c>
      <c r="Q120" s="19" t="s">
        <v>34</v>
      </c>
      <c r="R120" s="22">
        <v>45591</v>
      </c>
      <c r="S120" s="19">
        <f t="shared" si="2"/>
        <v>10</v>
      </c>
    </row>
    <row r="121" spans="1:19" ht="14.25" customHeight="1" x14ac:dyDescent="0.3">
      <c r="A121" s="17">
        <f t="shared" si="3"/>
        <v>120</v>
      </c>
      <c r="B121" s="18">
        <v>10434301578</v>
      </c>
      <c r="C121" s="19" t="s">
        <v>41</v>
      </c>
      <c r="D121" s="18">
        <v>88436150</v>
      </c>
      <c r="E121" s="18">
        <v>74111230</v>
      </c>
      <c r="F121" s="18"/>
      <c r="G121" s="18"/>
      <c r="H121" s="18"/>
      <c r="I121" s="18"/>
      <c r="J121" s="19" t="s">
        <v>16</v>
      </c>
      <c r="K121" s="21" t="s">
        <v>64</v>
      </c>
      <c r="L121" s="22"/>
      <c r="M121" s="21"/>
      <c r="N121" s="18"/>
      <c r="O121" s="22"/>
      <c r="P121" s="19" t="s">
        <v>39</v>
      </c>
      <c r="Q121" s="19" t="s">
        <v>21</v>
      </c>
      <c r="R121" s="22">
        <v>45593</v>
      </c>
      <c r="S121" s="19">
        <f t="shared" si="2"/>
        <v>10</v>
      </c>
    </row>
    <row r="122" spans="1:19" ht="14.25" customHeight="1" x14ac:dyDescent="0.3">
      <c r="A122" s="17">
        <f t="shared" si="3"/>
        <v>121</v>
      </c>
      <c r="B122" s="18">
        <v>43563616</v>
      </c>
      <c r="C122" s="19" t="s">
        <v>209</v>
      </c>
      <c r="D122" s="18">
        <v>88440056</v>
      </c>
      <c r="E122" s="18">
        <v>74113239</v>
      </c>
      <c r="F122" s="18"/>
      <c r="G122" s="18"/>
      <c r="H122" s="18"/>
      <c r="I122" s="18"/>
      <c r="J122" s="19" t="s">
        <v>16</v>
      </c>
      <c r="K122" s="21" t="s">
        <v>64</v>
      </c>
      <c r="L122" s="22" t="s">
        <v>151</v>
      </c>
      <c r="M122" s="21"/>
      <c r="N122" s="18"/>
      <c r="O122" s="22"/>
      <c r="P122" s="19" t="s">
        <v>39</v>
      </c>
      <c r="Q122" s="19" t="s">
        <v>175</v>
      </c>
      <c r="R122" s="22">
        <v>45593</v>
      </c>
      <c r="S122" s="19">
        <f t="shared" si="2"/>
        <v>10</v>
      </c>
    </row>
    <row r="123" spans="1:19" ht="14.25" customHeight="1" x14ac:dyDescent="0.3">
      <c r="A123" s="17">
        <f t="shared" si="3"/>
        <v>122</v>
      </c>
      <c r="B123" s="18">
        <v>22521733</v>
      </c>
      <c r="C123" s="19" t="s">
        <v>164</v>
      </c>
      <c r="D123" s="18">
        <v>88437798</v>
      </c>
      <c r="E123" s="18">
        <v>74112313</v>
      </c>
      <c r="F123" s="18"/>
      <c r="G123" s="18"/>
      <c r="H123" s="18"/>
      <c r="I123" s="18"/>
      <c r="J123" s="19" t="s">
        <v>16</v>
      </c>
      <c r="K123" s="21" t="s">
        <v>64</v>
      </c>
      <c r="L123" s="22" t="s">
        <v>210</v>
      </c>
      <c r="M123" s="21"/>
      <c r="N123" s="18"/>
      <c r="O123" s="22"/>
      <c r="P123" s="19" t="s">
        <v>39</v>
      </c>
      <c r="Q123" s="19" t="s">
        <v>21</v>
      </c>
      <c r="R123" s="22">
        <v>45593</v>
      </c>
      <c r="S123" s="19">
        <f t="shared" si="2"/>
        <v>10</v>
      </c>
    </row>
    <row r="124" spans="1:19" ht="14.25" customHeight="1" x14ac:dyDescent="0.3">
      <c r="A124" s="17">
        <f t="shared" si="3"/>
        <v>123</v>
      </c>
      <c r="B124" s="18">
        <v>70239022</v>
      </c>
      <c r="C124" s="19" t="s">
        <v>211</v>
      </c>
      <c r="D124" s="18">
        <v>88466419</v>
      </c>
      <c r="E124" s="18">
        <v>74132902</v>
      </c>
      <c r="F124" s="18"/>
      <c r="G124" s="18"/>
      <c r="H124" s="18"/>
      <c r="I124" s="18"/>
      <c r="J124" s="19" t="s">
        <v>16</v>
      </c>
      <c r="K124" s="21" t="s">
        <v>64</v>
      </c>
      <c r="L124" s="22" t="s">
        <v>212</v>
      </c>
      <c r="M124" s="21"/>
      <c r="N124" s="18"/>
      <c r="O124" s="22"/>
      <c r="P124" s="19" t="s">
        <v>39</v>
      </c>
      <c r="Q124" s="19" t="s">
        <v>28</v>
      </c>
      <c r="R124" s="22">
        <v>45594</v>
      </c>
      <c r="S124" s="19">
        <f t="shared" si="2"/>
        <v>10</v>
      </c>
    </row>
    <row r="125" spans="1:19" ht="14.25" customHeight="1" x14ac:dyDescent="0.3">
      <c r="A125" s="17">
        <f t="shared" si="3"/>
        <v>124</v>
      </c>
      <c r="B125" s="18">
        <v>73416478</v>
      </c>
      <c r="C125" s="19" t="s">
        <v>42</v>
      </c>
      <c r="D125" s="18">
        <v>88467423</v>
      </c>
      <c r="E125" s="18">
        <v>74133221</v>
      </c>
      <c r="F125" s="18"/>
      <c r="G125" s="18"/>
      <c r="H125" s="18"/>
      <c r="I125" s="18"/>
      <c r="J125" s="19" t="s">
        <v>16</v>
      </c>
      <c r="K125" s="21" t="s">
        <v>64</v>
      </c>
      <c r="L125" s="22"/>
      <c r="M125" s="21"/>
      <c r="N125" s="18"/>
      <c r="O125" s="22"/>
      <c r="P125" s="19" t="s">
        <v>39</v>
      </c>
      <c r="Q125" s="19" t="s">
        <v>96</v>
      </c>
      <c r="R125" s="22">
        <v>45594</v>
      </c>
      <c r="S125" s="19">
        <f t="shared" si="2"/>
        <v>10</v>
      </c>
    </row>
    <row r="126" spans="1:19" ht="14.25" customHeight="1" x14ac:dyDescent="0.3">
      <c r="A126" s="17">
        <f t="shared" si="3"/>
        <v>125</v>
      </c>
      <c r="B126" s="18">
        <v>16750817</v>
      </c>
      <c r="C126" s="19" t="s">
        <v>45</v>
      </c>
      <c r="D126" s="18">
        <v>88470272</v>
      </c>
      <c r="E126" s="18">
        <v>74134573</v>
      </c>
      <c r="F126" s="18"/>
      <c r="G126" s="18"/>
      <c r="H126" s="18"/>
      <c r="I126" s="18"/>
      <c r="J126" s="19" t="s">
        <v>16</v>
      </c>
      <c r="K126" s="21" t="s">
        <v>64</v>
      </c>
      <c r="L126" s="22"/>
      <c r="M126" s="21"/>
      <c r="N126" s="18"/>
      <c r="O126" s="22"/>
      <c r="P126" s="19" t="s">
        <v>39</v>
      </c>
      <c r="Q126" s="19" t="s">
        <v>21</v>
      </c>
      <c r="R126" s="22">
        <v>45594</v>
      </c>
      <c r="S126" s="19">
        <f t="shared" si="2"/>
        <v>10</v>
      </c>
    </row>
    <row r="127" spans="1:19" ht="14.25" customHeight="1" x14ac:dyDescent="0.3">
      <c r="A127" s="17">
        <f t="shared" si="3"/>
        <v>126</v>
      </c>
      <c r="B127" s="18">
        <v>6452551</v>
      </c>
      <c r="C127" s="19" t="s">
        <v>213</v>
      </c>
      <c r="D127" s="18">
        <v>88565719</v>
      </c>
      <c r="E127" s="18">
        <v>74199362</v>
      </c>
      <c r="F127" s="18"/>
      <c r="G127" s="18"/>
      <c r="H127" s="18"/>
      <c r="I127" s="18"/>
      <c r="J127" s="19" t="s">
        <v>16</v>
      </c>
      <c r="K127" s="21" t="s">
        <v>64</v>
      </c>
      <c r="L127" s="22"/>
      <c r="M127" s="21"/>
      <c r="N127" s="18"/>
      <c r="O127" s="22"/>
      <c r="P127" s="19" t="s">
        <v>39</v>
      </c>
      <c r="Q127" s="19" t="s">
        <v>96</v>
      </c>
      <c r="R127" s="22">
        <v>45596</v>
      </c>
      <c r="S127" s="19">
        <f t="shared" si="2"/>
        <v>10</v>
      </c>
    </row>
    <row r="128" spans="1:19" ht="14.25" customHeight="1" x14ac:dyDescent="0.3">
      <c r="A128" s="17">
        <f t="shared" si="3"/>
        <v>127</v>
      </c>
      <c r="B128" s="18">
        <v>76925506</v>
      </c>
      <c r="C128" s="19" t="s">
        <v>214</v>
      </c>
      <c r="D128" s="18">
        <v>88527297</v>
      </c>
      <c r="E128" s="18">
        <v>74172028</v>
      </c>
      <c r="F128" s="18"/>
      <c r="G128" s="18"/>
      <c r="H128" s="18"/>
      <c r="I128" s="18"/>
      <c r="J128" s="19" t="s">
        <v>16</v>
      </c>
      <c r="K128" s="21" t="s">
        <v>64</v>
      </c>
      <c r="L128" s="22"/>
      <c r="M128" s="21"/>
      <c r="N128" s="18"/>
      <c r="O128" s="22"/>
      <c r="P128" s="19" t="s">
        <v>39</v>
      </c>
      <c r="Q128" s="19" t="s">
        <v>25</v>
      </c>
      <c r="R128" s="22">
        <v>45596</v>
      </c>
      <c r="S128" s="19"/>
    </row>
    <row r="129" spans="1:19" ht="14.25" customHeight="1" x14ac:dyDescent="0.3">
      <c r="A129" s="17">
        <f t="shared" si="3"/>
        <v>128</v>
      </c>
      <c r="B129" s="18">
        <v>2426258</v>
      </c>
      <c r="C129" s="19" t="s">
        <v>43</v>
      </c>
      <c r="D129" s="18">
        <v>88702061</v>
      </c>
      <c r="E129" s="18">
        <v>74305864</v>
      </c>
      <c r="F129" s="18"/>
      <c r="G129" s="18"/>
      <c r="H129" s="18"/>
      <c r="I129" s="18"/>
      <c r="J129" s="19" t="s">
        <v>16</v>
      </c>
      <c r="K129" s="21" t="s">
        <v>64</v>
      </c>
      <c r="L129" s="22"/>
      <c r="M129" s="21"/>
      <c r="N129" s="18"/>
      <c r="O129" s="22"/>
      <c r="P129" s="19" t="s">
        <v>39</v>
      </c>
      <c r="Q129" s="19" t="s">
        <v>34</v>
      </c>
      <c r="R129" s="22">
        <v>45600</v>
      </c>
      <c r="S129" s="19">
        <f t="shared" ref="S129:S181" si="4">IF(ISNUMBER(R129)=TRUE, MONTH(R129), " ")</f>
        <v>11</v>
      </c>
    </row>
    <row r="130" spans="1:19" ht="14.25" customHeight="1" x14ac:dyDescent="0.3">
      <c r="A130" s="17">
        <f t="shared" si="3"/>
        <v>129</v>
      </c>
      <c r="B130" s="18">
        <v>20119765</v>
      </c>
      <c r="C130" s="19" t="s">
        <v>215</v>
      </c>
      <c r="D130" s="18">
        <v>88678288</v>
      </c>
      <c r="E130" s="18">
        <v>74292372</v>
      </c>
      <c r="F130" s="18"/>
      <c r="G130" s="18"/>
      <c r="H130" s="18"/>
      <c r="I130" s="18"/>
      <c r="J130" s="19" t="s">
        <v>16</v>
      </c>
      <c r="K130" s="21" t="s">
        <v>64</v>
      </c>
      <c r="L130" s="22"/>
      <c r="M130" s="21"/>
      <c r="N130" s="18"/>
      <c r="O130" s="22"/>
      <c r="P130" s="19" t="s">
        <v>39</v>
      </c>
      <c r="Q130" s="19" t="s">
        <v>21</v>
      </c>
      <c r="R130" s="22">
        <v>45602</v>
      </c>
      <c r="S130" s="19">
        <f t="shared" si="4"/>
        <v>11</v>
      </c>
    </row>
    <row r="131" spans="1:19" ht="14.25" customHeight="1" x14ac:dyDescent="0.3">
      <c r="A131" s="17">
        <f t="shared" si="3"/>
        <v>130</v>
      </c>
      <c r="B131" s="18">
        <v>10246443</v>
      </c>
      <c r="C131" s="19" t="s">
        <v>216</v>
      </c>
      <c r="D131" s="18">
        <v>88704080</v>
      </c>
      <c r="E131" s="18">
        <v>74306528</v>
      </c>
      <c r="F131" s="18"/>
      <c r="G131" s="18"/>
      <c r="H131" s="18"/>
      <c r="I131" s="18"/>
      <c r="J131" s="19" t="s">
        <v>16</v>
      </c>
      <c r="K131" s="21" t="s">
        <v>64</v>
      </c>
      <c r="L131" s="22"/>
      <c r="M131" s="21"/>
      <c r="N131" s="18"/>
      <c r="O131" s="22"/>
      <c r="P131" s="19" t="s">
        <v>39</v>
      </c>
      <c r="Q131" s="19" t="s">
        <v>21</v>
      </c>
      <c r="R131" s="22">
        <v>45603</v>
      </c>
      <c r="S131" s="19">
        <f t="shared" si="4"/>
        <v>11</v>
      </c>
    </row>
    <row r="132" spans="1:19" ht="14.25" customHeight="1" x14ac:dyDescent="0.3">
      <c r="A132" s="17">
        <f t="shared" ref="A132:A195" si="5">A131+1</f>
        <v>131</v>
      </c>
      <c r="B132" s="18">
        <v>46820723</v>
      </c>
      <c r="C132" s="19" t="s">
        <v>217</v>
      </c>
      <c r="D132" s="18">
        <v>88746769</v>
      </c>
      <c r="E132" s="18">
        <v>74336818</v>
      </c>
      <c r="F132" s="18"/>
      <c r="G132" s="18"/>
      <c r="H132" s="18"/>
      <c r="I132" s="18"/>
      <c r="J132" s="19" t="s">
        <v>16</v>
      </c>
      <c r="K132" s="21" t="s">
        <v>64</v>
      </c>
      <c r="L132" s="22"/>
      <c r="M132" s="21"/>
      <c r="N132" s="18"/>
      <c r="O132" s="22"/>
      <c r="P132" s="19" t="s">
        <v>39</v>
      </c>
      <c r="Q132" s="19" t="s">
        <v>34</v>
      </c>
      <c r="R132" s="22">
        <v>45604</v>
      </c>
      <c r="S132" s="19">
        <f t="shared" si="4"/>
        <v>11</v>
      </c>
    </row>
    <row r="133" spans="1:19" ht="14.25" customHeight="1" x14ac:dyDescent="0.3">
      <c r="A133" s="17">
        <f t="shared" si="5"/>
        <v>132</v>
      </c>
      <c r="B133" s="18">
        <v>74893200</v>
      </c>
      <c r="C133" s="19" t="s">
        <v>218</v>
      </c>
      <c r="D133" s="18">
        <v>88771595</v>
      </c>
      <c r="E133" s="18">
        <v>74363844</v>
      </c>
      <c r="F133" s="18"/>
      <c r="G133" s="18"/>
      <c r="H133" s="18"/>
      <c r="I133" s="18"/>
      <c r="J133" s="19" t="s">
        <v>16</v>
      </c>
      <c r="K133" s="21" t="s">
        <v>64</v>
      </c>
      <c r="L133" s="22"/>
      <c r="M133" s="21"/>
      <c r="N133" s="18"/>
      <c r="O133" s="22"/>
      <c r="P133" s="19" t="s">
        <v>39</v>
      </c>
      <c r="Q133" s="19" t="s">
        <v>175</v>
      </c>
      <c r="R133" s="22">
        <v>45605</v>
      </c>
      <c r="S133" s="19">
        <f t="shared" si="4"/>
        <v>11</v>
      </c>
    </row>
    <row r="134" spans="1:19" ht="14.25" customHeight="1" x14ac:dyDescent="0.3">
      <c r="A134" s="17">
        <f t="shared" si="5"/>
        <v>133</v>
      </c>
      <c r="B134" s="18">
        <v>41435017</v>
      </c>
      <c r="C134" s="19" t="s">
        <v>219</v>
      </c>
      <c r="D134" s="18">
        <v>88775046</v>
      </c>
      <c r="E134" s="18">
        <v>74364753</v>
      </c>
      <c r="F134" s="18"/>
      <c r="G134" s="18"/>
      <c r="H134" s="18"/>
      <c r="I134" s="18"/>
      <c r="J134" s="19" t="s">
        <v>16</v>
      </c>
      <c r="K134" s="21" t="s">
        <v>64</v>
      </c>
      <c r="L134" s="22"/>
      <c r="M134" s="21"/>
      <c r="N134" s="18"/>
      <c r="O134" s="22"/>
      <c r="P134" s="19" t="s">
        <v>39</v>
      </c>
      <c r="Q134" s="19" t="s">
        <v>96</v>
      </c>
      <c r="R134" s="22">
        <v>45605</v>
      </c>
      <c r="S134" s="19">
        <f t="shared" si="4"/>
        <v>11</v>
      </c>
    </row>
    <row r="135" spans="1:19" ht="14.25" customHeight="1" x14ac:dyDescent="0.3">
      <c r="A135" s="17">
        <f t="shared" si="5"/>
        <v>134</v>
      </c>
      <c r="B135" s="18">
        <v>46261489</v>
      </c>
      <c r="C135" s="19" t="s">
        <v>220</v>
      </c>
      <c r="D135" s="18">
        <v>88819457</v>
      </c>
      <c r="E135" s="18">
        <v>74402429</v>
      </c>
      <c r="F135" s="18"/>
      <c r="G135" s="18"/>
      <c r="H135" s="18"/>
      <c r="I135" s="18"/>
      <c r="J135" s="19" t="s">
        <v>16</v>
      </c>
      <c r="K135" s="21" t="s">
        <v>64</v>
      </c>
      <c r="L135" s="22"/>
      <c r="M135" s="21"/>
      <c r="N135" s="18"/>
      <c r="O135" s="22"/>
      <c r="P135" s="19" t="s">
        <v>39</v>
      </c>
      <c r="Q135" s="19" t="s">
        <v>96</v>
      </c>
      <c r="R135" s="22">
        <v>45607</v>
      </c>
      <c r="S135" s="19">
        <f t="shared" si="4"/>
        <v>11</v>
      </c>
    </row>
    <row r="136" spans="1:19" ht="14.25" customHeight="1" x14ac:dyDescent="0.3">
      <c r="A136" s="17">
        <f t="shared" si="5"/>
        <v>135</v>
      </c>
      <c r="B136" s="18">
        <v>76611470</v>
      </c>
      <c r="C136" s="19" t="s">
        <v>221</v>
      </c>
      <c r="D136" s="18">
        <v>88818279</v>
      </c>
      <c r="E136" s="18">
        <v>74402021</v>
      </c>
      <c r="F136" s="18"/>
      <c r="G136" s="18"/>
      <c r="H136" s="18"/>
      <c r="I136" s="18"/>
      <c r="J136" s="19" t="s">
        <v>16</v>
      </c>
      <c r="K136" s="21" t="s">
        <v>64</v>
      </c>
      <c r="L136" s="22"/>
      <c r="M136" s="21"/>
      <c r="N136" s="18"/>
      <c r="O136" s="22"/>
      <c r="P136" s="19" t="s">
        <v>39</v>
      </c>
      <c r="Q136" s="19" t="s">
        <v>28</v>
      </c>
      <c r="R136" s="22">
        <v>45607</v>
      </c>
      <c r="S136" s="19">
        <f t="shared" si="4"/>
        <v>11</v>
      </c>
    </row>
    <row r="137" spans="1:19" ht="14.25" customHeight="1" x14ac:dyDescent="0.3">
      <c r="A137" s="17">
        <f t="shared" si="5"/>
        <v>136</v>
      </c>
      <c r="B137" s="18">
        <v>74135545</v>
      </c>
      <c r="C137" s="19" t="s">
        <v>47</v>
      </c>
      <c r="D137" s="18">
        <v>88841706</v>
      </c>
      <c r="E137" s="18">
        <v>74422751</v>
      </c>
      <c r="F137" s="18"/>
      <c r="G137" s="18"/>
      <c r="H137" s="18"/>
      <c r="I137" s="18"/>
      <c r="J137" s="19" t="s">
        <v>16</v>
      </c>
      <c r="K137" s="21" t="s">
        <v>64</v>
      </c>
      <c r="L137" s="22"/>
      <c r="M137" s="21"/>
      <c r="N137" s="18"/>
      <c r="O137" s="22"/>
      <c r="P137" s="19" t="s">
        <v>39</v>
      </c>
      <c r="Q137" s="19" t="s">
        <v>21</v>
      </c>
      <c r="R137" s="22">
        <v>45608</v>
      </c>
      <c r="S137" s="19">
        <f t="shared" si="4"/>
        <v>11</v>
      </c>
    </row>
    <row r="138" spans="1:19" ht="14.25" customHeight="1" x14ac:dyDescent="0.3">
      <c r="A138" s="17">
        <f t="shared" si="5"/>
        <v>137</v>
      </c>
      <c r="B138" s="18">
        <v>75487796</v>
      </c>
      <c r="C138" s="19" t="s">
        <v>222</v>
      </c>
      <c r="D138" s="18">
        <v>88887216</v>
      </c>
      <c r="E138" s="18">
        <v>74447638</v>
      </c>
      <c r="F138" s="18"/>
      <c r="G138" s="18"/>
      <c r="H138" s="18"/>
      <c r="I138" s="18"/>
      <c r="J138" s="19" t="s">
        <v>16</v>
      </c>
      <c r="K138" s="21" t="s">
        <v>64</v>
      </c>
      <c r="L138" s="22"/>
      <c r="M138" s="21"/>
      <c r="N138" s="18"/>
      <c r="O138" s="22"/>
      <c r="P138" s="19" t="s">
        <v>39</v>
      </c>
      <c r="Q138" s="19" t="s">
        <v>25</v>
      </c>
      <c r="R138" s="22">
        <v>45609</v>
      </c>
      <c r="S138" s="19">
        <f t="shared" si="4"/>
        <v>11</v>
      </c>
    </row>
    <row r="139" spans="1:19" ht="14.25" customHeight="1" x14ac:dyDescent="0.3">
      <c r="A139" s="17">
        <f t="shared" si="5"/>
        <v>138</v>
      </c>
      <c r="B139" s="18">
        <v>47398501</v>
      </c>
      <c r="C139" s="19" t="s">
        <v>223</v>
      </c>
      <c r="D139" s="18">
        <v>88982732</v>
      </c>
      <c r="E139" s="18">
        <v>74488443</v>
      </c>
      <c r="F139" s="18"/>
      <c r="G139" s="18"/>
      <c r="H139" s="18"/>
      <c r="I139" s="18"/>
      <c r="J139" s="19" t="s">
        <v>16</v>
      </c>
      <c r="K139" s="21" t="s">
        <v>64</v>
      </c>
      <c r="L139" s="22"/>
      <c r="M139" s="21"/>
      <c r="N139" s="18"/>
      <c r="O139" s="22"/>
      <c r="P139" s="19" t="s">
        <v>39</v>
      </c>
      <c r="Q139" s="19" t="s">
        <v>28</v>
      </c>
      <c r="R139" s="22">
        <v>45612</v>
      </c>
      <c r="S139" s="19">
        <f t="shared" si="4"/>
        <v>11</v>
      </c>
    </row>
    <row r="140" spans="1:19" ht="14.25" customHeight="1" x14ac:dyDescent="0.3">
      <c r="A140" s="17">
        <f t="shared" si="5"/>
        <v>139</v>
      </c>
      <c r="B140" s="18">
        <v>46261489</v>
      </c>
      <c r="C140" s="19" t="s">
        <v>220</v>
      </c>
      <c r="D140" s="18">
        <v>88966794</v>
      </c>
      <c r="E140" s="18">
        <v>74483560</v>
      </c>
      <c r="F140" s="18"/>
      <c r="G140" s="18"/>
      <c r="H140" s="18"/>
      <c r="I140" s="18"/>
      <c r="J140" s="19" t="s">
        <v>16</v>
      </c>
      <c r="K140" s="21" t="s">
        <v>64</v>
      </c>
      <c r="L140" s="22"/>
      <c r="M140" s="21"/>
      <c r="N140" s="18"/>
      <c r="O140" s="22"/>
      <c r="P140" s="19" t="s">
        <v>39</v>
      </c>
      <c r="Q140" s="19" t="s">
        <v>96</v>
      </c>
      <c r="R140" s="22">
        <v>45612</v>
      </c>
      <c r="S140" s="19">
        <f t="shared" si="4"/>
        <v>11</v>
      </c>
    </row>
    <row r="141" spans="1:19" ht="14.25" customHeight="1" x14ac:dyDescent="0.3">
      <c r="A141" s="17">
        <f t="shared" si="5"/>
        <v>140</v>
      </c>
      <c r="B141" s="18">
        <v>1031882</v>
      </c>
      <c r="C141" s="19" t="s">
        <v>224</v>
      </c>
      <c r="D141" s="18">
        <v>88975175</v>
      </c>
      <c r="E141" s="18">
        <v>74486839</v>
      </c>
      <c r="F141" s="18"/>
      <c r="G141" s="18"/>
      <c r="H141" s="18"/>
      <c r="I141" s="18"/>
      <c r="J141" s="19" t="s">
        <v>16</v>
      </c>
      <c r="K141" s="21" t="s">
        <v>64</v>
      </c>
      <c r="L141" s="22"/>
      <c r="M141" s="21"/>
      <c r="N141" s="18"/>
      <c r="O141" s="22"/>
      <c r="P141" s="19" t="s">
        <v>39</v>
      </c>
      <c r="Q141" s="19" t="s">
        <v>21</v>
      </c>
      <c r="R141" s="22">
        <v>45612</v>
      </c>
      <c r="S141" s="19">
        <f t="shared" si="4"/>
        <v>11</v>
      </c>
    </row>
    <row r="142" spans="1:19" ht="14.25" customHeight="1" x14ac:dyDescent="0.3">
      <c r="A142" s="17">
        <f t="shared" si="5"/>
        <v>141</v>
      </c>
      <c r="B142" s="18">
        <v>48902355</v>
      </c>
      <c r="C142" s="19" t="s">
        <v>225</v>
      </c>
      <c r="D142" s="18">
        <v>89034197</v>
      </c>
      <c r="E142" s="18">
        <v>74534506</v>
      </c>
      <c r="F142" s="18"/>
      <c r="G142" s="18"/>
      <c r="H142" s="18"/>
      <c r="I142" s="18"/>
      <c r="J142" s="19" t="s">
        <v>16</v>
      </c>
      <c r="K142" s="21" t="s">
        <v>64</v>
      </c>
      <c r="L142" s="22"/>
      <c r="M142" s="21"/>
      <c r="N142" s="18"/>
      <c r="O142" s="22"/>
      <c r="P142" s="19" t="s">
        <v>39</v>
      </c>
      <c r="Q142" s="19" t="s">
        <v>25</v>
      </c>
      <c r="R142" s="22">
        <v>45614</v>
      </c>
      <c r="S142" s="19">
        <f t="shared" si="4"/>
        <v>11</v>
      </c>
    </row>
    <row r="143" spans="1:19" ht="14.25" customHeight="1" x14ac:dyDescent="0.3">
      <c r="A143" s="17">
        <f t="shared" si="5"/>
        <v>142</v>
      </c>
      <c r="B143" s="18">
        <v>42312375</v>
      </c>
      <c r="C143" s="19" t="s">
        <v>226</v>
      </c>
      <c r="D143" s="18">
        <v>89078047</v>
      </c>
      <c r="E143" s="18">
        <v>74587672</v>
      </c>
      <c r="F143" s="18"/>
      <c r="G143" s="18"/>
      <c r="H143" s="18"/>
      <c r="I143" s="18"/>
      <c r="J143" s="19" t="s">
        <v>16</v>
      </c>
      <c r="K143" s="21" t="s">
        <v>64</v>
      </c>
      <c r="L143" s="22"/>
      <c r="M143" s="21"/>
      <c r="N143" s="18"/>
      <c r="O143" s="22"/>
      <c r="P143" s="19" t="s">
        <v>39</v>
      </c>
      <c r="Q143" s="19" t="s">
        <v>34</v>
      </c>
      <c r="R143" s="22">
        <v>45616</v>
      </c>
      <c r="S143" s="19">
        <f t="shared" si="4"/>
        <v>11</v>
      </c>
    </row>
    <row r="144" spans="1:19" ht="14.25" customHeight="1" x14ac:dyDescent="0.3">
      <c r="A144" s="17">
        <f t="shared" si="5"/>
        <v>143</v>
      </c>
      <c r="B144" s="18">
        <v>17967626</v>
      </c>
      <c r="C144" s="19" t="s">
        <v>227</v>
      </c>
      <c r="D144" s="18">
        <v>89152930</v>
      </c>
      <c r="E144" s="18">
        <v>74637690</v>
      </c>
      <c r="F144" s="18"/>
      <c r="G144" s="18"/>
      <c r="H144" s="18"/>
      <c r="I144" s="18"/>
      <c r="J144" s="19" t="s">
        <v>16</v>
      </c>
      <c r="K144" s="21" t="s">
        <v>64</v>
      </c>
      <c r="L144" s="22"/>
      <c r="M144" s="21"/>
      <c r="N144" s="18"/>
      <c r="O144" s="22"/>
      <c r="P144" s="19" t="s">
        <v>39</v>
      </c>
      <c r="Q144" s="19" t="s">
        <v>175</v>
      </c>
      <c r="R144" s="22">
        <v>45618</v>
      </c>
      <c r="S144" s="19">
        <f t="shared" si="4"/>
        <v>11</v>
      </c>
    </row>
    <row r="145" spans="1:19" ht="14.25" customHeight="1" x14ac:dyDescent="0.3">
      <c r="A145" s="17">
        <f t="shared" si="5"/>
        <v>144</v>
      </c>
      <c r="B145" s="18">
        <v>47029737</v>
      </c>
      <c r="C145" s="19" t="s">
        <v>228</v>
      </c>
      <c r="D145" s="18">
        <v>89333942</v>
      </c>
      <c r="E145" s="18">
        <v>74764452</v>
      </c>
      <c r="F145" s="18"/>
      <c r="G145" s="18"/>
      <c r="H145" s="18"/>
      <c r="I145" s="18"/>
      <c r="J145" s="19" t="s">
        <v>16</v>
      </c>
      <c r="K145" s="21" t="s">
        <v>64</v>
      </c>
      <c r="L145" s="22"/>
      <c r="M145" s="21"/>
      <c r="N145" s="18"/>
      <c r="O145" s="22"/>
      <c r="P145" s="19" t="s">
        <v>39</v>
      </c>
      <c r="Q145" s="19" t="s">
        <v>28</v>
      </c>
      <c r="R145" s="22">
        <v>45622</v>
      </c>
      <c r="S145" s="19">
        <f t="shared" si="4"/>
        <v>11</v>
      </c>
    </row>
    <row r="146" spans="1:19" ht="14.25" customHeight="1" x14ac:dyDescent="0.3">
      <c r="A146" s="17">
        <f t="shared" si="5"/>
        <v>145</v>
      </c>
      <c r="B146" s="18">
        <v>45179126</v>
      </c>
      <c r="C146" s="19" t="s">
        <v>229</v>
      </c>
      <c r="D146" s="18">
        <v>89332717</v>
      </c>
      <c r="E146" s="18">
        <v>74764027</v>
      </c>
      <c r="F146" s="18"/>
      <c r="G146" s="18"/>
      <c r="H146" s="18"/>
      <c r="I146" s="18"/>
      <c r="J146" s="19" t="s">
        <v>16</v>
      </c>
      <c r="K146" s="21" t="s">
        <v>64</v>
      </c>
      <c r="L146" s="22"/>
      <c r="M146" s="21"/>
      <c r="N146" s="18"/>
      <c r="O146" s="22"/>
      <c r="P146" s="19" t="s">
        <v>39</v>
      </c>
      <c r="Q146" s="19" t="s">
        <v>34</v>
      </c>
      <c r="R146" s="22">
        <v>45624</v>
      </c>
      <c r="S146" s="19">
        <f t="shared" si="4"/>
        <v>11</v>
      </c>
    </row>
    <row r="147" spans="1:19" ht="14.25" customHeight="1" x14ac:dyDescent="0.3">
      <c r="A147" s="17">
        <f t="shared" si="5"/>
        <v>146</v>
      </c>
      <c r="B147" s="18">
        <v>80577033</v>
      </c>
      <c r="C147" s="19" t="s">
        <v>230</v>
      </c>
      <c r="D147" s="18">
        <v>89361598</v>
      </c>
      <c r="E147" s="18">
        <v>74781087</v>
      </c>
      <c r="F147" s="18"/>
      <c r="G147" s="18"/>
      <c r="H147" s="18"/>
      <c r="I147" s="18"/>
      <c r="J147" s="19" t="s">
        <v>16</v>
      </c>
      <c r="K147" s="21" t="s">
        <v>64</v>
      </c>
      <c r="L147" s="22"/>
      <c r="M147" s="21"/>
      <c r="N147" s="18"/>
      <c r="O147" s="22"/>
      <c r="P147" s="19" t="s">
        <v>39</v>
      </c>
      <c r="Q147" s="19" t="s">
        <v>34</v>
      </c>
      <c r="R147" s="22">
        <v>45625</v>
      </c>
      <c r="S147" s="19">
        <f t="shared" si="4"/>
        <v>11</v>
      </c>
    </row>
    <row r="148" spans="1:19" ht="14.25" customHeight="1" x14ac:dyDescent="0.3">
      <c r="A148" s="17">
        <f t="shared" si="5"/>
        <v>147</v>
      </c>
      <c r="B148" s="18">
        <v>74135545</v>
      </c>
      <c r="C148" s="19" t="s">
        <v>47</v>
      </c>
      <c r="D148" s="18">
        <v>89357530</v>
      </c>
      <c r="E148" s="18">
        <v>74780107</v>
      </c>
      <c r="F148" s="18"/>
      <c r="G148" s="18"/>
      <c r="H148" s="18"/>
      <c r="I148" s="18"/>
      <c r="J148" s="19" t="s">
        <v>16</v>
      </c>
      <c r="K148" s="21" t="s">
        <v>64</v>
      </c>
      <c r="L148" s="22"/>
      <c r="M148" s="21"/>
      <c r="N148" s="18"/>
      <c r="O148" s="22"/>
      <c r="P148" s="19" t="s">
        <v>39</v>
      </c>
      <c r="Q148" s="19" t="s">
        <v>21</v>
      </c>
      <c r="R148" s="22">
        <v>45625</v>
      </c>
      <c r="S148" s="19">
        <f t="shared" si="4"/>
        <v>11</v>
      </c>
    </row>
    <row r="149" spans="1:19" ht="14.25" customHeight="1" x14ac:dyDescent="0.3">
      <c r="A149" s="17">
        <f t="shared" si="5"/>
        <v>148</v>
      </c>
      <c r="B149" s="18">
        <v>70422512</v>
      </c>
      <c r="C149" s="19" t="s">
        <v>231</v>
      </c>
      <c r="D149" s="18">
        <v>89354397</v>
      </c>
      <c r="E149" s="18">
        <v>74779255</v>
      </c>
      <c r="F149" s="18"/>
      <c r="G149" s="18"/>
      <c r="H149" s="18"/>
      <c r="I149" s="18"/>
      <c r="J149" s="19" t="s">
        <v>16</v>
      </c>
      <c r="K149" s="21" t="s">
        <v>64</v>
      </c>
      <c r="L149" s="22"/>
      <c r="M149" s="21"/>
      <c r="N149" s="18"/>
      <c r="O149" s="22"/>
      <c r="P149" s="19" t="s">
        <v>39</v>
      </c>
      <c r="Q149" s="19" t="s">
        <v>25</v>
      </c>
      <c r="R149" s="22">
        <v>45625</v>
      </c>
      <c r="S149" s="19">
        <f t="shared" si="4"/>
        <v>11</v>
      </c>
    </row>
    <row r="150" spans="1:19" ht="14.25" customHeight="1" x14ac:dyDescent="0.3">
      <c r="A150" s="17">
        <f t="shared" si="5"/>
        <v>149</v>
      </c>
      <c r="B150" s="18">
        <v>46771177</v>
      </c>
      <c r="C150" s="19" t="s">
        <v>232</v>
      </c>
      <c r="D150" s="18">
        <v>89359375</v>
      </c>
      <c r="E150" s="18">
        <v>74780553</v>
      </c>
      <c r="F150" s="18"/>
      <c r="G150" s="18"/>
      <c r="H150" s="18"/>
      <c r="I150" s="18"/>
      <c r="J150" s="19" t="s">
        <v>16</v>
      </c>
      <c r="K150" s="21" t="s">
        <v>64</v>
      </c>
      <c r="L150" s="22"/>
      <c r="M150" s="21"/>
      <c r="N150" s="18"/>
      <c r="O150" s="22"/>
      <c r="P150" s="19" t="s">
        <v>39</v>
      </c>
      <c r="Q150" s="19" t="s">
        <v>28</v>
      </c>
      <c r="R150" s="22">
        <v>45625</v>
      </c>
      <c r="S150" s="19">
        <f t="shared" si="4"/>
        <v>11</v>
      </c>
    </row>
    <row r="151" spans="1:19" ht="14.25" customHeight="1" x14ac:dyDescent="0.3">
      <c r="A151" s="17">
        <f t="shared" si="5"/>
        <v>150</v>
      </c>
      <c r="B151" s="18">
        <v>44346420</v>
      </c>
      <c r="C151" s="19" t="s">
        <v>233</v>
      </c>
      <c r="D151" s="18">
        <v>89392464</v>
      </c>
      <c r="E151" s="18">
        <v>74803750</v>
      </c>
      <c r="F151" s="18"/>
      <c r="G151" s="18"/>
      <c r="H151" s="18"/>
      <c r="I151" s="18"/>
      <c r="J151" s="19" t="s">
        <v>16</v>
      </c>
      <c r="K151" s="21" t="s">
        <v>64</v>
      </c>
      <c r="L151" s="22"/>
      <c r="M151" s="21"/>
      <c r="N151" s="18"/>
      <c r="O151" s="22"/>
      <c r="P151" s="19" t="s">
        <v>39</v>
      </c>
      <c r="Q151" s="19" t="s">
        <v>25</v>
      </c>
      <c r="R151" s="22">
        <v>45626</v>
      </c>
      <c r="S151" s="19">
        <f t="shared" si="4"/>
        <v>11</v>
      </c>
    </row>
    <row r="152" spans="1:19" ht="14.25" customHeight="1" x14ac:dyDescent="0.3">
      <c r="A152" s="17">
        <f t="shared" si="5"/>
        <v>151</v>
      </c>
      <c r="B152" s="18">
        <v>48884412</v>
      </c>
      <c r="C152" s="19" t="s">
        <v>234</v>
      </c>
      <c r="D152" s="18">
        <v>89379545</v>
      </c>
      <c r="E152" s="18">
        <v>74790985</v>
      </c>
      <c r="F152" s="18"/>
      <c r="G152" s="18"/>
      <c r="H152" s="18"/>
      <c r="I152" s="18"/>
      <c r="J152" s="19" t="s">
        <v>16</v>
      </c>
      <c r="K152" s="21" t="s">
        <v>64</v>
      </c>
      <c r="L152" s="22"/>
      <c r="M152" s="21"/>
      <c r="N152" s="18"/>
      <c r="O152" s="22"/>
      <c r="P152" s="19" t="s">
        <v>39</v>
      </c>
      <c r="Q152" s="19" t="s">
        <v>21</v>
      </c>
      <c r="R152" s="22">
        <v>45626</v>
      </c>
      <c r="S152" s="19">
        <f t="shared" si="4"/>
        <v>11</v>
      </c>
    </row>
    <row r="153" spans="1:19" ht="14.25" customHeight="1" x14ac:dyDescent="0.3">
      <c r="A153" s="17">
        <f t="shared" si="5"/>
        <v>152</v>
      </c>
      <c r="B153" s="18">
        <v>60461852</v>
      </c>
      <c r="C153" s="19" t="s">
        <v>235</v>
      </c>
      <c r="D153" s="18">
        <v>89427184</v>
      </c>
      <c r="E153" s="18">
        <v>74829525</v>
      </c>
      <c r="F153" s="18"/>
      <c r="G153" s="18"/>
      <c r="H153" s="18"/>
      <c r="I153" s="18"/>
      <c r="J153" s="19" t="s">
        <v>16</v>
      </c>
      <c r="K153" s="21" t="s">
        <v>64</v>
      </c>
      <c r="L153" s="22"/>
      <c r="M153" s="21"/>
      <c r="N153" s="18"/>
      <c r="O153" s="22"/>
      <c r="P153" s="19" t="s">
        <v>39</v>
      </c>
      <c r="Q153" s="19" t="s">
        <v>28</v>
      </c>
      <c r="R153" s="22">
        <v>45628</v>
      </c>
      <c r="S153" s="19">
        <f t="shared" si="4"/>
        <v>12</v>
      </c>
    </row>
    <row r="154" spans="1:19" ht="14.25" customHeight="1" x14ac:dyDescent="0.3">
      <c r="A154" s="17">
        <f t="shared" si="5"/>
        <v>153</v>
      </c>
      <c r="B154" s="18">
        <v>60778586</v>
      </c>
      <c r="C154" s="19" t="s">
        <v>46</v>
      </c>
      <c r="D154" s="18">
        <v>89452063</v>
      </c>
      <c r="E154" s="18">
        <v>74859636</v>
      </c>
      <c r="F154" s="18"/>
      <c r="G154" s="18"/>
      <c r="H154" s="18"/>
      <c r="I154" s="18"/>
      <c r="J154" s="19" t="s">
        <v>16</v>
      </c>
      <c r="K154" s="21" t="s">
        <v>64</v>
      </c>
      <c r="L154" s="22"/>
      <c r="M154" s="21"/>
      <c r="N154" s="18"/>
      <c r="O154" s="22"/>
      <c r="P154" s="19" t="s">
        <v>39</v>
      </c>
      <c r="Q154" s="19" t="s">
        <v>25</v>
      </c>
      <c r="R154" s="22">
        <v>45629</v>
      </c>
      <c r="S154" s="19">
        <f t="shared" si="4"/>
        <v>12</v>
      </c>
    </row>
    <row r="155" spans="1:19" ht="14.25" customHeight="1" x14ac:dyDescent="0.3">
      <c r="A155" s="17">
        <f t="shared" si="5"/>
        <v>154</v>
      </c>
      <c r="B155" s="18">
        <v>42230592</v>
      </c>
      <c r="C155" s="19" t="s">
        <v>236</v>
      </c>
      <c r="D155" s="18">
        <v>89454831</v>
      </c>
      <c r="E155" s="18">
        <v>74860854</v>
      </c>
      <c r="F155" s="18"/>
      <c r="G155" s="18"/>
      <c r="H155" s="18"/>
      <c r="I155" s="18"/>
      <c r="J155" s="19" t="s">
        <v>16</v>
      </c>
      <c r="K155" s="21" t="s">
        <v>64</v>
      </c>
      <c r="L155" s="22"/>
      <c r="M155" s="21"/>
      <c r="N155" s="18"/>
      <c r="O155" s="22"/>
      <c r="P155" s="19" t="s">
        <v>39</v>
      </c>
      <c r="Q155" s="19" t="s">
        <v>34</v>
      </c>
      <c r="R155" s="22">
        <v>45629</v>
      </c>
      <c r="S155" s="19">
        <f t="shared" si="4"/>
        <v>12</v>
      </c>
    </row>
    <row r="156" spans="1:19" ht="14.25" customHeight="1" x14ac:dyDescent="0.3">
      <c r="A156" s="17">
        <f t="shared" si="5"/>
        <v>155</v>
      </c>
      <c r="B156" s="18">
        <v>26613623</v>
      </c>
      <c r="C156" s="19" t="s">
        <v>237</v>
      </c>
      <c r="D156" s="18">
        <v>89498680</v>
      </c>
      <c r="E156" s="18">
        <v>74892646</v>
      </c>
      <c r="F156" s="18"/>
      <c r="G156" s="18"/>
      <c r="H156" s="18"/>
      <c r="I156" s="18"/>
      <c r="J156" s="19" t="s">
        <v>16</v>
      </c>
      <c r="K156" s="21" t="s">
        <v>64</v>
      </c>
      <c r="L156" s="22"/>
      <c r="M156" s="21"/>
      <c r="N156" s="18"/>
      <c r="O156" s="22"/>
      <c r="P156" s="19" t="s">
        <v>39</v>
      </c>
      <c r="Q156" s="19" t="s">
        <v>21</v>
      </c>
      <c r="R156" s="22">
        <v>45630</v>
      </c>
      <c r="S156" s="19">
        <f t="shared" si="4"/>
        <v>12</v>
      </c>
    </row>
    <row r="157" spans="1:19" ht="14.25" customHeight="1" x14ac:dyDescent="0.3">
      <c r="A157" s="17">
        <f t="shared" si="5"/>
        <v>156</v>
      </c>
      <c r="B157" s="18">
        <v>26716149</v>
      </c>
      <c r="C157" s="19" t="s">
        <v>238</v>
      </c>
      <c r="D157" s="18">
        <v>89500306</v>
      </c>
      <c r="E157" s="18">
        <v>74893521</v>
      </c>
      <c r="F157" s="18"/>
      <c r="G157" s="18"/>
      <c r="H157" s="18"/>
      <c r="I157" s="18"/>
      <c r="J157" s="19" t="s">
        <v>16</v>
      </c>
      <c r="K157" s="21" t="s">
        <v>64</v>
      </c>
      <c r="L157" s="22"/>
      <c r="M157" s="21"/>
      <c r="N157" s="18"/>
      <c r="O157" s="22"/>
      <c r="P157" s="19" t="s">
        <v>39</v>
      </c>
      <c r="Q157" s="19" t="s">
        <v>21</v>
      </c>
      <c r="R157" s="22">
        <v>45630</v>
      </c>
      <c r="S157" s="19">
        <f t="shared" si="4"/>
        <v>12</v>
      </c>
    </row>
    <row r="158" spans="1:19" ht="14.25" customHeight="1" x14ac:dyDescent="0.3">
      <c r="A158" s="17">
        <f t="shared" si="5"/>
        <v>157</v>
      </c>
      <c r="B158" s="18">
        <v>45567599</v>
      </c>
      <c r="C158" s="19" t="s">
        <v>239</v>
      </c>
      <c r="D158" s="18">
        <v>89493952</v>
      </c>
      <c r="E158" s="18">
        <v>74890700</v>
      </c>
      <c r="F158" s="18"/>
      <c r="G158" s="18"/>
      <c r="H158" s="18"/>
      <c r="I158" s="18"/>
      <c r="J158" s="19" t="s">
        <v>16</v>
      </c>
      <c r="K158" s="21" t="s">
        <v>64</v>
      </c>
      <c r="L158" s="22"/>
      <c r="M158" s="21"/>
      <c r="N158" s="18"/>
      <c r="O158" s="22"/>
      <c r="P158" s="19" t="s">
        <v>39</v>
      </c>
      <c r="Q158" s="19" t="s">
        <v>25</v>
      </c>
      <c r="R158" s="22">
        <v>45630</v>
      </c>
      <c r="S158" s="19">
        <f t="shared" si="4"/>
        <v>12</v>
      </c>
    </row>
    <row r="159" spans="1:19" ht="14.25" customHeight="1" x14ac:dyDescent="0.3">
      <c r="A159" s="17">
        <f t="shared" si="5"/>
        <v>158</v>
      </c>
      <c r="B159" s="18">
        <v>46410819</v>
      </c>
      <c r="C159" s="19" t="s">
        <v>240</v>
      </c>
      <c r="D159" s="18">
        <v>89509268</v>
      </c>
      <c r="E159" s="18">
        <v>74902357</v>
      </c>
      <c r="F159" s="18"/>
      <c r="G159" s="18"/>
      <c r="H159" s="18"/>
      <c r="I159" s="18"/>
      <c r="J159" s="19" t="s">
        <v>16</v>
      </c>
      <c r="K159" s="21" t="s">
        <v>64</v>
      </c>
      <c r="L159" s="22"/>
      <c r="M159" s="21"/>
      <c r="N159" s="18"/>
      <c r="O159" s="22"/>
      <c r="P159" s="19" t="s">
        <v>39</v>
      </c>
      <c r="Q159" s="19" t="s">
        <v>25</v>
      </c>
      <c r="R159" s="22">
        <v>45631</v>
      </c>
      <c r="S159" s="19">
        <f t="shared" si="4"/>
        <v>12</v>
      </c>
    </row>
    <row r="160" spans="1:19" ht="14.25" customHeight="1" x14ac:dyDescent="0.3">
      <c r="A160" s="17">
        <f t="shared" si="5"/>
        <v>159</v>
      </c>
      <c r="B160" s="18">
        <v>16797509</v>
      </c>
      <c r="C160" s="19" t="s">
        <v>241</v>
      </c>
      <c r="D160" s="18">
        <v>89547731</v>
      </c>
      <c r="E160" s="18">
        <v>74925519</v>
      </c>
      <c r="F160" s="18"/>
      <c r="G160" s="18"/>
      <c r="H160" s="18"/>
      <c r="I160" s="18"/>
      <c r="J160" s="19" t="s">
        <v>16</v>
      </c>
      <c r="K160" s="21" t="s">
        <v>64</v>
      </c>
      <c r="L160" s="22"/>
      <c r="M160" s="21"/>
      <c r="N160" s="18"/>
      <c r="O160" s="22"/>
      <c r="P160" s="19" t="s">
        <v>39</v>
      </c>
      <c r="Q160" s="19" t="s">
        <v>25</v>
      </c>
      <c r="R160" s="22">
        <v>45632</v>
      </c>
      <c r="S160" s="19">
        <f t="shared" si="4"/>
        <v>12</v>
      </c>
    </row>
    <row r="161" spans="1:19" ht="14.25" customHeight="1" x14ac:dyDescent="0.3">
      <c r="A161" s="17">
        <f t="shared" si="5"/>
        <v>160</v>
      </c>
      <c r="B161" s="18">
        <v>6746115</v>
      </c>
      <c r="C161" s="19" t="s">
        <v>242</v>
      </c>
      <c r="D161" s="18">
        <v>89644701</v>
      </c>
      <c r="E161" s="18">
        <v>74986576</v>
      </c>
      <c r="F161" s="18"/>
      <c r="G161" s="18"/>
      <c r="H161" s="18"/>
      <c r="I161" s="18"/>
      <c r="J161" s="19" t="s">
        <v>16</v>
      </c>
      <c r="K161" s="21" t="s">
        <v>64</v>
      </c>
      <c r="L161" s="22"/>
      <c r="M161" s="21"/>
      <c r="N161" s="18"/>
      <c r="O161" s="22"/>
      <c r="P161" s="19" t="s">
        <v>39</v>
      </c>
      <c r="Q161" s="19" t="s">
        <v>34</v>
      </c>
      <c r="R161" s="22">
        <v>45633</v>
      </c>
      <c r="S161" s="19">
        <f t="shared" si="4"/>
        <v>12</v>
      </c>
    </row>
    <row r="162" spans="1:19" ht="14.25" customHeight="1" x14ac:dyDescent="0.3">
      <c r="A162" s="17">
        <f t="shared" si="5"/>
        <v>161</v>
      </c>
      <c r="B162" s="18">
        <v>26731283</v>
      </c>
      <c r="C162" s="19" t="s">
        <v>243</v>
      </c>
      <c r="D162" s="18">
        <v>89662383</v>
      </c>
      <c r="E162" s="18">
        <v>74993835</v>
      </c>
      <c r="F162" s="18"/>
      <c r="G162" s="18"/>
      <c r="H162" s="18"/>
      <c r="I162" s="18"/>
      <c r="J162" s="19" t="s">
        <v>16</v>
      </c>
      <c r="K162" s="21" t="s">
        <v>64</v>
      </c>
      <c r="L162" s="22"/>
      <c r="M162" s="21"/>
      <c r="N162" s="18"/>
      <c r="O162" s="22"/>
      <c r="P162" s="19" t="s">
        <v>39</v>
      </c>
      <c r="Q162" s="19" t="s">
        <v>34</v>
      </c>
      <c r="R162" s="22">
        <v>45636</v>
      </c>
      <c r="S162" s="19">
        <f t="shared" si="4"/>
        <v>12</v>
      </c>
    </row>
    <row r="163" spans="1:19" ht="14.25" customHeight="1" x14ac:dyDescent="0.3">
      <c r="A163" s="17">
        <f t="shared" si="5"/>
        <v>162</v>
      </c>
      <c r="B163" s="18">
        <v>16762582</v>
      </c>
      <c r="C163" s="19" t="s">
        <v>244</v>
      </c>
      <c r="D163" s="18">
        <v>89654107</v>
      </c>
      <c r="E163" s="18">
        <v>74990237</v>
      </c>
      <c r="F163" s="18"/>
      <c r="G163" s="18"/>
      <c r="H163" s="18"/>
      <c r="I163" s="18"/>
      <c r="J163" s="19" t="s">
        <v>16</v>
      </c>
      <c r="K163" s="21" t="s">
        <v>64</v>
      </c>
      <c r="L163" s="22"/>
      <c r="M163" s="21"/>
      <c r="N163" s="18"/>
      <c r="O163" s="22"/>
      <c r="P163" s="19" t="s">
        <v>39</v>
      </c>
      <c r="Q163" s="19" t="s">
        <v>34</v>
      </c>
      <c r="R163" s="22">
        <v>45636</v>
      </c>
      <c r="S163" s="19">
        <f t="shared" si="4"/>
        <v>12</v>
      </c>
    </row>
    <row r="164" spans="1:19" ht="14.25" customHeight="1" x14ac:dyDescent="0.3">
      <c r="A164" s="17">
        <f t="shared" si="5"/>
        <v>163</v>
      </c>
      <c r="B164" s="18">
        <v>43835088</v>
      </c>
      <c r="C164" s="19" t="s">
        <v>245</v>
      </c>
      <c r="D164" s="18">
        <v>89328620</v>
      </c>
      <c r="E164" s="18">
        <v>74762223</v>
      </c>
      <c r="F164" s="18"/>
      <c r="G164" s="18"/>
      <c r="H164" s="18"/>
      <c r="I164" s="18"/>
      <c r="J164" s="19" t="s">
        <v>16</v>
      </c>
      <c r="K164" s="21" t="s">
        <v>64</v>
      </c>
      <c r="L164" s="22"/>
      <c r="M164" s="21"/>
      <c r="N164" s="18"/>
      <c r="O164" s="22"/>
      <c r="P164" s="19" t="s">
        <v>39</v>
      </c>
      <c r="Q164" s="19" t="s">
        <v>28</v>
      </c>
      <c r="R164" s="22">
        <v>45624</v>
      </c>
      <c r="S164" s="19">
        <f t="shared" si="4"/>
        <v>11</v>
      </c>
    </row>
    <row r="165" spans="1:19" ht="14.25" customHeight="1" x14ac:dyDescent="0.3">
      <c r="A165" s="17">
        <f t="shared" si="5"/>
        <v>164</v>
      </c>
      <c r="B165" s="18">
        <v>80276736</v>
      </c>
      <c r="C165" s="19" t="s">
        <v>246</v>
      </c>
      <c r="D165" s="18">
        <v>89525706</v>
      </c>
      <c r="E165" s="18">
        <v>74907332</v>
      </c>
      <c r="F165" s="18"/>
      <c r="G165" s="18"/>
      <c r="H165" s="18"/>
      <c r="I165" s="18"/>
      <c r="J165" s="19" t="s">
        <v>16</v>
      </c>
      <c r="K165" s="21" t="s">
        <v>64</v>
      </c>
      <c r="L165" s="22"/>
      <c r="M165" s="21"/>
      <c r="N165" s="18"/>
      <c r="O165" s="22"/>
      <c r="P165" s="19" t="s">
        <v>39</v>
      </c>
      <c r="Q165" s="19" t="s">
        <v>34</v>
      </c>
      <c r="R165" s="22">
        <v>45630</v>
      </c>
      <c r="S165" s="19">
        <f t="shared" si="4"/>
        <v>12</v>
      </c>
    </row>
    <row r="166" spans="1:19" ht="14.25" customHeight="1" x14ac:dyDescent="0.3">
      <c r="A166" s="17">
        <f t="shared" si="5"/>
        <v>165</v>
      </c>
      <c r="B166" s="18">
        <v>71408345</v>
      </c>
      <c r="C166" s="19" t="s">
        <v>247</v>
      </c>
      <c r="D166" s="18">
        <v>89531651</v>
      </c>
      <c r="E166" s="18">
        <v>74909227</v>
      </c>
      <c r="F166" s="18"/>
      <c r="G166" s="18"/>
      <c r="H166" s="18"/>
      <c r="I166" s="18"/>
      <c r="J166" s="19" t="s">
        <v>16</v>
      </c>
      <c r="K166" s="21" t="s">
        <v>64</v>
      </c>
      <c r="L166" s="22"/>
      <c r="M166" s="21"/>
      <c r="N166" s="18"/>
      <c r="O166" s="22"/>
      <c r="P166" s="19" t="s">
        <v>39</v>
      </c>
      <c r="Q166" s="19" t="s">
        <v>21</v>
      </c>
      <c r="R166" s="22">
        <v>45631</v>
      </c>
      <c r="S166" s="19">
        <f t="shared" si="4"/>
        <v>12</v>
      </c>
    </row>
    <row r="167" spans="1:19" ht="14.25" customHeight="1" x14ac:dyDescent="0.3">
      <c r="A167" s="17">
        <f t="shared" si="5"/>
        <v>166</v>
      </c>
      <c r="B167" s="18">
        <v>17620357</v>
      </c>
      <c r="C167" s="19" t="s">
        <v>248</v>
      </c>
      <c r="D167" s="18">
        <v>89656370</v>
      </c>
      <c r="E167" s="18">
        <v>75026672</v>
      </c>
      <c r="F167" s="18"/>
      <c r="G167" s="18"/>
      <c r="H167" s="18"/>
      <c r="I167" s="18"/>
      <c r="J167" s="19" t="s">
        <v>16</v>
      </c>
      <c r="K167" s="21" t="s">
        <v>64</v>
      </c>
      <c r="L167" s="22"/>
      <c r="M167" s="21"/>
      <c r="N167" s="18"/>
      <c r="O167" s="22"/>
      <c r="P167" s="19" t="s">
        <v>39</v>
      </c>
      <c r="Q167" s="19" t="s">
        <v>34</v>
      </c>
      <c r="R167" s="22">
        <v>45636</v>
      </c>
      <c r="S167" s="19">
        <f t="shared" si="4"/>
        <v>12</v>
      </c>
    </row>
    <row r="168" spans="1:19" ht="14.25" customHeight="1" x14ac:dyDescent="0.3">
      <c r="A168" s="17">
        <f t="shared" si="5"/>
        <v>167</v>
      </c>
      <c r="B168" s="18">
        <v>40998360</v>
      </c>
      <c r="C168" s="19" t="s">
        <v>249</v>
      </c>
      <c r="D168" s="18">
        <v>89848050</v>
      </c>
      <c r="E168" s="18">
        <v>75131589</v>
      </c>
      <c r="F168" s="18"/>
      <c r="G168" s="18"/>
      <c r="H168" s="18"/>
      <c r="I168" s="18"/>
      <c r="J168" s="19" t="s">
        <v>16</v>
      </c>
      <c r="K168" s="21" t="s">
        <v>64</v>
      </c>
      <c r="L168" s="22"/>
      <c r="M168" s="21"/>
      <c r="N168" s="18"/>
      <c r="O168" s="22"/>
      <c r="P168" s="19" t="s">
        <v>39</v>
      </c>
      <c r="Q168" s="19" t="s">
        <v>21</v>
      </c>
      <c r="R168" s="22">
        <v>45643</v>
      </c>
      <c r="S168" s="19">
        <f t="shared" si="4"/>
        <v>12</v>
      </c>
    </row>
    <row r="169" spans="1:19" ht="14.25" customHeight="1" x14ac:dyDescent="0.3">
      <c r="A169" s="17">
        <f t="shared" si="5"/>
        <v>168</v>
      </c>
      <c r="B169" s="18">
        <v>48104200</v>
      </c>
      <c r="C169" s="19" t="s">
        <v>250</v>
      </c>
      <c r="D169" s="18">
        <v>89768036</v>
      </c>
      <c r="E169" s="18">
        <v>75071410</v>
      </c>
      <c r="F169" s="18"/>
      <c r="G169" s="18"/>
      <c r="H169" s="18"/>
      <c r="I169" s="18"/>
      <c r="J169" s="19" t="s">
        <v>16</v>
      </c>
      <c r="K169" s="21" t="s">
        <v>64</v>
      </c>
      <c r="L169" s="22"/>
      <c r="M169" s="21"/>
      <c r="N169" s="18"/>
      <c r="O169" s="22"/>
      <c r="P169" s="19" t="s">
        <v>39</v>
      </c>
      <c r="Q169" s="19" t="s">
        <v>25</v>
      </c>
      <c r="R169" s="22">
        <v>45640</v>
      </c>
      <c r="S169" s="19">
        <f t="shared" si="4"/>
        <v>12</v>
      </c>
    </row>
    <row r="170" spans="1:19" ht="14.25" customHeight="1" x14ac:dyDescent="0.3">
      <c r="A170" s="17">
        <f t="shared" si="5"/>
        <v>169</v>
      </c>
      <c r="B170" s="18">
        <v>26731283</v>
      </c>
      <c r="C170" s="19" t="s">
        <v>243</v>
      </c>
      <c r="D170" s="18">
        <v>89662383</v>
      </c>
      <c r="E170" s="18">
        <v>74993835</v>
      </c>
      <c r="F170" s="18"/>
      <c r="G170" s="18"/>
      <c r="H170" s="18"/>
      <c r="I170" s="18"/>
      <c r="J170" s="19" t="s">
        <v>16</v>
      </c>
      <c r="K170" s="21" t="s">
        <v>64</v>
      </c>
      <c r="L170" s="22"/>
      <c r="M170" s="21"/>
      <c r="N170" s="18"/>
      <c r="O170" s="22"/>
      <c r="P170" s="19" t="s">
        <v>39</v>
      </c>
      <c r="Q170" s="19" t="s">
        <v>34</v>
      </c>
      <c r="R170" s="22">
        <v>45636</v>
      </c>
      <c r="S170" s="19">
        <f t="shared" si="4"/>
        <v>12</v>
      </c>
    </row>
    <row r="171" spans="1:19" ht="14.25" customHeight="1" x14ac:dyDescent="0.3">
      <c r="A171" s="17">
        <f t="shared" si="5"/>
        <v>170</v>
      </c>
      <c r="B171" s="18">
        <v>40692831</v>
      </c>
      <c r="C171" s="19" t="s">
        <v>251</v>
      </c>
      <c r="D171" s="18">
        <v>89744115</v>
      </c>
      <c r="E171" s="18">
        <v>75060166</v>
      </c>
      <c r="F171" s="18"/>
      <c r="G171" s="18"/>
      <c r="H171" s="18"/>
      <c r="I171" s="18"/>
      <c r="J171" s="19" t="s">
        <v>16</v>
      </c>
      <c r="K171" s="21" t="s">
        <v>64</v>
      </c>
      <c r="L171" s="22"/>
      <c r="M171" s="21"/>
      <c r="N171" s="18"/>
      <c r="O171" s="22"/>
      <c r="P171" s="19" t="s">
        <v>39</v>
      </c>
      <c r="Q171" s="19" t="s">
        <v>28</v>
      </c>
      <c r="R171" s="22">
        <v>45639</v>
      </c>
      <c r="S171" s="19">
        <f t="shared" si="4"/>
        <v>12</v>
      </c>
    </row>
    <row r="172" spans="1:19" ht="14.25" customHeight="1" x14ac:dyDescent="0.3">
      <c r="A172" s="17">
        <f t="shared" si="5"/>
        <v>171</v>
      </c>
      <c r="B172" s="18">
        <v>48295730</v>
      </c>
      <c r="C172" s="19" t="s">
        <v>252</v>
      </c>
      <c r="D172" s="18">
        <v>89770163</v>
      </c>
      <c r="E172" s="18">
        <v>75071856</v>
      </c>
      <c r="F172" s="18"/>
      <c r="G172" s="18"/>
      <c r="H172" s="18"/>
      <c r="I172" s="18"/>
      <c r="J172" s="19" t="s">
        <v>16</v>
      </c>
      <c r="K172" s="21" t="s">
        <v>64</v>
      </c>
      <c r="L172" s="22"/>
      <c r="M172" s="21"/>
      <c r="N172" s="18"/>
      <c r="O172" s="22"/>
      <c r="P172" s="19" t="s">
        <v>39</v>
      </c>
      <c r="Q172" s="19" t="s">
        <v>34</v>
      </c>
      <c r="R172" s="22">
        <v>45640</v>
      </c>
      <c r="S172" s="19">
        <f t="shared" si="4"/>
        <v>12</v>
      </c>
    </row>
    <row r="173" spans="1:19" ht="14.25" customHeight="1" x14ac:dyDescent="0.3">
      <c r="A173" s="17">
        <f t="shared" si="5"/>
        <v>172</v>
      </c>
      <c r="B173" s="18">
        <v>18907606</v>
      </c>
      <c r="C173" s="19" t="s">
        <v>253</v>
      </c>
      <c r="D173" s="18">
        <v>89880957</v>
      </c>
      <c r="E173" s="18">
        <v>75155370</v>
      </c>
      <c r="F173" s="18"/>
      <c r="G173" s="18"/>
      <c r="H173" s="18"/>
      <c r="I173" s="18"/>
      <c r="J173" s="19" t="s">
        <v>16</v>
      </c>
      <c r="K173" s="21" t="s">
        <v>64</v>
      </c>
      <c r="L173" s="22"/>
      <c r="M173" s="21"/>
      <c r="N173" s="18"/>
      <c r="O173" s="22"/>
      <c r="P173" s="19" t="s">
        <v>39</v>
      </c>
      <c r="Q173" s="19" t="s">
        <v>34</v>
      </c>
      <c r="R173" s="22">
        <v>45644</v>
      </c>
      <c r="S173" s="19">
        <f t="shared" si="4"/>
        <v>12</v>
      </c>
    </row>
    <row r="174" spans="1:19" ht="14.25" customHeight="1" x14ac:dyDescent="0.3">
      <c r="A174" s="17">
        <f t="shared" si="5"/>
        <v>173</v>
      </c>
      <c r="B174" s="18">
        <v>70400480</v>
      </c>
      <c r="C174" s="19" t="s">
        <v>254</v>
      </c>
      <c r="D174" s="18">
        <v>89912747</v>
      </c>
      <c r="E174" s="18">
        <v>75185345</v>
      </c>
      <c r="F174" s="18"/>
      <c r="G174" s="18"/>
      <c r="H174" s="18"/>
      <c r="I174" s="18"/>
      <c r="J174" s="19" t="s">
        <v>16</v>
      </c>
      <c r="K174" s="21" t="s">
        <v>64</v>
      </c>
      <c r="L174" s="22"/>
      <c r="M174" s="21"/>
      <c r="N174" s="18"/>
      <c r="O174" s="22"/>
      <c r="P174" s="19" t="s">
        <v>39</v>
      </c>
      <c r="Q174" s="19" t="s">
        <v>34</v>
      </c>
      <c r="R174" s="22">
        <v>45645</v>
      </c>
      <c r="S174" s="19">
        <f t="shared" si="4"/>
        <v>12</v>
      </c>
    </row>
    <row r="175" spans="1:19" ht="14.25" customHeight="1" x14ac:dyDescent="0.3">
      <c r="A175" s="17">
        <f t="shared" si="5"/>
        <v>174</v>
      </c>
      <c r="B175" s="18">
        <v>44006630</v>
      </c>
      <c r="C175" s="19" t="s">
        <v>255</v>
      </c>
      <c r="D175" s="18">
        <v>89493622</v>
      </c>
      <c r="E175" s="18">
        <v>74890083</v>
      </c>
      <c r="F175" s="18"/>
      <c r="G175" s="18"/>
      <c r="H175" s="18"/>
      <c r="I175" s="18"/>
      <c r="J175" s="19" t="s">
        <v>16</v>
      </c>
      <c r="K175" s="21" t="s">
        <v>64</v>
      </c>
      <c r="L175" s="22"/>
      <c r="M175" s="21"/>
      <c r="N175" s="18"/>
      <c r="O175" s="22"/>
      <c r="P175" s="19" t="s">
        <v>39</v>
      </c>
      <c r="Q175" s="19" t="s">
        <v>28</v>
      </c>
      <c r="R175" s="22">
        <v>45630</v>
      </c>
      <c r="S175" s="19">
        <f t="shared" si="4"/>
        <v>12</v>
      </c>
    </row>
    <row r="176" spans="1:19" ht="14.25" customHeight="1" x14ac:dyDescent="0.3">
      <c r="A176" s="17">
        <f t="shared" si="5"/>
        <v>175</v>
      </c>
      <c r="B176" s="18">
        <v>48066527</v>
      </c>
      <c r="C176" s="19" t="s">
        <v>256</v>
      </c>
      <c r="D176" s="18">
        <v>89761798</v>
      </c>
      <c r="E176" s="18">
        <v>75070232</v>
      </c>
      <c r="F176" s="18"/>
      <c r="G176" s="18"/>
      <c r="H176" s="18"/>
      <c r="I176" s="18"/>
      <c r="J176" s="19" t="s">
        <v>16</v>
      </c>
      <c r="K176" s="21" t="s">
        <v>64</v>
      </c>
      <c r="L176" s="22"/>
      <c r="M176" s="21"/>
      <c r="N176" s="18"/>
      <c r="O176" s="22"/>
      <c r="P176" s="19" t="s">
        <v>39</v>
      </c>
      <c r="Q176" s="19" t="s">
        <v>21</v>
      </c>
      <c r="R176" s="22">
        <v>45640</v>
      </c>
      <c r="S176" s="19">
        <f t="shared" si="4"/>
        <v>12</v>
      </c>
    </row>
    <row r="177" spans="1:19" ht="14.25" customHeight="1" x14ac:dyDescent="0.3">
      <c r="A177" s="17">
        <f t="shared" si="5"/>
        <v>176</v>
      </c>
      <c r="B177" s="18">
        <v>46879642</v>
      </c>
      <c r="C177" s="19" t="s">
        <v>257</v>
      </c>
      <c r="D177" s="18">
        <v>90042321</v>
      </c>
      <c r="E177" s="18">
        <v>75259239</v>
      </c>
      <c r="F177" s="18"/>
      <c r="G177" s="18"/>
      <c r="H177" s="18"/>
      <c r="I177" s="18"/>
      <c r="J177" s="19" t="s">
        <v>16</v>
      </c>
      <c r="K177" s="21" t="s">
        <v>64</v>
      </c>
      <c r="L177" s="22"/>
      <c r="M177" s="21"/>
      <c r="N177" s="18"/>
      <c r="O177" s="22"/>
      <c r="P177" s="19" t="s">
        <v>39</v>
      </c>
      <c r="Q177" s="19" t="s">
        <v>21</v>
      </c>
      <c r="R177" s="22">
        <v>45649</v>
      </c>
      <c r="S177" s="19">
        <f t="shared" si="4"/>
        <v>12</v>
      </c>
    </row>
    <row r="178" spans="1:19" ht="14.25" customHeight="1" x14ac:dyDescent="0.3">
      <c r="A178" s="17">
        <f t="shared" si="5"/>
        <v>177</v>
      </c>
      <c r="B178" s="18">
        <v>27045701</v>
      </c>
      <c r="C178" s="19" t="s">
        <v>258</v>
      </c>
      <c r="D178" s="18">
        <v>89527034</v>
      </c>
      <c r="E178" s="18">
        <v>74907692</v>
      </c>
      <c r="F178" s="18"/>
      <c r="G178" s="18"/>
      <c r="H178" s="18"/>
      <c r="I178" s="18"/>
      <c r="J178" s="19" t="s">
        <v>16</v>
      </c>
      <c r="K178" s="21" t="s">
        <v>64</v>
      </c>
      <c r="L178" s="22"/>
      <c r="M178" s="21"/>
      <c r="N178" s="18"/>
      <c r="O178" s="22"/>
      <c r="P178" s="19" t="s">
        <v>39</v>
      </c>
      <c r="Q178" s="19" t="s">
        <v>21</v>
      </c>
      <c r="R178" s="22">
        <v>45631</v>
      </c>
      <c r="S178" s="19">
        <f t="shared" si="4"/>
        <v>12</v>
      </c>
    </row>
    <row r="179" spans="1:19" ht="14.25" customHeight="1" x14ac:dyDescent="0.3">
      <c r="A179" s="17">
        <f t="shared" si="5"/>
        <v>178</v>
      </c>
      <c r="B179" s="18">
        <v>32908403</v>
      </c>
      <c r="C179" s="19" t="s">
        <v>259</v>
      </c>
      <c r="D179" s="18">
        <v>90104010</v>
      </c>
      <c r="E179" s="18">
        <v>75312858</v>
      </c>
      <c r="F179" s="18"/>
      <c r="G179" s="18"/>
      <c r="H179" s="18"/>
      <c r="I179" s="18"/>
      <c r="J179" s="19" t="s">
        <v>16</v>
      </c>
      <c r="K179" s="21" t="s">
        <v>64</v>
      </c>
      <c r="L179" s="22"/>
      <c r="M179" s="21"/>
      <c r="N179" s="18"/>
      <c r="O179" s="22"/>
      <c r="P179" s="19" t="s">
        <v>39</v>
      </c>
      <c r="Q179" s="19" t="s">
        <v>34</v>
      </c>
      <c r="R179" s="22">
        <v>45652</v>
      </c>
      <c r="S179" s="19">
        <f t="shared" si="4"/>
        <v>12</v>
      </c>
    </row>
    <row r="180" spans="1:19" ht="14.25" customHeight="1" x14ac:dyDescent="0.3">
      <c r="A180" s="17">
        <f t="shared" si="5"/>
        <v>179</v>
      </c>
      <c r="B180" s="18">
        <v>26708253</v>
      </c>
      <c r="C180" s="19" t="s">
        <v>260</v>
      </c>
      <c r="D180" s="18">
        <v>90149687</v>
      </c>
      <c r="E180" s="18">
        <v>75348108</v>
      </c>
      <c r="F180" s="18"/>
      <c r="G180" s="18"/>
      <c r="H180" s="18"/>
      <c r="I180" s="18"/>
      <c r="J180" s="19" t="s">
        <v>16</v>
      </c>
      <c r="K180" s="21" t="s">
        <v>64</v>
      </c>
      <c r="L180" s="22"/>
      <c r="M180" s="21"/>
      <c r="N180" s="18"/>
      <c r="O180" s="22"/>
      <c r="P180" s="19" t="s">
        <v>39</v>
      </c>
      <c r="Q180" s="19" t="s">
        <v>34</v>
      </c>
      <c r="R180" s="22">
        <v>45653</v>
      </c>
      <c r="S180" s="19">
        <f t="shared" si="4"/>
        <v>12</v>
      </c>
    </row>
    <row r="181" spans="1:19" ht="14.25" customHeight="1" x14ac:dyDescent="0.3">
      <c r="A181" s="17">
        <f t="shared" si="5"/>
        <v>180</v>
      </c>
      <c r="B181" s="18">
        <v>40481189</v>
      </c>
      <c r="C181" s="19" t="s">
        <v>261</v>
      </c>
      <c r="D181" s="18">
        <v>89916632</v>
      </c>
      <c r="E181" s="18">
        <v>75186343</v>
      </c>
      <c r="F181" s="18"/>
      <c r="G181" s="18"/>
      <c r="H181" s="18"/>
      <c r="I181" s="18"/>
      <c r="J181" s="19" t="s">
        <v>16</v>
      </c>
      <c r="K181" s="21" t="s">
        <v>64</v>
      </c>
      <c r="L181" s="22"/>
      <c r="M181" s="21"/>
      <c r="N181" s="18"/>
      <c r="O181" s="22"/>
      <c r="P181" s="19" t="s">
        <v>39</v>
      </c>
      <c r="Q181" s="19" t="s">
        <v>34</v>
      </c>
      <c r="R181" s="22">
        <v>45645</v>
      </c>
      <c r="S181" s="19">
        <f t="shared" si="4"/>
        <v>12</v>
      </c>
    </row>
    <row r="182" spans="1:19" ht="14.25" customHeight="1" x14ac:dyDescent="0.3">
      <c r="A182" s="17">
        <f t="shared" si="5"/>
        <v>181</v>
      </c>
      <c r="B182" s="18">
        <v>41780772</v>
      </c>
      <c r="C182" s="19" t="s">
        <v>262</v>
      </c>
      <c r="D182" s="18">
        <v>90073909</v>
      </c>
      <c r="E182" s="18">
        <v>75280816</v>
      </c>
      <c r="F182" s="18"/>
      <c r="G182" s="18"/>
      <c r="H182" s="18"/>
      <c r="I182" s="18"/>
      <c r="J182" s="19" t="s">
        <v>16</v>
      </c>
      <c r="K182" s="21" t="s">
        <v>64</v>
      </c>
      <c r="L182" s="22"/>
      <c r="M182" s="21"/>
      <c r="N182" s="18"/>
      <c r="O182" s="22"/>
      <c r="P182" s="19" t="s">
        <v>39</v>
      </c>
      <c r="Q182" s="19" t="s">
        <v>25</v>
      </c>
      <c r="R182" s="22">
        <v>45649</v>
      </c>
      <c r="S182" s="19">
        <v>12</v>
      </c>
    </row>
    <row r="183" spans="1:19" ht="14.25" customHeight="1" x14ac:dyDescent="0.3">
      <c r="A183" s="17">
        <f t="shared" si="5"/>
        <v>182</v>
      </c>
      <c r="B183" s="18">
        <v>74753046</v>
      </c>
      <c r="C183" s="19" t="s">
        <v>263</v>
      </c>
      <c r="D183" s="18">
        <v>89952144</v>
      </c>
      <c r="E183" s="18">
        <v>75206823</v>
      </c>
      <c r="F183" s="18"/>
      <c r="G183" s="18"/>
      <c r="H183" s="18"/>
      <c r="I183" s="18"/>
      <c r="J183" s="19" t="s">
        <v>16</v>
      </c>
      <c r="K183" s="21" t="s">
        <v>64</v>
      </c>
      <c r="L183" s="22"/>
      <c r="M183" s="21"/>
      <c r="N183" s="18"/>
      <c r="O183" s="22"/>
      <c r="P183" s="19" t="s">
        <v>39</v>
      </c>
      <c r="Q183" s="19" t="s">
        <v>21</v>
      </c>
      <c r="R183" s="22">
        <v>45646</v>
      </c>
      <c r="S183" s="19">
        <f t="shared" ref="S183:S249" si="6">IF(ISNUMBER(R183)=TRUE, MONTH(R183), " ")</f>
        <v>12</v>
      </c>
    </row>
    <row r="184" spans="1:19" ht="14.25" customHeight="1" x14ac:dyDescent="0.3">
      <c r="A184" s="17">
        <f t="shared" si="5"/>
        <v>183</v>
      </c>
      <c r="B184" s="18">
        <v>16794373</v>
      </c>
      <c r="C184" s="19" t="s">
        <v>264</v>
      </c>
      <c r="D184" s="18">
        <v>89714099</v>
      </c>
      <c r="E184" s="18">
        <v>75038759</v>
      </c>
      <c r="F184" s="18"/>
      <c r="G184" s="18"/>
      <c r="H184" s="18"/>
      <c r="I184" s="18"/>
      <c r="J184" s="19" t="s">
        <v>16</v>
      </c>
      <c r="K184" s="21" t="s">
        <v>64</v>
      </c>
      <c r="L184" s="22"/>
      <c r="M184" s="21"/>
      <c r="N184" s="18"/>
      <c r="O184" s="22"/>
      <c r="P184" s="19" t="s">
        <v>39</v>
      </c>
      <c r="Q184" s="19" t="s">
        <v>21</v>
      </c>
      <c r="R184" s="22">
        <v>45638</v>
      </c>
      <c r="S184" s="19">
        <f t="shared" si="6"/>
        <v>12</v>
      </c>
    </row>
    <row r="185" spans="1:19" ht="14.25" customHeight="1" x14ac:dyDescent="0.3">
      <c r="A185" s="17">
        <f t="shared" si="5"/>
        <v>184</v>
      </c>
      <c r="B185" s="18">
        <v>32925808</v>
      </c>
      <c r="C185" s="19" t="s">
        <v>265</v>
      </c>
      <c r="D185" s="18">
        <v>90082301</v>
      </c>
      <c r="E185" s="18">
        <v>75282831</v>
      </c>
      <c r="F185" s="18"/>
      <c r="G185" s="18"/>
      <c r="H185" s="18"/>
      <c r="I185" s="18"/>
      <c r="J185" s="19" t="s">
        <v>16</v>
      </c>
      <c r="K185" s="21" t="s">
        <v>64</v>
      </c>
      <c r="L185" s="22"/>
      <c r="M185" s="21"/>
      <c r="N185" s="18"/>
      <c r="O185" s="22"/>
      <c r="P185" s="19" t="s">
        <v>39</v>
      </c>
      <c r="Q185" s="19" t="s">
        <v>25</v>
      </c>
      <c r="R185" s="22">
        <v>45650</v>
      </c>
      <c r="S185" s="19">
        <f t="shared" si="6"/>
        <v>12</v>
      </c>
    </row>
    <row r="186" spans="1:19" ht="14.25" customHeight="1" x14ac:dyDescent="0.3">
      <c r="A186" s="17">
        <f t="shared" si="5"/>
        <v>185</v>
      </c>
      <c r="B186" s="18">
        <v>48170728</v>
      </c>
      <c r="C186" s="19" t="s">
        <v>266</v>
      </c>
      <c r="D186" s="18">
        <v>90249334</v>
      </c>
      <c r="E186" s="18">
        <v>75406770</v>
      </c>
      <c r="F186" s="18"/>
      <c r="G186" s="18"/>
      <c r="H186" s="18"/>
      <c r="I186" s="18"/>
      <c r="J186" s="19" t="s">
        <v>16</v>
      </c>
      <c r="K186" s="21" t="s">
        <v>64</v>
      </c>
      <c r="L186" s="22"/>
      <c r="M186" s="21"/>
      <c r="N186" s="18"/>
      <c r="O186" s="22"/>
      <c r="P186" s="19" t="s">
        <v>39</v>
      </c>
      <c r="Q186" s="19" t="s">
        <v>28</v>
      </c>
      <c r="R186" s="22">
        <v>45657</v>
      </c>
      <c r="S186" s="19">
        <f t="shared" si="6"/>
        <v>12</v>
      </c>
    </row>
    <row r="187" spans="1:19" ht="14.25" customHeight="1" x14ac:dyDescent="0.3">
      <c r="A187" s="17">
        <f t="shared" si="5"/>
        <v>186</v>
      </c>
      <c r="B187" s="18">
        <v>73682879</v>
      </c>
      <c r="C187" s="19" t="s">
        <v>267</v>
      </c>
      <c r="D187" s="18">
        <v>89744593</v>
      </c>
      <c r="E187" s="18">
        <v>75060295</v>
      </c>
      <c r="F187" s="18"/>
      <c r="G187" s="18"/>
      <c r="H187" s="18"/>
      <c r="I187" s="18"/>
      <c r="J187" s="19" t="s">
        <v>16</v>
      </c>
      <c r="K187" s="21" t="s">
        <v>64</v>
      </c>
      <c r="L187" s="22"/>
      <c r="M187" s="21"/>
      <c r="N187" s="18"/>
      <c r="O187" s="22"/>
      <c r="P187" s="19" t="s">
        <v>39</v>
      </c>
      <c r="Q187" s="19" t="s">
        <v>25</v>
      </c>
      <c r="R187" s="22">
        <v>45639</v>
      </c>
      <c r="S187" s="19">
        <f t="shared" si="6"/>
        <v>12</v>
      </c>
    </row>
    <row r="188" spans="1:19" ht="14.25" customHeight="1" x14ac:dyDescent="0.3">
      <c r="A188" s="17">
        <f t="shared" si="5"/>
        <v>187</v>
      </c>
      <c r="B188" s="18">
        <v>77281548</v>
      </c>
      <c r="C188" s="19" t="s">
        <v>268</v>
      </c>
      <c r="D188" s="18">
        <v>89795248</v>
      </c>
      <c r="E188" s="18">
        <v>75080149</v>
      </c>
      <c r="F188" s="18"/>
      <c r="G188" s="18"/>
      <c r="H188" s="18"/>
      <c r="I188" s="18"/>
      <c r="J188" s="19" t="s">
        <v>16</v>
      </c>
      <c r="K188" s="21" t="s">
        <v>64</v>
      </c>
      <c r="L188" s="22"/>
      <c r="M188" s="21"/>
      <c r="N188" s="18"/>
      <c r="O188" s="22"/>
      <c r="P188" s="19" t="s">
        <v>39</v>
      </c>
      <c r="Q188" s="19" t="s">
        <v>25</v>
      </c>
      <c r="R188" s="22">
        <v>45641</v>
      </c>
      <c r="S188" s="19">
        <f t="shared" si="6"/>
        <v>12</v>
      </c>
    </row>
    <row r="189" spans="1:19" ht="14.25" customHeight="1" x14ac:dyDescent="0.3">
      <c r="A189" s="17">
        <f t="shared" si="5"/>
        <v>188</v>
      </c>
      <c r="B189" s="18">
        <v>76847568</v>
      </c>
      <c r="C189" s="19" t="s">
        <v>269</v>
      </c>
      <c r="D189" s="18">
        <v>90080671</v>
      </c>
      <c r="E189" s="18">
        <v>75282529</v>
      </c>
      <c r="F189" s="18"/>
      <c r="G189" s="18"/>
      <c r="H189" s="18"/>
      <c r="I189" s="18"/>
      <c r="J189" s="19" t="s">
        <v>16</v>
      </c>
      <c r="K189" s="21" t="s">
        <v>64</v>
      </c>
      <c r="L189" s="22"/>
      <c r="M189" s="21"/>
      <c r="N189" s="18"/>
      <c r="O189" s="22"/>
      <c r="P189" s="19" t="s">
        <v>39</v>
      </c>
      <c r="Q189" s="19" t="s">
        <v>28</v>
      </c>
      <c r="R189" s="22">
        <v>45650</v>
      </c>
      <c r="S189" s="19">
        <f t="shared" si="6"/>
        <v>12</v>
      </c>
    </row>
    <row r="190" spans="1:19" ht="14.25" customHeight="1" x14ac:dyDescent="0.3">
      <c r="A190" s="17">
        <f t="shared" si="5"/>
        <v>189</v>
      </c>
      <c r="B190" s="18">
        <v>42839800</v>
      </c>
      <c r="C190" s="19" t="s">
        <v>270</v>
      </c>
      <c r="D190" s="18">
        <v>90359450</v>
      </c>
      <c r="E190" s="18">
        <v>75514432</v>
      </c>
      <c r="F190" s="18"/>
      <c r="G190" s="18"/>
      <c r="H190" s="18"/>
      <c r="I190" s="18"/>
      <c r="J190" s="19" t="s">
        <v>16</v>
      </c>
      <c r="K190" s="21" t="s">
        <v>64</v>
      </c>
      <c r="L190" s="22"/>
      <c r="M190" s="21"/>
      <c r="N190" s="18"/>
      <c r="O190" s="22"/>
      <c r="P190" s="19" t="s">
        <v>39</v>
      </c>
      <c r="Q190" s="19" t="s">
        <v>28</v>
      </c>
      <c r="R190" s="22">
        <v>45661</v>
      </c>
      <c r="S190" s="19">
        <f t="shared" si="6"/>
        <v>1</v>
      </c>
    </row>
    <row r="191" spans="1:19" ht="14.25" customHeight="1" x14ac:dyDescent="0.3">
      <c r="A191" s="17">
        <f t="shared" si="5"/>
        <v>190</v>
      </c>
      <c r="B191" s="18">
        <v>42944965</v>
      </c>
      <c r="C191" s="19" t="s">
        <v>271</v>
      </c>
      <c r="D191" s="18">
        <v>90362084</v>
      </c>
      <c r="E191" s="18">
        <v>75515024</v>
      </c>
      <c r="F191" s="18"/>
      <c r="G191" s="18"/>
      <c r="H191" s="18"/>
      <c r="I191" s="18"/>
      <c r="J191" s="19" t="s">
        <v>16</v>
      </c>
      <c r="K191" s="21" t="s">
        <v>64</v>
      </c>
      <c r="L191" s="22"/>
      <c r="M191" s="21"/>
      <c r="N191" s="18"/>
      <c r="O191" s="22"/>
      <c r="P191" s="19" t="s">
        <v>39</v>
      </c>
      <c r="Q191" s="19" t="s">
        <v>25</v>
      </c>
      <c r="R191" s="22">
        <v>45661</v>
      </c>
      <c r="S191" s="19">
        <f t="shared" si="6"/>
        <v>1</v>
      </c>
    </row>
    <row r="192" spans="1:19" ht="14.25" customHeight="1" x14ac:dyDescent="0.3">
      <c r="A192" s="17">
        <f t="shared" si="5"/>
        <v>191</v>
      </c>
      <c r="B192" s="18">
        <v>32910972</v>
      </c>
      <c r="C192" s="19" t="s">
        <v>272</v>
      </c>
      <c r="D192" s="18">
        <v>90081350</v>
      </c>
      <c r="E192" s="18">
        <v>75282660</v>
      </c>
      <c r="F192" s="18"/>
      <c r="G192" s="18"/>
      <c r="H192" s="18"/>
      <c r="I192" s="18"/>
      <c r="J192" s="19" t="s">
        <v>16</v>
      </c>
      <c r="K192" s="21" t="s">
        <v>64</v>
      </c>
      <c r="L192" s="22"/>
      <c r="M192" s="21"/>
      <c r="N192" s="18"/>
      <c r="O192" s="22"/>
      <c r="P192" s="19" t="s">
        <v>39</v>
      </c>
      <c r="Q192" s="19" t="s">
        <v>25</v>
      </c>
      <c r="R192" s="22">
        <v>45650</v>
      </c>
      <c r="S192" s="19">
        <f t="shared" si="6"/>
        <v>12</v>
      </c>
    </row>
    <row r="193" spans="1:19" ht="14.25" customHeight="1" x14ac:dyDescent="0.3">
      <c r="A193" s="17">
        <f t="shared" si="5"/>
        <v>192</v>
      </c>
      <c r="B193" s="18">
        <v>2864927</v>
      </c>
      <c r="C193" s="19" t="s">
        <v>273</v>
      </c>
      <c r="D193" s="18">
        <v>90358367</v>
      </c>
      <c r="E193" s="18">
        <v>75514193</v>
      </c>
      <c r="F193" s="18"/>
      <c r="G193" s="18"/>
      <c r="H193" s="18"/>
      <c r="I193" s="18"/>
      <c r="J193" s="19" t="s">
        <v>16</v>
      </c>
      <c r="K193" s="21" t="s">
        <v>64</v>
      </c>
      <c r="L193" s="22"/>
      <c r="M193" s="21"/>
      <c r="N193" s="18"/>
      <c r="O193" s="22"/>
      <c r="P193" s="19" t="s">
        <v>39</v>
      </c>
      <c r="Q193" s="19" t="s">
        <v>34</v>
      </c>
      <c r="R193" s="22">
        <v>45661</v>
      </c>
      <c r="S193" s="19">
        <f t="shared" si="6"/>
        <v>1</v>
      </c>
    </row>
    <row r="194" spans="1:19" ht="14.25" customHeight="1" x14ac:dyDescent="0.3">
      <c r="A194" s="17">
        <f t="shared" si="5"/>
        <v>193</v>
      </c>
      <c r="B194" s="18">
        <v>6796515</v>
      </c>
      <c r="C194" s="19" t="s">
        <v>274</v>
      </c>
      <c r="D194" s="18">
        <v>89802333</v>
      </c>
      <c r="E194" s="18">
        <v>75081634</v>
      </c>
      <c r="F194" s="18"/>
      <c r="G194" s="18"/>
      <c r="H194" s="18"/>
      <c r="I194" s="18"/>
      <c r="J194" s="19" t="s">
        <v>16</v>
      </c>
      <c r="K194" s="21" t="s">
        <v>64</v>
      </c>
      <c r="L194" s="22"/>
      <c r="M194" s="21"/>
      <c r="N194" s="18"/>
      <c r="O194" s="22"/>
      <c r="P194" s="19" t="s">
        <v>39</v>
      </c>
      <c r="Q194" s="19" t="s">
        <v>28</v>
      </c>
      <c r="R194" s="22">
        <v>45641</v>
      </c>
      <c r="S194" s="19">
        <f t="shared" si="6"/>
        <v>12</v>
      </c>
    </row>
    <row r="195" spans="1:19" ht="14.25" customHeight="1" x14ac:dyDescent="0.3">
      <c r="A195" s="17">
        <f t="shared" si="5"/>
        <v>194</v>
      </c>
      <c r="B195" s="18">
        <v>74872281</v>
      </c>
      <c r="C195" s="19" t="s">
        <v>275</v>
      </c>
      <c r="D195" s="18">
        <v>90404765</v>
      </c>
      <c r="E195" s="18">
        <v>75557178</v>
      </c>
      <c r="F195" s="18"/>
      <c r="G195" s="18"/>
      <c r="H195" s="18"/>
      <c r="I195" s="18"/>
      <c r="J195" s="19" t="s">
        <v>16</v>
      </c>
      <c r="K195" s="21" t="s">
        <v>64</v>
      </c>
      <c r="L195" s="22"/>
      <c r="M195" s="21"/>
      <c r="N195" s="18"/>
      <c r="O195" s="22"/>
      <c r="P195" s="19" t="s">
        <v>39</v>
      </c>
      <c r="Q195" s="19" t="s">
        <v>34</v>
      </c>
      <c r="R195" s="22">
        <v>45650</v>
      </c>
      <c r="S195" s="19">
        <f t="shared" si="6"/>
        <v>12</v>
      </c>
    </row>
    <row r="196" spans="1:19" ht="14.25" customHeight="1" x14ac:dyDescent="0.3">
      <c r="A196" s="17">
        <f t="shared" ref="A196:A259" si="7">A195+1</f>
        <v>195</v>
      </c>
      <c r="B196" s="18">
        <v>32910972</v>
      </c>
      <c r="C196" s="19" t="s">
        <v>272</v>
      </c>
      <c r="D196" s="18">
        <v>90505292</v>
      </c>
      <c r="E196" s="18">
        <v>75633244</v>
      </c>
      <c r="F196" s="18"/>
      <c r="G196" s="18"/>
      <c r="H196" s="18"/>
      <c r="I196" s="18"/>
      <c r="J196" s="19" t="s">
        <v>16</v>
      </c>
      <c r="K196" s="21" t="s">
        <v>64</v>
      </c>
      <c r="L196" s="22"/>
      <c r="M196" s="21"/>
      <c r="N196" s="18"/>
      <c r="O196" s="22"/>
      <c r="P196" s="19" t="s">
        <v>39</v>
      </c>
      <c r="Q196" s="19" t="s">
        <v>25</v>
      </c>
      <c r="R196" s="22">
        <v>45664</v>
      </c>
      <c r="S196" s="19">
        <f t="shared" si="6"/>
        <v>1</v>
      </c>
    </row>
    <row r="197" spans="1:19" ht="14.25" customHeight="1" x14ac:dyDescent="0.3">
      <c r="A197" s="17">
        <f t="shared" si="7"/>
        <v>196</v>
      </c>
      <c r="B197" s="18">
        <v>16683278</v>
      </c>
      <c r="C197" s="19" t="s">
        <v>276</v>
      </c>
      <c r="D197" s="18">
        <v>90444454</v>
      </c>
      <c r="E197" s="18">
        <v>75579739</v>
      </c>
      <c r="F197" s="18"/>
      <c r="G197" s="18"/>
      <c r="H197" s="18"/>
      <c r="I197" s="18"/>
      <c r="J197" s="19" t="s">
        <v>16</v>
      </c>
      <c r="K197" s="21" t="s">
        <v>64</v>
      </c>
      <c r="L197" s="22"/>
      <c r="M197" s="21"/>
      <c r="N197" s="18"/>
      <c r="O197" s="22"/>
      <c r="P197" s="19" t="s">
        <v>39</v>
      </c>
      <c r="Q197" s="19" t="s">
        <v>21</v>
      </c>
      <c r="R197" s="22">
        <v>45664</v>
      </c>
      <c r="S197" s="19">
        <f t="shared" si="6"/>
        <v>1</v>
      </c>
    </row>
    <row r="198" spans="1:19" ht="14.25" customHeight="1" x14ac:dyDescent="0.3">
      <c r="A198" s="17">
        <f t="shared" si="7"/>
        <v>197</v>
      </c>
      <c r="B198" s="18">
        <v>19046491</v>
      </c>
      <c r="C198" s="19" t="s">
        <v>277</v>
      </c>
      <c r="D198" s="18">
        <v>90507364</v>
      </c>
      <c r="E198" s="18">
        <v>75633823</v>
      </c>
      <c r="F198" s="18"/>
      <c r="G198" s="18"/>
      <c r="H198" s="18"/>
      <c r="I198" s="18"/>
      <c r="J198" s="19" t="s">
        <v>16</v>
      </c>
      <c r="K198" s="21" t="s">
        <v>64</v>
      </c>
      <c r="L198" s="22"/>
      <c r="M198" s="21"/>
      <c r="N198" s="18"/>
      <c r="O198" s="22"/>
      <c r="P198" s="19" t="s">
        <v>39</v>
      </c>
      <c r="Q198" s="19" t="s">
        <v>34</v>
      </c>
      <c r="R198" s="22">
        <v>45665</v>
      </c>
      <c r="S198" s="19">
        <f t="shared" si="6"/>
        <v>1</v>
      </c>
    </row>
    <row r="199" spans="1:19" ht="14.25" customHeight="1" x14ac:dyDescent="0.3">
      <c r="A199" s="17">
        <f t="shared" si="7"/>
        <v>198</v>
      </c>
      <c r="B199" s="18">
        <v>6810045</v>
      </c>
      <c r="C199" s="19" t="s">
        <v>278</v>
      </c>
      <c r="D199" s="18">
        <v>90572996</v>
      </c>
      <c r="E199" s="18">
        <v>75674047</v>
      </c>
      <c r="F199" s="18"/>
      <c r="G199" s="18"/>
      <c r="H199" s="18"/>
      <c r="I199" s="18"/>
      <c r="J199" s="19" t="s">
        <v>16</v>
      </c>
      <c r="K199" s="21" t="s">
        <v>64</v>
      </c>
      <c r="L199" s="22"/>
      <c r="M199" s="21"/>
      <c r="N199" s="18"/>
      <c r="O199" s="22"/>
      <c r="P199" s="19" t="s">
        <v>39</v>
      </c>
      <c r="Q199" s="19" t="s">
        <v>25</v>
      </c>
      <c r="R199" s="22">
        <v>45668</v>
      </c>
      <c r="S199" s="19">
        <f t="shared" si="6"/>
        <v>1</v>
      </c>
    </row>
    <row r="200" spans="1:19" ht="14.25" customHeight="1" x14ac:dyDescent="0.3">
      <c r="A200" s="17">
        <f t="shared" si="7"/>
        <v>199</v>
      </c>
      <c r="B200" s="18">
        <v>948275</v>
      </c>
      <c r="C200" s="19" t="s">
        <v>279</v>
      </c>
      <c r="D200" s="18">
        <v>90579554</v>
      </c>
      <c r="E200" s="18">
        <v>75675437</v>
      </c>
      <c r="F200" s="18"/>
      <c r="G200" s="18"/>
      <c r="H200" s="18"/>
      <c r="I200" s="18"/>
      <c r="J200" s="19" t="s">
        <v>16</v>
      </c>
      <c r="K200" s="21" t="s">
        <v>64</v>
      </c>
      <c r="L200" s="22"/>
      <c r="M200" s="21"/>
      <c r="N200" s="18"/>
      <c r="O200" s="22"/>
      <c r="P200" s="19" t="s">
        <v>39</v>
      </c>
      <c r="Q200" s="19" t="s">
        <v>25</v>
      </c>
      <c r="R200" s="22">
        <v>45668</v>
      </c>
      <c r="S200" s="19">
        <f t="shared" si="6"/>
        <v>1</v>
      </c>
    </row>
    <row r="201" spans="1:19" ht="14.25" customHeight="1" x14ac:dyDescent="0.3">
      <c r="A201" s="17">
        <f t="shared" si="7"/>
        <v>200</v>
      </c>
      <c r="B201" s="18">
        <v>9456266</v>
      </c>
      <c r="C201" s="19" t="s">
        <v>280</v>
      </c>
      <c r="D201" s="18">
        <v>90677472</v>
      </c>
      <c r="E201" s="18">
        <v>75743363</v>
      </c>
      <c r="F201" s="18"/>
      <c r="G201" s="18"/>
      <c r="H201" s="18"/>
      <c r="I201" s="18"/>
      <c r="J201" s="19" t="s">
        <v>16</v>
      </c>
      <c r="K201" s="21" t="s">
        <v>64</v>
      </c>
      <c r="L201" s="22"/>
      <c r="M201" s="21"/>
      <c r="N201" s="18"/>
      <c r="O201" s="22"/>
      <c r="P201" s="19" t="s">
        <v>39</v>
      </c>
      <c r="Q201" s="19" t="s">
        <v>28</v>
      </c>
      <c r="R201" s="22">
        <v>45670</v>
      </c>
      <c r="S201" s="19">
        <f t="shared" si="6"/>
        <v>1</v>
      </c>
    </row>
    <row r="202" spans="1:19" ht="14.25" customHeight="1" x14ac:dyDescent="0.3">
      <c r="A202" s="17">
        <f t="shared" si="7"/>
        <v>201</v>
      </c>
      <c r="B202" s="18">
        <v>10538760</v>
      </c>
      <c r="C202" s="19" t="s">
        <v>281</v>
      </c>
      <c r="D202" s="18">
        <v>90738683</v>
      </c>
      <c r="E202" s="18">
        <v>75778858</v>
      </c>
      <c r="F202" s="18"/>
      <c r="G202" s="18"/>
      <c r="H202" s="18"/>
      <c r="I202" s="18"/>
      <c r="J202" s="19" t="s">
        <v>16</v>
      </c>
      <c r="K202" s="21" t="s">
        <v>64</v>
      </c>
      <c r="L202" s="22"/>
      <c r="M202" s="21"/>
      <c r="N202" s="18"/>
      <c r="O202" s="22"/>
      <c r="P202" s="19" t="s">
        <v>39</v>
      </c>
      <c r="Q202" s="19" t="s">
        <v>28</v>
      </c>
      <c r="R202" s="22">
        <v>45673</v>
      </c>
      <c r="S202" s="19">
        <f t="shared" si="6"/>
        <v>1</v>
      </c>
    </row>
    <row r="203" spans="1:19" ht="14.25" customHeight="1" x14ac:dyDescent="0.3">
      <c r="A203" s="17">
        <f t="shared" si="7"/>
        <v>202</v>
      </c>
      <c r="B203" s="18">
        <v>73214242</v>
      </c>
      <c r="C203" s="19" t="s">
        <v>282</v>
      </c>
      <c r="D203" s="18">
        <v>91155881</v>
      </c>
      <c r="E203" s="18">
        <v>76076718</v>
      </c>
      <c r="F203" s="18"/>
      <c r="G203" s="18"/>
      <c r="H203" s="18"/>
      <c r="I203" s="18"/>
      <c r="J203" s="19" t="s">
        <v>16</v>
      </c>
      <c r="K203" s="21" t="s">
        <v>64</v>
      </c>
      <c r="L203" s="22"/>
      <c r="M203" s="21"/>
      <c r="N203" s="18"/>
      <c r="O203" s="22"/>
      <c r="P203" s="19" t="s">
        <v>49</v>
      </c>
      <c r="Q203" s="19" t="s">
        <v>50</v>
      </c>
      <c r="R203" s="22">
        <v>45687</v>
      </c>
      <c r="S203" s="19">
        <f t="shared" si="6"/>
        <v>1</v>
      </c>
    </row>
    <row r="204" spans="1:19" ht="14.25" customHeight="1" x14ac:dyDescent="0.3">
      <c r="A204" s="17">
        <f t="shared" si="7"/>
        <v>203</v>
      </c>
      <c r="B204" s="18">
        <v>60879672</v>
      </c>
      <c r="C204" s="19" t="s">
        <v>283</v>
      </c>
      <c r="D204" s="18">
        <v>91127745</v>
      </c>
      <c r="E204" s="18">
        <v>76053728</v>
      </c>
      <c r="F204" s="18"/>
      <c r="G204" s="18"/>
      <c r="H204" s="18"/>
      <c r="I204" s="18"/>
      <c r="J204" s="19" t="s">
        <v>16</v>
      </c>
      <c r="K204" s="21" t="s">
        <v>64</v>
      </c>
      <c r="L204" s="22"/>
      <c r="M204" s="21"/>
      <c r="N204" s="18"/>
      <c r="O204" s="22"/>
      <c r="P204" s="19" t="s">
        <v>49</v>
      </c>
      <c r="Q204" s="19" t="s">
        <v>51</v>
      </c>
      <c r="R204" s="22">
        <v>45686</v>
      </c>
      <c r="S204" s="19">
        <f t="shared" si="6"/>
        <v>1</v>
      </c>
    </row>
    <row r="205" spans="1:19" ht="14.25" customHeight="1" x14ac:dyDescent="0.3">
      <c r="A205" s="17">
        <f t="shared" si="7"/>
        <v>204</v>
      </c>
      <c r="B205" s="18">
        <v>29527233</v>
      </c>
      <c r="C205" s="19" t="s">
        <v>284</v>
      </c>
      <c r="D205" s="18">
        <v>91168880</v>
      </c>
      <c r="E205" s="18">
        <v>76081085</v>
      </c>
      <c r="F205" s="18"/>
      <c r="G205" s="18"/>
      <c r="H205" s="18"/>
      <c r="I205" s="18"/>
      <c r="J205" s="19" t="s">
        <v>16</v>
      </c>
      <c r="K205" s="21" t="s">
        <v>64</v>
      </c>
      <c r="L205" s="22"/>
      <c r="M205" s="21"/>
      <c r="N205" s="18"/>
      <c r="O205" s="22"/>
      <c r="P205" s="19" t="s">
        <v>49</v>
      </c>
      <c r="Q205" s="19" t="s">
        <v>28</v>
      </c>
      <c r="R205" s="22">
        <v>45687</v>
      </c>
      <c r="S205" s="19">
        <f t="shared" si="6"/>
        <v>1</v>
      </c>
    </row>
    <row r="206" spans="1:19" ht="14.25" customHeight="1" x14ac:dyDescent="0.3">
      <c r="A206" s="17">
        <f t="shared" si="7"/>
        <v>205</v>
      </c>
      <c r="B206" s="18">
        <v>19323835</v>
      </c>
      <c r="C206" s="19" t="s">
        <v>285</v>
      </c>
      <c r="D206" s="18">
        <v>91140004</v>
      </c>
      <c r="E206" s="18">
        <v>76059866</v>
      </c>
      <c r="F206" s="18"/>
      <c r="G206" s="18"/>
      <c r="H206" s="18"/>
      <c r="I206" s="18"/>
      <c r="J206" s="19" t="s">
        <v>16</v>
      </c>
      <c r="K206" s="21" t="s">
        <v>64</v>
      </c>
      <c r="L206" s="22"/>
      <c r="M206" s="21"/>
      <c r="N206" s="18"/>
      <c r="O206" s="22"/>
      <c r="P206" s="19" t="s">
        <v>49</v>
      </c>
      <c r="Q206" s="19" t="s">
        <v>28</v>
      </c>
      <c r="R206" s="22">
        <v>45686</v>
      </c>
      <c r="S206" s="19">
        <f t="shared" si="6"/>
        <v>1</v>
      </c>
    </row>
    <row r="207" spans="1:19" ht="14.25" customHeight="1" x14ac:dyDescent="0.3">
      <c r="A207" s="17">
        <f t="shared" si="7"/>
        <v>206</v>
      </c>
      <c r="B207" s="18">
        <v>10315631</v>
      </c>
      <c r="C207" s="19" t="s">
        <v>286</v>
      </c>
      <c r="D207" s="18">
        <v>91279171</v>
      </c>
      <c r="E207" s="18">
        <v>76176886</v>
      </c>
      <c r="F207" s="18"/>
      <c r="G207" s="18"/>
      <c r="H207" s="18"/>
      <c r="I207" s="18"/>
      <c r="J207" s="19" t="s">
        <v>16</v>
      </c>
      <c r="K207" s="21" t="s">
        <v>64</v>
      </c>
      <c r="L207" s="22"/>
      <c r="M207" s="21"/>
      <c r="N207" s="18"/>
      <c r="O207" s="22"/>
      <c r="P207" s="19" t="s">
        <v>49</v>
      </c>
      <c r="Q207" s="19" t="s">
        <v>51</v>
      </c>
      <c r="R207" s="22">
        <v>45691</v>
      </c>
      <c r="S207" s="19">
        <f t="shared" si="6"/>
        <v>2</v>
      </c>
    </row>
    <row r="208" spans="1:19" ht="14.25" customHeight="1" x14ac:dyDescent="0.3">
      <c r="A208" s="17">
        <f t="shared" si="7"/>
        <v>207</v>
      </c>
      <c r="B208" s="18">
        <v>47221329</v>
      </c>
      <c r="C208" s="19" t="s">
        <v>287</v>
      </c>
      <c r="D208" s="18">
        <v>91094892</v>
      </c>
      <c r="E208" s="18">
        <v>76034276</v>
      </c>
      <c r="F208" s="18"/>
      <c r="G208" s="18"/>
      <c r="H208" s="18"/>
      <c r="I208" s="18"/>
      <c r="J208" s="19" t="s">
        <v>16</v>
      </c>
      <c r="K208" s="21" t="s">
        <v>64</v>
      </c>
      <c r="L208" s="22"/>
      <c r="M208" s="21"/>
      <c r="N208" s="18"/>
      <c r="O208" s="22"/>
      <c r="P208" s="19" t="s">
        <v>39</v>
      </c>
      <c r="Q208" s="19" t="s">
        <v>25</v>
      </c>
      <c r="R208" s="22">
        <v>45672</v>
      </c>
      <c r="S208" s="19">
        <f t="shared" si="6"/>
        <v>1</v>
      </c>
    </row>
    <row r="209" spans="1:19" ht="14.25" customHeight="1" x14ac:dyDescent="0.3">
      <c r="A209" s="17">
        <f t="shared" si="7"/>
        <v>208</v>
      </c>
      <c r="B209" s="18">
        <v>75952436</v>
      </c>
      <c r="C209" s="19" t="s">
        <v>288</v>
      </c>
      <c r="D209" s="18">
        <v>91270347</v>
      </c>
      <c r="E209" s="18">
        <v>76170597</v>
      </c>
      <c r="F209" s="18"/>
      <c r="G209" s="18"/>
      <c r="H209" s="18"/>
      <c r="I209" s="18"/>
      <c r="J209" s="19" t="s">
        <v>16</v>
      </c>
      <c r="K209" s="21" t="s">
        <v>64</v>
      </c>
      <c r="L209" s="22"/>
      <c r="M209" s="21"/>
      <c r="N209" s="18"/>
      <c r="O209" s="22"/>
      <c r="P209" s="19" t="s">
        <v>49</v>
      </c>
      <c r="Q209" s="19" t="s">
        <v>50</v>
      </c>
      <c r="R209" s="22">
        <v>45691</v>
      </c>
      <c r="S209" s="19">
        <f t="shared" si="6"/>
        <v>2</v>
      </c>
    </row>
    <row r="210" spans="1:19" ht="14.25" customHeight="1" x14ac:dyDescent="0.3">
      <c r="A210" s="17">
        <f t="shared" si="7"/>
        <v>209</v>
      </c>
      <c r="B210" s="18">
        <v>6608583</v>
      </c>
      <c r="C210" s="19" t="s">
        <v>289</v>
      </c>
      <c r="D210" s="18">
        <v>91087716</v>
      </c>
      <c r="E210" s="18">
        <v>76004878</v>
      </c>
      <c r="F210" s="18"/>
      <c r="G210" s="18"/>
      <c r="H210" s="18"/>
      <c r="I210" s="18"/>
      <c r="J210" s="19" t="s">
        <v>16</v>
      </c>
      <c r="K210" s="21" t="s">
        <v>64</v>
      </c>
      <c r="L210" s="22"/>
      <c r="M210" s="21"/>
      <c r="N210" s="18"/>
      <c r="O210" s="22"/>
      <c r="P210" s="19" t="s">
        <v>49</v>
      </c>
      <c r="Q210" s="19" t="s">
        <v>34</v>
      </c>
      <c r="R210" s="22">
        <v>45677</v>
      </c>
      <c r="S210" s="19">
        <f t="shared" si="6"/>
        <v>1</v>
      </c>
    </row>
    <row r="211" spans="1:19" ht="14.25" customHeight="1" x14ac:dyDescent="0.3">
      <c r="A211" s="17">
        <f t="shared" si="7"/>
        <v>210</v>
      </c>
      <c r="B211" s="18">
        <v>73598722</v>
      </c>
      <c r="C211" s="19" t="s">
        <v>290</v>
      </c>
      <c r="D211" s="18">
        <v>91339844</v>
      </c>
      <c r="E211" s="18">
        <v>76230701</v>
      </c>
      <c r="F211" s="18"/>
      <c r="G211" s="18"/>
      <c r="H211" s="18"/>
      <c r="I211" s="18"/>
      <c r="J211" s="19" t="s">
        <v>16</v>
      </c>
      <c r="K211" s="21" t="s">
        <v>64</v>
      </c>
      <c r="L211" s="22"/>
      <c r="M211" s="21"/>
      <c r="N211" s="18"/>
      <c r="O211" s="22"/>
      <c r="P211" s="19" t="s">
        <v>49</v>
      </c>
      <c r="Q211" s="19" t="s">
        <v>25</v>
      </c>
      <c r="R211" s="22">
        <v>45693</v>
      </c>
      <c r="S211" s="19">
        <f t="shared" si="6"/>
        <v>2</v>
      </c>
    </row>
    <row r="212" spans="1:19" ht="14.25" customHeight="1" x14ac:dyDescent="0.3">
      <c r="A212" s="17">
        <f t="shared" si="7"/>
        <v>211</v>
      </c>
      <c r="B212" s="18">
        <v>10315631</v>
      </c>
      <c r="C212" s="19" t="s">
        <v>286</v>
      </c>
      <c r="D212" s="18">
        <v>91365366</v>
      </c>
      <c r="E212" s="18">
        <v>76247007</v>
      </c>
      <c r="F212" s="18"/>
      <c r="G212" s="18"/>
      <c r="H212" s="18"/>
      <c r="I212" s="18"/>
      <c r="J212" s="19" t="s">
        <v>16</v>
      </c>
      <c r="K212" s="21" t="s">
        <v>64</v>
      </c>
      <c r="L212" s="22" t="s">
        <v>0</v>
      </c>
      <c r="M212" s="21"/>
      <c r="N212" s="18"/>
      <c r="O212" s="22"/>
      <c r="P212" s="19" t="s">
        <v>49</v>
      </c>
      <c r="Q212" s="19" t="s">
        <v>51</v>
      </c>
      <c r="R212" s="22">
        <v>45691</v>
      </c>
      <c r="S212" s="19">
        <f t="shared" si="6"/>
        <v>2</v>
      </c>
    </row>
    <row r="213" spans="1:19" ht="14.25" customHeight="1" x14ac:dyDescent="0.3">
      <c r="A213" s="17">
        <f t="shared" si="7"/>
        <v>212</v>
      </c>
      <c r="B213" s="18">
        <v>47626930</v>
      </c>
      <c r="C213" s="19" t="s">
        <v>291</v>
      </c>
      <c r="D213" s="18">
        <v>91264654</v>
      </c>
      <c r="E213" s="18">
        <v>76168546</v>
      </c>
      <c r="F213" s="18"/>
      <c r="G213" s="18"/>
      <c r="H213" s="18"/>
      <c r="I213" s="18"/>
      <c r="J213" s="19" t="s">
        <v>16</v>
      </c>
      <c r="K213" s="21" t="s">
        <v>64</v>
      </c>
      <c r="L213" s="22"/>
      <c r="M213" s="21"/>
      <c r="N213" s="18"/>
      <c r="O213" s="22"/>
      <c r="P213" s="19" t="s">
        <v>49</v>
      </c>
      <c r="Q213" s="19"/>
      <c r="R213" s="22">
        <v>45682</v>
      </c>
      <c r="S213" s="19">
        <f t="shared" si="6"/>
        <v>1</v>
      </c>
    </row>
    <row r="214" spans="1:19" ht="14.25" customHeight="1" x14ac:dyDescent="0.3">
      <c r="A214" s="17">
        <f t="shared" si="7"/>
        <v>213</v>
      </c>
      <c r="B214" s="18">
        <v>20073057</v>
      </c>
      <c r="C214" s="19" t="s">
        <v>292</v>
      </c>
      <c r="D214" s="18">
        <v>91351219</v>
      </c>
      <c r="E214" s="18">
        <v>76235122</v>
      </c>
      <c r="F214" s="18"/>
      <c r="G214" s="18"/>
      <c r="H214" s="18"/>
      <c r="I214" s="18"/>
      <c r="J214" s="19" t="s">
        <v>16</v>
      </c>
      <c r="K214" s="21" t="s">
        <v>64</v>
      </c>
      <c r="L214" s="22"/>
      <c r="M214" s="21"/>
      <c r="N214" s="18"/>
      <c r="O214" s="22"/>
      <c r="P214" s="19" t="s">
        <v>49</v>
      </c>
      <c r="Q214" s="19" t="s">
        <v>51</v>
      </c>
      <c r="R214" s="22">
        <v>45693</v>
      </c>
      <c r="S214" s="19">
        <f t="shared" si="6"/>
        <v>2</v>
      </c>
    </row>
    <row r="215" spans="1:19" ht="14.25" customHeight="1" x14ac:dyDescent="0.3">
      <c r="A215" s="17">
        <f t="shared" si="7"/>
        <v>214</v>
      </c>
      <c r="B215" s="18">
        <v>40239695</v>
      </c>
      <c r="C215" s="19" t="s">
        <v>293</v>
      </c>
      <c r="D215" s="18">
        <v>91443321</v>
      </c>
      <c r="E215" s="18">
        <v>76290117</v>
      </c>
      <c r="F215" s="18"/>
      <c r="G215" s="18"/>
      <c r="H215" s="18"/>
      <c r="I215" s="18"/>
      <c r="J215" s="19" t="s">
        <v>16</v>
      </c>
      <c r="K215" s="21" t="s">
        <v>64</v>
      </c>
      <c r="L215" s="22"/>
      <c r="M215" s="21"/>
      <c r="N215" s="18"/>
      <c r="O215" s="22"/>
      <c r="P215" s="19" t="s">
        <v>49</v>
      </c>
      <c r="Q215" s="19" t="s">
        <v>53</v>
      </c>
      <c r="R215" s="22">
        <v>45696</v>
      </c>
      <c r="S215" s="19">
        <f t="shared" si="6"/>
        <v>2</v>
      </c>
    </row>
    <row r="216" spans="1:19" ht="14.25" customHeight="1" x14ac:dyDescent="0.3">
      <c r="A216" s="17">
        <f t="shared" si="7"/>
        <v>215</v>
      </c>
      <c r="B216" s="18">
        <v>47127988</v>
      </c>
      <c r="C216" s="19" t="s">
        <v>294</v>
      </c>
      <c r="D216" s="18">
        <v>90895731</v>
      </c>
      <c r="E216" s="18">
        <v>75890597</v>
      </c>
      <c r="F216" s="18"/>
      <c r="G216" s="18"/>
      <c r="H216" s="18"/>
      <c r="I216" s="18"/>
      <c r="J216" s="19" t="s">
        <v>16</v>
      </c>
      <c r="K216" s="21" t="s">
        <v>64</v>
      </c>
      <c r="L216" s="22"/>
      <c r="M216" s="21"/>
      <c r="N216" s="18"/>
      <c r="O216" s="22"/>
      <c r="P216" s="19" t="s">
        <v>49</v>
      </c>
      <c r="Q216" s="19" t="s">
        <v>25</v>
      </c>
      <c r="R216" s="22">
        <v>45678</v>
      </c>
      <c r="S216" s="19">
        <f t="shared" si="6"/>
        <v>1</v>
      </c>
    </row>
    <row r="217" spans="1:19" ht="14.25" customHeight="1" x14ac:dyDescent="0.3">
      <c r="A217" s="17">
        <f t="shared" si="7"/>
        <v>216</v>
      </c>
      <c r="B217" s="18">
        <v>45442751</v>
      </c>
      <c r="C217" s="19" t="s">
        <v>295</v>
      </c>
      <c r="D217" s="18">
        <v>91519574</v>
      </c>
      <c r="E217" s="18">
        <v>76350323</v>
      </c>
      <c r="F217" s="18"/>
      <c r="G217" s="18"/>
      <c r="H217" s="18"/>
      <c r="I217" s="18"/>
      <c r="J217" s="19" t="s">
        <v>16</v>
      </c>
      <c r="K217" s="21" t="s">
        <v>64</v>
      </c>
      <c r="L217" s="22"/>
      <c r="M217" s="21"/>
      <c r="N217" s="18"/>
      <c r="O217" s="22"/>
      <c r="P217" s="19" t="s">
        <v>49</v>
      </c>
      <c r="Q217" s="19" t="s">
        <v>52</v>
      </c>
      <c r="R217" s="22">
        <v>45692</v>
      </c>
      <c r="S217" s="19">
        <f t="shared" si="6"/>
        <v>2</v>
      </c>
    </row>
    <row r="218" spans="1:19" ht="14.25" customHeight="1" x14ac:dyDescent="0.3">
      <c r="A218" s="17">
        <f t="shared" si="7"/>
        <v>217</v>
      </c>
      <c r="B218" s="18">
        <v>16670706</v>
      </c>
      <c r="C218" s="19" t="s">
        <v>296</v>
      </c>
      <c r="D218" s="18">
        <v>91371375</v>
      </c>
      <c r="E218" s="18">
        <v>76249674</v>
      </c>
      <c r="F218" s="18"/>
      <c r="G218" s="18"/>
      <c r="H218" s="18"/>
      <c r="I218" s="18"/>
      <c r="J218" s="19" t="s">
        <v>16</v>
      </c>
      <c r="K218" s="21" t="s">
        <v>64</v>
      </c>
      <c r="L218" s="22"/>
      <c r="M218" s="21"/>
      <c r="N218" s="18"/>
      <c r="O218" s="22"/>
      <c r="P218" s="19" t="s">
        <v>49</v>
      </c>
      <c r="Q218" s="19" t="s">
        <v>25</v>
      </c>
      <c r="R218" s="22">
        <v>45693</v>
      </c>
      <c r="S218" s="19">
        <f t="shared" si="6"/>
        <v>2</v>
      </c>
    </row>
    <row r="219" spans="1:19" ht="14.25" customHeight="1" x14ac:dyDescent="0.3">
      <c r="A219" s="17">
        <f t="shared" si="7"/>
        <v>218</v>
      </c>
      <c r="B219" s="18">
        <v>76130413</v>
      </c>
      <c r="C219" s="19" t="s">
        <v>297</v>
      </c>
      <c r="D219" s="18">
        <v>91540776</v>
      </c>
      <c r="E219" s="18">
        <v>76359574</v>
      </c>
      <c r="F219" s="18"/>
      <c r="G219" s="18"/>
      <c r="H219" s="18"/>
      <c r="I219" s="18"/>
      <c r="J219" s="19" t="s">
        <v>16</v>
      </c>
      <c r="K219" s="21" t="s">
        <v>64</v>
      </c>
      <c r="L219" s="22"/>
      <c r="M219" s="21"/>
      <c r="N219" s="18"/>
      <c r="O219" s="22"/>
      <c r="P219" s="19" t="s">
        <v>49</v>
      </c>
      <c r="Q219" s="19" t="s">
        <v>34</v>
      </c>
      <c r="R219" s="22">
        <v>45699</v>
      </c>
      <c r="S219" s="19">
        <f t="shared" si="6"/>
        <v>2</v>
      </c>
    </row>
    <row r="220" spans="1:19" ht="14.25" customHeight="1" x14ac:dyDescent="0.3">
      <c r="A220" s="17">
        <f t="shared" si="7"/>
        <v>219</v>
      </c>
      <c r="B220" s="18">
        <v>46603012</v>
      </c>
      <c r="C220" s="19" t="s">
        <v>298</v>
      </c>
      <c r="D220" s="18">
        <v>91707022</v>
      </c>
      <c r="E220" s="18">
        <v>76468562</v>
      </c>
      <c r="F220" s="18"/>
      <c r="G220" s="18"/>
      <c r="H220" s="18"/>
      <c r="I220" s="18"/>
      <c r="J220" s="19" t="s">
        <v>16</v>
      </c>
      <c r="K220" s="21" t="s">
        <v>64</v>
      </c>
      <c r="L220" s="22"/>
      <c r="M220" s="21"/>
      <c r="N220" s="18"/>
      <c r="O220" s="22"/>
      <c r="P220" s="19" t="s">
        <v>49</v>
      </c>
      <c r="Q220" s="19" t="s">
        <v>25</v>
      </c>
      <c r="R220" s="22">
        <v>45705</v>
      </c>
      <c r="S220" s="19">
        <f t="shared" si="6"/>
        <v>2</v>
      </c>
    </row>
    <row r="221" spans="1:19" ht="14.25" customHeight="1" x14ac:dyDescent="0.3">
      <c r="A221" s="17">
        <f t="shared" si="7"/>
        <v>220</v>
      </c>
      <c r="B221" s="18">
        <v>43104226</v>
      </c>
      <c r="C221" s="19" t="s">
        <v>299</v>
      </c>
      <c r="D221" s="18">
        <v>91626345</v>
      </c>
      <c r="E221" s="18">
        <v>76425338</v>
      </c>
      <c r="F221" s="18"/>
      <c r="G221" s="18"/>
      <c r="H221" s="18"/>
      <c r="I221" s="18"/>
      <c r="J221" s="19" t="s">
        <v>16</v>
      </c>
      <c r="K221" s="21" t="s">
        <v>64</v>
      </c>
      <c r="L221" s="22"/>
      <c r="M221" s="21"/>
      <c r="N221" s="18"/>
      <c r="O221" s="22"/>
      <c r="P221" s="19" t="s">
        <v>49</v>
      </c>
      <c r="Q221" s="19" t="s">
        <v>34</v>
      </c>
      <c r="R221" s="22">
        <v>45702</v>
      </c>
      <c r="S221" s="19">
        <f t="shared" si="6"/>
        <v>2</v>
      </c>
    </row>
    <row r="222" spans="1:19" ht="14.25" customHeight="1" x14ac:dyDescent="0.3">
      <c r="A222" s="17">
        <f t="shared" si="7"/>
        <v>221</v>
      </c>
      <c r="B222" s="18">
        <v>42839800</v>
      </c>
      <c r="C222" s="19" t="s">
        <v>300</v>
      </c>
      <c r="D222" s="18">
        <v>91590276</v>
      </c>
      <c r="E222" s="18">
        <v>76398171</v>
      </c>
      <c r="F222" s="18"/>
      <c r="G222" s="18"/>
      <c r="H222" s="18"/>
      <c r="I222" s="18"/>
      <c r="J222" s="19" t="s">
        <v>16</v>
      </c>
      <c r="K222" s="21" t="s">
        <v>64</v>
      </c>
      <c r="L222" s="22"/>
      <c r="M222" s="21"/>
      <c r="N222" s="18"/>
      <c r="O222" s="22"/>
      <c r="P222" s="19" t="s">
        <v>49</v>
      </c>
      <c r="Q222" s="19" t="s">
        <v>28</v>
      </c>
      <c r="R222" s="22">
        <v>45701</v>
      </c>
      <c r="S222" s="19">
        <f t="shared" si="6"/>
        <v>2</v>
      </c>
    </row>
    <row r="223" spans="1:19" ht="14.25" customHeight="1" x14ac:dyDescent="0.3">
      <c r="A223" s="17">
        <f t="shared" si="7"/>
        <v>222</v>
      </c>
      <c r="B223" s="18">
        <v>25646605</v>
      </c>
      <c r="C223" s="19" t="s">
        <v>301</v>
      </c>
      <c r="D223" s="18">
        <v>91508185</v>
      </c>
      <c r="E223" s="18">
        <v>76349867</v>
      </c>
      <c r="F223" s="18"/>
      <c r="G223" s="18"/>
      <c r="H223" s="18"/>
      <c r="I223" s="18"/>
      <c r="J223" s="19" t="s">
        <v>16</v>
      </c>
      <c r="K223" s="21" t="s">
        <v>64</v>
      </c>
      <c r="L223" s="22"/>
      <c r="M223" s="21"/>
      <c r="N223" s="18"/>
      <c r="O223" s="22"/>
      <c r="P223" s="19" t="s">
        <v>49</v>
      </c>
      <c r="Q223" s="19" t="s">
        <v>25</v>
      </c>
      <c r="R223" s="22">
        <v>45698</v>
      </c>
      <c r="S223" s="19">
        <f t="shared" si="6"/>
        <v>2</v>
      </c>
    </row>
    <row r="224" spans="1:19" ht="14.25" customHeight="1" x14ac:dyDescent="0.3">
      <c r="A224" s="17">
        <f t="shared" si="7"/>
        <v>223</v>
      </c>
      <c r="B224" s="18">
        <v>46748712</v>
      </c>
      <c r="C224" s="19" t="s">
        <v>60</v>
      </c>
      <c r="D224" s="18">
        <v>91307155</v>
      </c>
      <c r="E224" s="18">
        <v>76206806</v>
      </c>
      <c r="F224" s="18"/>
      <c r="G224" s="18"/>
      <c r="H224" s="18"/>
      <c r="I224" s="18"/>
      <c r="J224" s="19" t="s">
        <v>16</v>
      </c>
      <c r="K224" s="21" t="s">
        <v>64</v>
      </c>
      <c r="L224" s="22"/>
      <c r="M224" s="21"/>
      <c r="N224" s="18"/>
      <c r="O224" s="22"/>
      <c r="P224" s="19" t="s">
        <v>49</v>
      </c>
      <c r="Q224" s="19" t="s">
        <v>34</v>
      </c>
      <c r="R224" s="22">
        <v>45692</v>
      </c>
      <c r="S224" s="19">
        <f t="shared" si="6"/>
        <v>2</v>
      </c>
    </row>
    <row r="225" spans="1:19" ht="14.25" customHeight="1" x14ac:dyDescent="0.3">
      <c r="A225" s="17">
        <f t="shared" si="7"/>
        <v>224</v>
      </c>
      <c r="B225" s="18">
        <v>46332962</v>
      </c>
      <c r="C225" s="19" t="s">
        <v>302</v>
      </c>
      <c r="D225" s="18">
        <v>91381933</v>
      </c>
      <c r="E225" s="18">
        <v>76255266</v>
      </c>
      <c r="F225" s="18"/>
      <c r="G225" s="18"/>
      <c r="H225" s="18"/>
      <c r="I225" s="18"/>
      <c r="J225" s="19" t="s">
        <v>16</v>
      </c>
      <c r="K225" s="21" t="s">
        <v>64</v>
      </c>
      <c r="L225" s="22"/>
      <c r="M225" s="21"/>
      <c r="N225" s="18"/>
      <c r="O225" s="22"/>
      <c r="P225" s="19" t="s">
        <v>49</v>
      </c>
      <c r="Q225" s="19" t="s">
        <v>50</v>
      </c>
      <c r="R225" s="22">
        <v>45694</v>
      </c>
      <c r="S225" s="19">
        <f t="shared" si="6"/>
        <v>2</v>
      </c>
    </row>
    <row r="226" spans="1:19" ht="14.25" customHeight="1" x14ac:dyDescent="0.3">
      <c r="A226" s="17">
        <f t="shared" si="7"/>
        <v>225</v>
      </c>
      <c r="B226" s="18">
        <v>44273146</v>
      </c>
      <c r="C226" s="19" t="s">
        <v>303</v>
      </c>
      <c r="D226" s="18">
        <v>91372520</v>
      </c>
      <c r="E226" s="18">
        <v>76250827</v>
      </c>
      <c r="F226" s="18"/>
      <c r="G226" s="18"/>
      <c r="H226" s="18"/>
      <c r="I226" s="18"/>
      <c r="J226" s="19" t="s">
        <v>16</v>
      </c>
      <c r="K226" s="21" t="s">
        <v>64</v>
      </c>
      <c r="L226" s="22"/>
      <c r="M226" s="21"/>
      <c r="N226" s="18"/>
      <c r="O226" s="22"/>
      <c r="P226" s="19" t="s">
        <v>49</v>
      </c>
      <c r="Q226" s="19" t="s">
        <v>51</v>
      </c>
      <c r="R226" s="22">
        <v>45694</v>
      </c>
      <c r="S226" s="19">
        <f t="shared" si="6"/>
        <v>2</v>
      </c>
    </row>
    <row r="227" spans="1:19" ht="14.25" customHeight="1" x14ac:dyDescent="0.3">
      <c r="A227" s="17">
        <f t="shared" si="7"/>
        <v>226</v>
      </c>
      <c r="B227" s="18">
        <v>73749015</v>
      </c>
      <c r="C227" s="19" t="s">
        <v>304</v>
      </c>
      <c r="D227" s="18">
        <v>91793501</v>
      </c>
      <c r="E227" s="18">
        <v>76524514</v>
      </c>
      <c r="F227" s="18"/>
      <c r="G227" s="18"/>
      <c r="H227" s="18"/>
      <c r="I227" s="18"/>
      <c r="J227" s="19" t="s">
        <v>16</v>
      </c>
      <c r="K227" s="21" t="s">
        <v>64</v>
      </c>
      <c r="L227" s="22"/>
      <c r="M227" s="21"/>
      <c r="N227" s="18"/>
      <c r="O227" s="22"/>
      <c r="P227" s="19" t="s">
        <v>49</v>
      </c>
      <c r="Q227" s="19" t="s">
        <v>58</v>
      </c>
      <c r="R227" s="22">
        <v>45707</v>
      </c>
      <c r="S227" s="19">
        <f t="shared" si="6"/>
        <v>2</v>
      </c>
    </row>
    <row r="228" spans="1:19" ht="14.25" customHeight="1" x14ac:dyDescent="0.3">
      <c r="A228" s="17">
        <f t="shared" si="7"/>
        <v>227</v>
      </c>
      <c r="B228" s="18">
        <v>32910972</v>
      </c>
      <c r="C228" s="19" t="s">
        <v>272</v>
      </c>
      <c r="D228" s="18">
        <v>91420161</v>
      </c>
      <c r="E228" s="18">
        <v>76278805</v>
      </c>
      <c r="F228" s="18"/>
      <c r="G228" s="18"/>
      <c r="H228" s="18"/>
      <c r="I228" s="18"/>
      <c r="J228" s="19" t="s">
        <v>16</v>
      </c>
      <c r="K228" s="21" t="s">
        <v>64</v>
      </c>
      <c r="L228" s="22"/>
      <c r="M228" s="21"/>
      <c r="N228" s="18"/>
      <c r="O228" s="22"/>
      <c r="P228" s="19" t="s">
        <v>49</v>
      </c>
      <c r="Q228" s="19" t="s">
        <v>25</v>
      </c>
      <c r="R228" s="22">
        <v>45695</v>
      </c>
      <c r="S228" s="19">
        <f t="shared" si="6"/>
        <v>2</v>
      </c>
    </row>
    <row r="229" spans="1:19" ht="14.25" customHeight="1" x14ac:dyDescent="0.3">
      <c r="A229" s="17">
        <f t="shared" si="7"/>
        <v>228</v>
      </c>
      <c r="B229" s="18">
        <v>72702888</v>
      </c>
      <c r="C229" s="19" t="s">
        <v>305</v>
      </c>
      <c r="D229" s="18">
        <v>91607001</v>
      </c>
      <c r="E229" s="18">
        <v>76405285</v>
      </c>
      <c r="F229" s="18"/>
      <c r="G229" s="18"/>
      <c r="H229" s="18"/>
      <c r="I229" s="18"/>
      <c r="J229" s="19" t="s">
        <v>16</v>
      </c>
      <c r="K229" s="21" t="s">
        <v>64</v>
      </c>
      <c r="L229" s="22"/>
      <c r="M229" s="21"/>
      <c r="N229" s="18"/>
      <c r="O229" s="22"/>
      <c r="P229" s="19" t="s">
        <v>49</v>
      </c>
      <c r="Q229" s="19" t="s">
        <v>54</v>
      </c>
      <c r="R229" s="22">
        <v>45701</v>
      </c>
      <c r="S229" s="19">
        <f t="shared" si="6"/>
        <v>2</v>
      </c>
    </row>
    <row r="230" spans="1:19" ht="14.25" customHeight="1" x14ac:dyDescent="0.3">
      <c r="A230" s="17">
        <f t="shared" si="7"/>
        <v>229</v>
      </c>
      <c r="B230" s="18">
        <v>6117207</v>
      </c>
      <c r="C230" s="19" t="s">
        <v>306</v>
      </c>
      <c r="D230" s="18">
        <v>91765935</v>
      </c>
      <c r="E230" s="18">
        <v>76506801</v>
      </c>
      <c r="F230" s="18"/>
      <c r="G230" s="18"/>
      <c r="H230" s="18"/>
      <c r="I230" s="18"/>
      <c r="J230" s="19" t="s">
        <v>16</v>
      </c>
      <c r="K230" s="21" t="s">
        <v>64</v>
      </c>
      <c r="L230" s="22"/>
      <c r="M230" s="21"/>
      <c r="N230" s="18"/>
      <c r="O230" s="22"/>
      <c r="P230" s="19" t="s">
        <v>49</v>
      </c>
      <c r="Q230" s="19" t="s">
        <v>51</v>
      </c>
      <c r="R230" s="22">
        <v>45706</v>
      </c>
      <c r="S230" s="19">
        <f t="shared" si="6"/>
        <v>2</v>
      </c>
    </row>
    <row r="231" spans="1:19" ht="14.25" customHeight="1" x14ac:dyDescent="0.3">
      <c r="A231" s="17">
        <f t="shared" si="7"/>
        <v>230</v>
      </c>
      <c r="B231" s="18">
        <v>42839800</v>
      </c>
      <c r="C231" s="19" t="s">
        <v>300</v>
      </c>
      <c r="D231" s="18">
        <v>91833087</v>
      </c>
      <c r="E231" s="18">
        <v>76550881</v>
      </c>
      <c r="F231" s="18"/>
      <c r="G231" s="18"/>
      <c r="H231" s="18"/>
      <c r="I231" s="18"/>
      <c r="J231" s="19" t="s">
        <v>16</v>
      </c>
      <c r="K231" s="21" t="s">
        <v>64</v>
      </c>
      <c r="L231" s="22"/>
      <c r="M231" s="21"/>
      <c r="N231" s="18"/>
      <c r="O231" s="22"/>
      <c r="P231" s="19" t="s">
        <v>49</v>
      </c>
      <c r="Q231" s="19" t="s">
        <v>28</v>
      </c>
      <c r="R231" s="22">
        <v>45708</v>
      </c>
      <c r="S231" s="19">
        <f t="shared" si="6"/>
        <v>2</v>
      </c>
    </row>
    <row r="232" spans="1:19" ht="14.25" customHeight="1" x14ac:dyDescent="0.3">
      <c r="A232" s="17">
        <f t="shared" si="7"/>
        <v>231</v>
      </c>
      <c r="B232" s="18">
        <v>9546685</v>
      </c>
      <c r="C232" s="19" t="s">
        <v>307</v>
      </c>
      <c r="D232" s="18">
        <v>91637052</v>
      </c>
      <c r="E232" s="18">
        <v>76430089</v>
      </c>
      <c r="F232" s="18"/>
      <c r="G232" s="18"/>
      <c r="H232" s="18"/>
      <c r="I232" s="18"/>
      <c r="J232" s="19" t="s">
        <v>16</v>
      </c>
      <c r="K232" s="21" t="s">
        <v>64</v>
      </c>
      <c r="L232" s="22"/>
      <c r="M232" s="21"/>
      <c r="N232" s="18"/>
      <c r="O232" s="22"/>
      <c r="P232" s="19" t="s">
        <v>49</v>
      </c>
      <c r="Q232" s="19" t="s">
        <v>28</v>
      </c>
      <c r="R232" s="22">
        <v>45702</v>
      </c>
      <c r="S232" s="19">
        <f t="shared" si="6"/>
        <v>2</v>
      </c>
    </row>
    <row r="233" spans="1:19" ht="14.25" customHeight="1" x14ac:dyDescent="0.3">
      <c r="A233" s="17">
        <f t="shared" si="7"/>
        <v>232</v>
      </c>
      <c r="B233" s="18">
        <v>60752186</v>
      </c>
      <c r="C233" s="19" t="s">
        <v>308</v>
      </c>
      <c r="D233" s="18">
        <v>91755028</v>
      </c>
      <c r="E233" s="18">
        <v>76501665</v>
      </c>
      <c r="F233" s="18"/>
      <c r="G233" s="18"/>
      <c r="H233" s="18"/>
      <c r="I233" s="18"/>
      <c r="J233" s="19" t="s">
        <v>16</v>
      </c>
      <c r="K233" s="21" t="s">
        <v>64</v>
      </c>
      <c r="L233" s="22"/>
      <c r="M233" s="21"/>
      <c r="N233" s="18"/>
      <c r="O233" s="22"/>
      <c r="P233" s="19" t="s">
        <v>49</v>
      </c>
      <c r="Q233" s="19" t="s">
        <v>25</v>
      </c>
      <c r="R233" s="22">
        <v>45706</v>
      </c>
      <c r="S233" s="19">
        <f t="shared" si="6"/>
        <v>2</v>
      </c>
    </row>
    <row r="234" spans="1:19" ht="14.25" customHeight="1" x14ac:dyDescent="0.3">
      <c r="A234" s="17">
        <f t="shared" si="7"/>
        <v>233</v>
      </c>
      <c r="B234" s="18">
        <v>75171681</v>
      </c>
      <c r="C234" s="19" t="s">
        <v>309</v>
      </c>
      <c r="D234" s="18">
        <v>91812124</v>
      </c>
      <c r="E234" s="18">
        <v>76542058</v>
      </c>
      <c r="F234" s="18"/>
      <c r="G234" s="18"/>
      <c r="H234" s="18"/>
      <c r="I234" s="18"/>
      <c r="J234" s="19" t="s">
        <v>16</v>
      </c>
      <c r="K234" s="21" t="s">
        <v>64</v>
      </c>
      <c r="L234" s="22"/>
      <c r="M234" s="21"/>
      <c r="N234" s="18"/>
      <c r="O234" s="22"/>
      <c r="P234" s="19" t="s">
        <v>49</v>
      </c>
      <c r="Q234" s="19" t="s">
        <v>50</v>
      </c>
      <c r="R234" s="22">
        <v>45708</v>
      </c>
      <c r="S234" s="19">
        <f t="shared" si="6"/>
        <v>2</v>
      </c>
    </row>
    <row r="235" spans="1:19" ht="14.25" customHeight="1" x14ac:dyDescent="0.3">
      <c r="A235" s="17">
        <f t="shared" si="7"/>
        <v>234</v>
      </c>
      <c r="B235" s="18">
        <v>29445024</v>
      </c>
      <c r="C235" s="19" t="s">
        <v>310</v>
      </c>
      <c r="D235" s="18">
        <v>91829022</v>
      </c>
      <c r="E235" s="18">
        <v>76549197</v>
      </c>
      <c r="F235" s="18"/>
      <c r="G235" s="18"/>
      <c r="H235" s="18"/>
      <c r="I235" s="18"/>
      <c r="J235" s="19" t="s">
        <v>16</v>
      </c>
      <c r="K235" s="21" t="s">
        <v>64</v>
      </c>
      <c r="L235" s="22"/>
      <c r="M235" s="21"/>
      <c r="N235" s="18"/>
      <c r="O235" s="22"/>
      <c r="P235" s="19" t="s">
        <v>49</v>
      </c>
      <c r="Q235" s="19" t="s">
        <v>58</v>
      </c>
      <c r="R235" s="22">
        <v>45708</v>
      </c>
      <c r="S235" s="19">
        <f t="shared" si="6"/>
        <v>2</v>
      </c>
    </row>
    <row r="236" spans="1:19" ht="14.25" customHeight="1" x14ac:dyDescent="0.3">
      <c r="A236" s="17">
        <f t="shared" si="7"/>
        <v>235</v>
      </c>
      <c r="B236" s="18">
        <v>75877412</v>
      </c>
      <c r="C236" s="19" t="s">
        <v>311</v>
      </c>
      <c r="D236" s="18">
        <v>91867771</v>
      </c>
      <c r="E236" s="18">
        <v>76573507</v>
      </c>
      <c r="F236" s="18"/>
      <c r="G236" s="18"/>
      <c r="H236" s="18"/>
      <c r="I236" s="18"/>
      <c r="J236" s="19" t="s">
        <v>16</v>
      </c>
      <c r="K236" s="21" t="s">
        <v>64</v>
      </c>
      <c r="L236" s="22"/>
      <c r="M236" s="21"/>
      <c r="N236" s="18"/>
      <c r="O236" s="22"/>
      <c r="P236" s="19" t="s">
        <v>49</v>
      </c>
      <c r="Q236" s="19" t="s">
        <v>54</v>
      </c>
      <c r="R236" s="22">
        <v>45709</v>
      </c>
      <c r="S236" s="19">
        <f t="shared" si="6"/>
        <v>2</v>
      </c>
    </row>
    <row r="237" spans="1:19" ht="14.25" customHeight="1" x14ac:dyDescent="0.3">
      <c r="A237" s="17">
        <f t="shared" si="7"/>
        <v>236</v>
      </c>
      <c r="B237" s="18">
        <v>48425439</v>
      </c>
      <c r="C237" s="19" t="s">
        <v>312</v>
      </c>
      <c r="D237" s="18">
        <v>91879557</v>
      </c>
      <c r="E237" s="18">
        <v>76580074</v>
      </c>
      <c r="F237" s="18"/>
      <c r="G237" s="18"/>
      <c r="H237" s="18"/>
      <c r="I237" s="18"/>
      <c r="J237" s="19" t="s">
        <v>16</v>
      </c>
      <c r="K237" s="21" t="s">
        <v>64</v>
      </c>
      <c r="L237" s="22"/>
      <c r="M237" s="21"/>
      <c r="N237" s="18"/>
      <c r="O237" s="22"/>
      <c r="P237" s="19" t="s">
        <v>49</v>
      </c>
      <c r="Q237" s="19" t="s">
        <v>34</v>
      </c>
      <c r="R237" s="22">
        <v>45710</v>
      </c>
      <c r="S237" s="19">
        <f t="shared" si="6"/>
        <v>2</v>
      </c>
    </row>
    <row r="238" spans="1:19" ht="14.25" customHeight="1" x14ac:dyDescent="0.3">
      <c r="A238" s="17">
        <f t="shared" si="7"/>
        <v>237</v>
      </c>
      <c r="B238" s="18">
        <v>70372419</v>
      </c>
      <c r="C238" s="19" t="s">
        <v>313</v>
      </c>
      <c r="D238" s="18">
        <v>91945925</v>
      </c>
      <c r="E238" s="18">
        <v>76627152</v>
      </c>
      <c r="F238" s="18"/>
      <c r="G238" s="18"/>
      <c r="H238" s="18"/>
      <c r="I238" s="18"/>
      <c r="J238" s="19" t="s">
        <v>16</v>
      </c>
      <c r="K238" s="21" t="s">
        <v>64</v>
      </c>
      <c r="L238" s="22"/>
      <c r="M238" s="21"/>
      <c r="N238" s="18"/>
      <c r="O238" s="22"/>
      <c r="P238" s="19" t="s">
        <v>49</v>
      </c>
      <c r="Q238" s="19" t="s">
        <v>55</v>
      </c>
      <c r="R238" s="22">
        <v>45710</v>
      </c>
      <c r="S238" s="19">
        <f t="shared" si="6"/>
        <v>2</v>
      </c>
    </row>
    <row r="239" spans="1:19" ht="14.25" customHeight="1" x14ac:dyDescent="0.3">
      <c r="A239" s="17">
        <f t="shared" si="7"/>
        <v>238</v>
      </c>
      <c r="B239" s="18">
        <v>75808394</v>
      </c>
      <c r="C239" s="19" t="s">
        <v>314</v>
      </c>
      <c r="D239" s="18">
        <v>91964555</v>
      </c>
      <c r="E239" s="18">
        <v>76644956</v>
      </c>
      <c r="F239" s="18"/>
      <c r="G239" s="18"/>
      <c r="H239" s="18"/>
      <c r="I239" s="18"/>
      <c r="J239" s="19" t="s">
        <v>16</v>
      </c>
      <c r="K239" s="21" t="s">
        <v>64</v>
      </c>
      <c r="L239" s="22"/>
      <c r="M239" s="21"/>
      <c r="N239" s="18"/>
      <c r="O239" s="22"/>
      <c r="P239" s="19" t="s">
        <v>49</v>
      </c>
      <c r="Q239" s="19" t="s">
        <v>55</v>
      </c>
      <c r="R239" s="22">
        <v>45713</v>
      </c>
      <c r="S239" s="19">
        <f t="shared" si="6"/>
        <v>2</v>
      </c>
    </row>
    <row r="240" spans="1:19" ht="14.25" customHeight="1" x14ac:dyDescent="0.3">
      <c r="A240" s="17">
        <f t="shared" si="7"/>
        <v>239</v>
      </c>
      <c r="B240" s="18">
        <v>35920</v>
      </c>
      <c r="C240" s="19" t="s">
        <v>72</v>
      </c>
      <c r="D240" s="18">
        <v>92007761</v>
      </c>
      <c r="E240" s="18">
        <v>76670264</v>
      </c>
      <c r="F240" s="18"/>
      <c r="G240" s="18"/>
      <c r="H240" s="18"/>
      <c r="I240" s="18"/>
      <c r="J240" s="19" t="s">
        <v>16</v>
      </c>
      <c r="K240" s="21" t="s">
        <v>64</v>
      </c>
      <c r="L240" s="22"/>
      <c r="M240" s="21"/>
      <c r="N240" s="18"/>
      <c r="O240" s="22"/>
      <c r="P240" s="19" t="s">
        <v>49</v>
      </c>
      <c r="Q240" s="19" t="s">
        <v>34</v>
      </c>
      <c r="R240" s="22">
        <v>45714</v>
      </c>
      <c r="S240" s="19">
        <f t="shared" si="6"/>
        <v>2</v>
      </c>
    </row>
    <row r="241" spans="1:19" ht="14.25" customHeight="1" x14ac:dyDescent="0.3">
      <c r="A241" s="17">
        <f t="shared" si="7"/>
        <v>240</v>
      </c>
      <c r="B241" s="18">
        <v>70601482</v>
      </c>
      <c r="C241" s="19" t="s">
        <v>315</v>
      </c>
      <c r="D241" s="18">
        <v>91781798</v>
      </c>
      <c r="E241" s="18">
        <v>76520323</v>
      </c>
      <c r="F241" s="18"/>
      <c r="G241" s="18"/>
      <c r="H241" s="18"/>
      <c r="I241" s="18"/>
      <c r="J241" s="19" t="s">
        <v>16</v>
      </c>
      <c r="K241" s="21" t="s">
        <v>64</v>
      </c>
      <c r="L241" s="22"/>
      <c r="M241" s="21"/>
      <c r="N241" s="18"/>
      <c r="O241" s="22"/>
      <c r="P241" s="19" t="s">
        <v>49</v>
      </c>
      <c r="Q241" s="19" t="s">
        <v>28</v>
      </c>
      <c r="R241" s="22">
        <v>45707</v>
      </c>
      <c r="S241" s="19">
        <f t="shared" si="6"/>
        <v>2</v>
      </c>
    </row>
    <row r="242" spans="1:19" ht="14.25" customHeight="1" x14ac:dyDescent="0.3">
      <c r="A242" s="17">
        <f t="shared" si="7"/>
        <v>241</v>
      </c>
      <c r="B242" s="18">
        <v>41233321</v>
      </c>
      <c r="C242" s="19" t="s">
        <v>316</v>
      </c>
      <c r="D242" s="18">
        <v>91863563</v>
      </c>
      <c r="E242" s="18">
        <v>76571940</v>
      </c>
      <c r="F242" s="18"/>
      <c r="G242" s="18"/>
      <c r="H242" s="18"/>
      <c r="I242" s="18"/>
      <c r="J242" s="19" t="s">
        <v>16</v>
      </c>
      <c r="K242" s="21" t="s">
        <v>64</v>
      </c>
      <c r="L242" s="22"/>
      <c r="M242" s="21"/>
      <c r="N242" s="18"/>
      <c r="O242" s="22"/>
      <c r="P242" s="19" t="s">
        <v>49</v>
      </c>
      <c r="Q242" s="19" t="s">
        <v>58</v>
      </c>
      <c r="R242" s="22">
        <v>45709</v>
      </c>
      <c r="S242" s="19">
        <f t="shared" si="6"/>
        <v>2</v>
      </c>
    </row>
    <row r="243" spans="1:19" ht="14.25" customHeight="1" x14ac:dyDescent="0.3">
      <c r="A243" s="17">
        <f t="shared" si="7"/>
        <v>242</v>
      </c>
      <c r="B243" s="18">
        <v>80043433</v>
      </c>
      <c r="C243" s="19" t="s">
        <v>317</v>
      </c>
      <c r="D243" s="18">
        <v>91961914</v>
      </c>
      <c r="E243" s="18">
        <v>76643582</v>
      </c>
      <c r="F243" s="18"/>
      <c r="G243" s="18"/>
      <c r="H243" s="18"/>
      <c r="I243" s="18"/>
      <c r="J243" s="19" t="s">
        <v>16</v>
      </c>
      <c r="K243" s="21" t="s">
        <v>64</v>
      </c>
      <c r="L243" s="22"/>
      <c r="M243" s="21"/>
      <c r="N243" s="18"/>
      <c r="O243" s="22"/>
      <c r="P243" s="19" t="s">
        <v>49</v>
      </c>
      <c r="Q243" s="19" t="s">
        <v>25</v>
      </c>
      <c r="R243" s="22">
        <v>45713</v>
      </c>
      <c r="S243" s="19">
        <f t="shared" si="6"/>
        <v>2</v>
      </c>
    </row>
    <row r="244" spans="1:19" ht="14.25" customHeight="1" x14ac:dyDescent="0.3">
      <c r="A244" s="17">
        <f t="shared" si="7"/>
        <v>243</v>
      </c>
      <c r="B244" s="18">
        <v>8679873</v>
      </c>
      <c r="C244" s="19" t="s">
        <v>318</v>
      </c>
      <c r="D244" s="18">
        <v>92053496</v>
      </c>
      <c r="E244" s="18">
        <v>76697235</v>
      </c>
      <c r="F244" s="18"/>
      <c r="G244" s="18"/>
      <c r="H244" s="18"/>
      <c r="I244" s="18"/>
      <c r="J244" s="19" t="s">
        <v>16</v>
      </c>
      <c r="K244" s="21" t="s">
        <v>64</v>
      </c>
      <c r="L244" s="22"/>
      <c r="M244" s="21"/>
      <c r="N244" s="18"/>
      <c r="O244" s="22"/>
      <c r="P244" s="19" t="s">
        <v>49</v>
      </c>
      <c r="Q244" s="19" t="s">
        <v>52</v>
      </c>
      <c r="R244" s="22">
        <v>45715</v>
      </c>
      <c r="S244" s="19">
        <f t="shared" si="6"/>
        <v>2</v>
      </c>
    </row>
    <row r="245" spans="1:19" ht="14.25" customHeight="1" x14ac:dyDescent="0.3">
      <c r="A245" s="17">
        <f t="shared" si="7"/>
        <v>244</v>
      </c>
      <c r="B245" s="18">
        <v>43657656</v>
      </c>
      <c r="C245" s="19" t="s">
        <v>319</v>
      </c>
      <c r="D245" s="18">
        <v>92012094</v>
      </c>
      <c r="E245" s="18">
        <v>76671990</v>
      </c>
      <c r="F245" s="18"/>
      <c r="G245" s="18"/>
      <c r="H245" s="18"/>
      <c r="I245" s="18"/>
      <c r="J245" s="19" t="s">
        <v>16</v>
      </c>
      <c r="K245" s="21" t="s">
        <v>64</v>
      </c>
      <c r="L245" s="22"/>
      <c r="M245" s="21"/>
      <c r="N245" s="18"/>
      <c r="O245" s="22"/>
      <c r="P245" s="19" t="s">
        <v>49</v>
      </c>
      <c r="Q245" s="19" t="s">
        <v>52</v>
      </c>
      <c r="R245" s="22">
        <v>45714</v>
      </c>
      <c r="S245" s="19">
        <f t="shared" si="6"/>
        <v>2</v>
      </c>
    </row>
    <row r="246" spans="1:19" ht="14.25" customHeight="1" x14ac:dyDescent="0.3">
      <c r="A246" s="17">
        <f t="shared" si="7"/>
        <v>245</v>
      </c>
      <c r="B246" s="18">
        <v>42901014</v>
      </c>
      <c r="C246" s="19" t="s">
        <v>320</v>
      </c>
      <c r="D246" s="18">
        <v>92053709</v>
      </c>
      <c r="E246" s="18">
        <v>76697208</v>
      </c>
      <c r="F246" s="18"/>
      <c r="G246" s="18"/>
      <c r="H246" s="18"/>
      <c r="I246" s="18"/>
      <c r="J246" s="19" t="s">
        <v>16</v>
      </c>
      <c r="K246" s="21" t="s">
        <v>64</v>
      </c>
      <c r="L246" s="22"/>
      <c r="M246" s="21"/>
      <c r="N246" s="18"/>
      <c r="O246" s="22"/>
      <c r="P246" s="19" t="s">
        <v>49</v>
      </c>
      <c r="Q246" s="19" t="s">
        <v>58</v>
      </c>
      <c r="R246" s="22">
        <v>45715</v>
      </c>
      <c r="S246" s="19">
        <f t="shared" si="6"/>
        <v>2</v>
      </c>
    </row>
    <row r="247" spans="1:19" ht="14.25" customHeight="1" x14ac:dyDescent="0.3">
      <c r="A247" s="17">
        <f t="shared" si="7"/>
        <v>246</v>
      </c>
      <c r="B247" s="18">
        <v>19800428</v>
      </c>
      <c r="C247" s="19" t="s">
        <v>321</v>
      </c>
      <c r="D247" s="18">
        <v>91981576</v>
      </c>
      <c r="E247" s="18">
        <v>76651792</v>
      </c>
      <c r="F247" s="18"/>
      <c r="G247" s="18"/>
      <c r="H247" s="18"/>
      <c r="I247" s="18"/>
      <c r="J247" s="19" t="s">
        <v>16</v>
      </c>
      <c r="K247" s="21" t="s">
        <v>64</v>
      </c>
      <c r="L247" s="22"/>
      <c r="M247" s="21"/>
      <c r="N247" s="18"/>
      <c r="O247" s="22"/>
      <c r="P247" s="19" t="s">
        <v>49</v>
      </c>
      <c r="Q247" s="19" t="s">
        <v>58</v>
      </c>
      <c r="R247" s="22">
        <v>45713</v>
      </c>
      <c r="S247" s="19">
        <f t="shared" si="6"/>
        <v>2</v>
      </c>
    </row>
    <row r="248" spans="1:19" ht="14.25" customHeight="1" x14ac:dyDescent="0.3">
      <c r="A248" s="17">
        <f t="shared" si="7"/>
        <v>247</v>
      </c>
      <c r="B248" s="18">
        <v>42631609</v>
      </c>
      <c r="C248" s="19" t="s">
        <v>322</v>
      </c>
      <c r="D248" s="18">
        <v>92116695</v>
      </c>
      <c r="E248" s="18">
        <v>76763095</v>
      </c>
      <c r="F248" s="18"/>
      <c r="G248" s="18"/>
      <c r="H248" s="18"/>
      <c r="I248" s="18"/>
      <c r="J248" s="19" t="s">
        <v>16</v>
      </c>
      <c r="K248" s="21" t="s">
        <v>64</v>
      </c>
      <c r="L248" s="22"/>
      <c r="M248" s="21"/>
      <c r="N248" s="18"/>
      <c r="O248" s="22"/>
      <c r="P248" s="19" t="s">
        <v>49</v>
      </c>
      <c r="Q248" s="19" t="s">
        <v>52</v>
      </c>
      <c r="R248" s="22">
        <v>45717</v>
      </c>
      <c r="S248" s="19">
        <f t="shared" si="6"/>
        <v>3</v>
      </c>
    </row>
    <row r="249" spans="1:19" ht="14.25" customHeight="1" x14ac:dyDescent="0.3">
      <c r="A249" s="17">
        <f t="shared" si="7"/>
        <v>248</v>
      </c>
      <c r="B249" s="18">
        <v>42631609</v>
      </c>
      <c r="C249" s="19" t="s">
        <v>323</v>
      </c>
      <c r="D249" s="18">
        <v>92117233</v>
      </c>
      <c r="E249" s="18">
        <v>76763157</v>
      </c>
      <c r="F249" s="18"/>
      <c r="G249" s="18"/>
      <c r="H249" s="18"/>
      <c r="I249" s="18"/>
      <c r="J249" s="19" t="s">
        <v>16</v>
      </c>
      <c r="K249" s="21" t="s">
        <v>64</v>
      </c>
      <c r="L249" s="22"/>
      <c r="M249" s="21"/>
      <c r="N249" s="18"/>
      <c r="O249" s="22"/>
      <c r="P249" s="19" t="s">
        <v>49</v>
      </c>
      <c r="Q249" s="19" t="s">
        <v>52</v>
      </c>
      <c r="R249" s="22">
        <v>45717</v>
      </c>
      <c r="S249" s="19">
        <f t="shared" si="6"/>
        <v>3</v>
      </c>
    </row>
    <row r="250" spans="1:19" ht="14.25" customHeight="1" x14ac:dyDescent="0.3">
      <c r="A250" s="17">
        <f t="shared" si="7"/>
        <v>249</v>
      </c>
      <c r="B250" s="18">
        <v>6050934</v>
      </c>
      <c r="C250" s="19" t="s">
        <v>361</v>
      </c>
      <c r="D250" s="18">
        <v>91763940</v>
      </c>
      <c r="E250" s="20">
        <v>76505850</v>
      </c>
      <c r="F250" s="20"/>
      <c r="G250" s="20"/>
      <c r="H250" s="20"/>
      <c r="I250" s="20"/>
      <c r="J250" s="19" t="s">
        <v>16</v>
      </c>
      <c r="K250" s="21" t="s">
        <v>64</v>
      </c>
      <c r="L250" s="22"/>
      <c r="M250" s="21"/>
      <c r="N250" s="18"/>
      <c r="O250" s="22"/>
      <c r="P250" s="19" t="s">
        <v>49</v>
      </c>
      <c r="Q250" s="19" t="s">
        <v>51</v>
      </c>
      <c r="R250" s="22">
        <v>45706</v>
      </c>
      <c r="S250" s="19">
        <f>IF(ISNUMBER(R250)=TRUE, MONTH(R250), " ")</f>
        <v>2</v>
      </c>
    </row>
    <row r="251" spans="1:19" ht="14.25" customHeight="1" x14ac:dyDescent="0.3">
      <c r="A251" s="17">
        <f t="shared" si="7"/>
        <v>250</v>
      </c>
      <c r="B251" s="18">
        <v>46640029</v>
      </c>
      <c r="C251" s="19" t="s">
        <v>56</v>
      </c>
      <c r="D251" s="18">
        <v>91662014</v>
      </c>
      <c r="E251" s="20">
        <v>76442223</v>
      </c>
      <c r="F251" s="18"/>
      <c r="G251" s="18"/>
      <c r="H251" s="18"/>
      <c r="I251" s="18"/>
      <c r="J251" s="19" t="s">
        <v>368</v>
      </c>
      <c r="K251" s="21" t="s">
        <v>64</v>
      </c>
      <c r="L251" s="22"/>
      <c r="M251" s="21"/>
      <c r="N251" s="25"/>
      <c r="O251" s="22"/>
      <c r="P251" s="19" t="s">
        <v>49</v>
      </c>
      <c r="Q251" s="19" t="s">
        <v>55</v>
      </c>
      <c r="R251" s="22">
        <v>45703</v>
      </c>
      <c r="S251" s="19">
        <f>IF(ISNUMBER(R251)=TRUE, MONTH(R251), " ")</f>
        <v>2</v>
      </c>
    </row>
    <row r="252" spans="1:19" ht="14.25" customHeight="1" x14ac:dyDescent="0.3">
      <c r="A252" s="17">
        <f t="shared" si="7"/>
        <v>251</v>
      </c>
      <c r="B252" s="18">
        <v>29728252</v>
      </c>
      <c r="C252" s="19" t="s">
        <v>62</v>
      </c>
      <c r="D252" s="18">
        <v>91971537</v>
      </c>
      <c r="E252" s="20">
        <v>76647794</v>
      </c>
      <c r="F252" s="18"/>
      <c r="G252" s="18"/>
      <c r="H252" s="18"/>
      <c r="I252" s="18"/>
      <c r="J252" s="19" t="s">
        <v>371</v>
      </c>
      <c r="K252" s="21" t="s">
        <v>64</v>
      </c>
      <c r="L252" s="22"/>
      <c r="M252" s="21"/>
      <c r="N252" s="25"/>
      <c r="O252" s="22"/>
      <c r="P252" s="19" t="s">
        <v>49</v>
      </c>
      <c r="Q252" s="19" t="s">
        <v>50</v>
      </c>
      <c r="R252" s="22">
        <v>45713</v>
      </c>
      <c r="S252" s="19">
        <f t="shared" ref="S252:S257" si="8">IF(ISNUMBER(R252)=TRUE, MONTH(R252), " ")</f>
        <v>2</v>
      </c>
    </row>
    <row r="253" spans="1:19" ht="14.25" customHeight="1" x14ac:dyDescent="0.3">
      <c r="A253" s="17">
        <f t="shared" si="7"/>
        <v>252</v>
      </c>
      <c r="B253" s="18">
        <v>40924565</v>
      </c>
      <c r="C253" s="19" t="s">
        <v>63</v>
      </c>
      <c r="D253" s="18">
        <v>92011756</v>
      </c>
      <c r="E253" s="20">
        <v>76671814</v>
      </c>
      <c r="F253" s="18"/>
      <c r="G253" s="18"/>
      <c r="H253" s="18"/>
      <c r="I253" s="18"/>
      <c r="J253" s="19" t="s">
        <v>372</v>
      </c>
      <c r="K253" s="21" t="s">
        <v>64</v>
      </c>
      <c r="L253" s="22"/>
      <c r="M253" s="21"/>
      <c r="N253" s="25"/>
      <c r="O253" s="22"/>
      <c r="P253" s="19" t="s">
        <v>49</v>
      </c>
      <c r="Q253" s="19" t="s">
        <v>58</v>
      </c>
      <c r="R253" s="22">
        <v>45714</v>
      </c>
      <c r="S253" s="19">
        <f t="shared" si="8"/>
        <v>2</v>
      </c>
    </row>
    <row r="254" spans="1:19" ht="14.25" customHeight="1" x14ac:dyDescent="0.3">
      <c r="A254" s="17">
        <f t="shared" si="7"/>
        <v>253</v>
      </c>
      <c r="B254" s="18">
        <v>76070989</v>
      </c>
      <c r="C254" s="19" t="s">
        <v>65</v>
      </c>
      <c r="D254" s="18">
        <v>92032884</v>
      </c>
      <c r="E254" s="20">
        <v>76688585</v>
      </c>
      <c r="F254" s="18"/>
      <c r="G254" s="18"/>
      <c r="H254" s="18"/>
      <c r="I254" s="18"/>
      <c r="J254" s="19" t="s">
        <v>373</v>
      </c>
      <c r="K254" s="21" t="s">
        <v>64</v>
      </c>
      <c r="L254" s="22"/>
      <c r="M254" s="21"/>
      <c r="N254" s="25"/>
      <c r="O254" s="22"/>
      <c r="P254" s="19" t="s">
        <v>49</v>
      </c>
      <c r="Q254" s="19" t="s">
        <v>52</v>
      </c>
      <c r="R254" s="22">
        <v>45715</v>
      </c>
      <c r="S254" s="19">
        <f t="shared" si="8"/>
        <v>2</v>
      </c>
    </row>
    <row r="255" spans="1:19" ht="14.25" customHeight="1" x14ac:dyDescent="0.3">
      <c r="A255" s="17">
        <f t="shared" si="7"/>
        <v>254</v>
      </c>
      <c r="B255" s="18">
        <v>16727586</v>
      </c>
      <c r="C255" s="19" t="s">
        <v>66</v>
      </c>
      <c r="D255" s="18">
        <v>92085848</v>
      </c>
      <c r="E255" s="20">
        <v>76747748</v>
      </c>
      <c r="F255" s="18"/>
      <c r="G255" s="18"/>
      <c r="H255" s="18"/>
      <c r="I255" s="18"/>
      <c r="J255" s="19" t="s">
        <v>373</v>
      </c>
      <c r="K255" s="21" t="s">
        <v>64</v>
      </c>
      <c r="L255" s="22"/>
      <c r="M255" s="21"/>
      <c r="N255" s="25"/>
      <c r="O255" s="22"/>
      <c r="P255" s="19" t="s">
        <v>49</v>
      </c>
      <c r="Q255" s="19" t="s">
        <v>51</v>
      </c>
      <c r="R255" s="22">
        <v>45716</v>
      </c>
      <c r="S255" s="19">
        <f t="shared" si="8"/>
        <v>2</v>
      </c>
    </row>
    <row r="256" spans="1:19" ht="14.25" customHeight="1" x14ac:dyDescent="0.3">
      <c r="A256" s="17">
        <f t="shared" si="7"/>
        <v>255</v>
      </c>
      <c r="B256" s="18">
        <v>70404225</v>
      </c>
      <c r="C256" s="19" t="s">
        <v>71</v>
      </c>
      <c r="D256" s="18">
        <v>92191280</v>
      </c>
      <c r="E256" s="20">
        <v>76818272</v>
      </c>
      <c r="F256" s="18"/>
      <c r="G256" s="18"/>
      <c r="H256" s="18"/>
      <c r="I256" s="18"/>
      <c r="J256" s="19" t="s">
        <v>373</v>
      </c>
      <c r="K256" s="21" t="s">
        <v>64</v>
      </c>
      <c r="L256" s="22"/>
      <c r="M256" s="21"/>
      <c r="N256" s="25"/>
      <c r="O256" s="22"/>
      <c r="P256" s="19" t="s">
        <v>49</v>
      </c>
      <c r="Q256" s="19" t="s">
        <v>55</v>
      </c>
      <c r="R256" s="22">
        <v>45720</v>
      </c>
      <c r="S256" s="19">
        <f t="shared" si="8"/>
        <v>3</v>
      </c>
    </row>
    <row r="257" spans="1:19" ht="14.25" customHeight="1" x14ac:dyDescent="0.3">
      <c r="A257" s="17">
        <f t="shared" si="7"/>
        <v>256</v>
      </c>
      <c r="B257" s="30">
        <v>35920</v>
      </c>
      <c r="C257" s="19" t="s">
        <v>72</v>
      </c>
      <c r="D257" s="18">
        <v>92375285</v>
      </c>
      <c r="E257" s="20">
        <v>76888821</v>
      </c>
      <c r="F257" s="18"/>
      <c r="G257" s="18"/>
      <c r="H257" s="18"/>
      <c r="I257" s="18"/>
      <c r="J257" s="19" t="s">
        <v>369</v>
      </c>
      <c r="K257" s="21" t="s">
        <v>64</v>
      </c>
      <c r="L257" s="22"/>
      <c r="M257" s="21"/>
      <c r="N257" s="25"/>
      <c r="O257" s="22"/>
      <c r="P257" s="19" t="s">
        <v>49</v>
      </c>
      <c r="Q257" s="19" t="s">
        <v>34</v>
      </c>
      <c r="R257" s="22">
        <v>45720</v>
      </c>
      <c r="S257" s="19">
        <f t="shared" si="8"/>
        <v>3</v>
      </c>
    </row>
    <row r="258" spans="1:19" ht="14.25" customHeight="1" x14ac:dyDescent="0.3">
      <c r="A258" s="17">
        <f t="shared" si="7"/>
        <v>257</v>
      </c>
      <c r="B258" s="18">
        <v>70247697</v>
      </c>
      <c r="C258" s="19" t="s">
        <v>363</v>
      </c>
      <c r="D258" s="18">
        <v>92216855</v>
      </c>
      <c r="E258" s="20">
        <v>76826391</v>
      </c>
      <c r="F258" s="18"/>
      <c r="G258" s="18"/>
      <c r="H258" s="18"/>
      <c r="I258" s="18"/>
      <c r="J258" s="19" t="s">
        <v>372</v>
      </c>
      <c r="K258" s="21" t="s">
        <v>64</v>
      </c>
      <c r="L258" s="22"/>
      <c r="M258" s="21"/>
      <c r="N258" s="25"/>
      <c r="O258" s="22"/>
      <c r="P258" s="19" t="s">
        <v>49</v>
      </c>
      <c r="Q258" s="19" t="s">
        <v>55</v>
      </c>
      <c r="R258" s="22">
        <v>45720</v>
      </c>
      <c r="S258" s="19">
        <f>IF(ISNUMBER(R258)=TRUE, MONTH(R258), " ")</f>
        <v>3</v>
      </c>
    </row>
    <row r="259" spans="1:19" ht="14.25" customHeight="1" x14ac:dyDescent="0.3">
      <c r="A259" s="17">
        <f t="shared" si="7"/>
        <v>258</v>
      </c>
      <c r="B259" s="18">
        <v>45620825</v>
      </c>
      <c r="C259" s="19" t="s">
        <v>75</v>
      </c>
      <c r="D259" s="18">
        <v>92280897</v>
      </c>
      <c r="E259" s="20">
        <v>76850363</v>
      </c>
      <c r="F259" s="18"/>
      <c r="G259" s="18"/>
      <c r="H259" s="18"/>
      <c r="I259" s="18"/>
      <c r="J259" s="19" t="s">
        <v>373</v>
      </c>
      <c r="K259" s="21" t="s">
        <v>64</v>
      </c>
      <c r="L259" s="22"/>
      <c r="M259" s="21"/>
      <c r="N259" s="25"/>
      <c r="O259" s="22"/>
      <c r="P259" s="19" t="s">
        <v>49</v>
      </c>
      <c r="Q259" s="19" t="s">
        <v>58</v>
      </c>
      <c r="R259" s="22">
        <v>45721</v>
      </c>
      <c r="S259" s="19">
        <f>IF(ISNUMBER(R259)=TRUE, MONTH(R259), " ")</f>
        <v>3</v>
      </c>
    </row>
    <row r="260" spans="1:19" ht="14.25" customHeight="1" x14ac:dyDescent="0.3">
      <c r="A260" s="17">
        <f t="shared" ref="A260:A323" si="9">A259+1</f>
        <v>259</v>
      </c>
      <c r="B260" s="30">
        <v>46252362</v>
      </c>
      <c r="C260" s="19" t="s">
        <v>76</v>
      </c>
      <c r="D260" s="18">
        <v>92281627</v>
      </c>
      <c r="E260" s="20">
        <v>76850512</v>
      </c>
      <c r="F260" s="18"/>
      <c r="G260" s="18"/>
      <c r="H260" s="18"/>
      <c r="I260" s="18"/>
      <c r="J260" s="19" t="s">
        <v>368</v>
      </c>
      <c r="K260" s="21" t="s">
        <v>64</v>
      </c>
      <c r="L260" s="22"/>
      <c r="M260" s="21"/>
      <c r="N260" s="25"/>
      <c r="O260" s="22"/>
      <c r="P260" s="19" t="s">
        <v>49</v>
      </c>
      <c r="Q260" s="19" t="s">
        <v>69</v>
      </c>
      <c r="R260" s="22">
        <v>45721</v>
      </c>
      <c r="S260" s="19">
        <f>IF(ISNUMBER(R260)=TRUE, MONTH(R260), " ")</f>
        <v>3</v>
      </c>
    </row>
    <row r="261" spans="1:19" ht="14.25" customHeight="1" x14ac:dyDescent="0.3">
      <c r="A261" s="17">
        <f t="shared" si="9"/>
        <v>260</v>
      </c>
      <c r="B261" s="18">
        <v>43413178</v>
      </c>
      <c r="C261" s="19" t="s">
        <v>77</v>
      </c>
      <c r="D261" s="18">
        <v>92311051</v>
      </c>
      <c r="E261" s="20">
        <v>76867349</v>
      </c>
      <c r="F261" s="18"/>
      <c r="G261" s="18"/>
      <c r="H261" s="18"/>
      <c r="I261" s="18"/>
      <c r="J261" s="19" t="s">
        <v>368</v>
      </c>
      <c r="K261" s="21" t="s">
        <v>64</v>
      </c>
      <c r="L261" s="22"/>
      <c r="M261" s="21"/>
      <c r="N261" s="25"/>
      <c r="O261" s="22"/>
      <c r="P261" s="19" t="s">
        <v>49</v>
      </c>
      <c r="Q261" s="19" t="s">
        <v>25</v>
      </c>
      <c r="R261" s="22">
        <v>45722</v>
      </c>
      <c r="S261" s="19">
        <f>IF(ISNUMBER(R261)=TRUE, MONTH(R261), " ")</f>
        <v>3</v>
      </c>
    </row>
    <row r="262" spans="1:19" ht="14.25" customHeight="1" x14ac:dyDescent="0.3">
      <c r="A262" s="17">
        <f t="shared" si="9"/>
        <v>261</v>
      </c>
      <c r="B262" s="30">
        <v>25422080</v>
      </c>
      <c r="C262" s="19" t="s">
        <v>61</v>
      </c>
      <c r="D262" s="18">
        <v>91802600</v>
      </c>
      <c r="E262" s="20">
        <v>76528066</v>
      </c>
      <c r="F262" s="18"/>
      <c r="G262" s="18"/>
      <c r="H262" s="18"/>
      <c r="I262" s="18"/>
      <c r="J262" s="19" t="s">
        <v>371</v>
      </c>
      <c r="K262" s="21" t="s">
        <v>64</v>
      </c>
      <c r="L262" s="24"/>
      <c r="M262" s="21"/>
      <c r="N262" s="22"/>
      <c r="O262" s="21"/>
      <c r="P262" s="19" t="s">
        <v>49</v>
      </c>
      <c r="Q262" s="19" t="s">
        <v>25</v>
      </c>
      <c r="R262" s="22">
        <v>45707</v>
      </c>
      <c r="S262" s="19">
        <v>2</v>
      </c>
    </row>
    <row r="263" spans="1:19" ht="14.25" customHeight="1" x14ac:dyDescent="0.3">
      <c r="A263" s="17">
        <f t="shared" si="9"/>
        <v>262</v>
      </c>
      <c r="B263" s="30">
        <v>45320040</v>
      </c>
      <c r="C263" s="19" t="s">
        <v>70</v>
      </c>
      <c r="D263" s="18">
        <v>92170467</v>
      </c>
      <c r="E263" s="20">
        <v>76799065</v>
      </c>
      <c r="F263" s="18"/>
      <c r="G263" s="18"/>
      <c r="H263" s="18"/>
      <c r="I263" s="18"/>
      <c r="J263" s="19" t="s">
        <v>371</v>
      </c>
      <c r="K263" s="21" t="s">
        <v>64</v>
      </c>
      <c r="L263" s="21"/>
      <c r="M263" s="21"/>
      <c r="N263" s="21"/>
      <c r="O263" s="21"/>
      <c r="P263" s="19" t="s">
        <v>49</v>
      </c>
      <c r="Q263" s="19" t="s">
        <v>51</v>
      </c>
      <c r="R263" s="22">
        <v>45719</v>
      </c>
      <c r="S263" s="19">
        <f>IF(ISNUMBER(R263)=TRUE, MONTH(R263), " ")</f>
        <v>3</v>
      </c>
    </row>
    <row r="264" spans="1:19" ht="14.25" customHeight="1" x14ac:dyDescent="0.3">
      <c r="A264" s="17">
        <f t="shared" si="9"/>
        <v>263</v>
      </c>
      <c r="B264" s="30">
        <v>18108870</v>
      </c>
      <c r="C264" s="19" t="s">
        <v>362</v>
      </c>
      <c r="D264" s="18">
        <v>92362450</v>
      </c>
      <c r="E264" s="20">
        <v>76885623</v>
      </c>
      <c r="F264" s="18" t="s">
        <v>333</v>
      </c>
      <c r="G264" s="18" t="s">
        <v>382</v>
      </c>
      <c r="H264" s="18">
        <f>IFERROR(VLOOKUP(G264, OBSERVACIÓN!F$2:G$151, 2, 0), " ")</f>
        <v>155</v>
      </c>
      <c r="I264" s="18"/>
      <c r="J264" s="19" t="s">
        <v>371</v>
      </c>
      <c r="K264" s="21" t="s">
        <v>64</v>
      </c>
      <c r="L264" s="22"/>
      <c r="M264" s="21"/>
      <c r="N264" s="18"/>
      <c r="O264" s="22"/>
      <c r="P264" s="19" t="s">
        <v>49</v>
      </c>
      <c r="Q264" s="19" t="s">
        <v>69</v>
      </c>
      <c r="R264" s="22">
        <v>45719</v>
      </c>
      <c r="S264" s="19">
        <f>IF(ISNUMBER(R264)=TRUE, MONTH(R264), " ")</f>
        <v>3</v>
      </c>
    </row>
    <row r="265" spans="1:19" ht="14.25" customHeight="1" x14ac:dyDescent="0.3">
      <c r="A265" s="17">
        <f t="shared" si="9"/>
        <v>264</v>
      </c>
      <c r="B265" s="18">
        <v>46850625</v>
      </c>
      <c r="C265" s="19" t="s">
        <v>364</v>
      </c>
      <c r="D265" s="18">
        <v>92313782</v>
      </c>
      <c r="E265" s="20">
        <v>76868158</v>
      </c>
      <c r="F265" s="18" t="s">
        <v>333</v>
      </c>
      <c r="G265" s="18" t="s">
        <v>335</v>
      </c>
      <c r="H265" s="18">
        <f>IFERROR(VLOOKUP(G265, OBSERVACIÓN!F$2:G$151, 2, 0), " ")</f>
        <v>65</v>
      </c>
      <c r="I265" s="18"/>
      <c r="J265" s="19" t="s">
        <v>418</v>
      </c>
      <c r="K265" s="21" t="s">
        <v>64</v>
      </c>
      <c r="L265" s="22"/>
      <c r="M265" s="21"/>
      <c r="N265" s="18"/>
      <c r="O265" s="22"/>
      <c r="P265" s="19" t="s">
        <v>49</v>
      </c>
      <c r="Q265" s="19" t="s">
        <v>73</v>
      </c>
      <c r="R265" s="22">
        <v>45722</v>
      </c>
      <c r="S265" s="19">
        <f t="shared" ref="S265:S286" si="10">IF(ISNUMBER(R265)=TRUE, MONTH(R265), " ")</f>
        <v>3</v>
      </c>
    </row>
    <row r="266" spans="1:19" ht="14.25" customHeight="1" x14ac:dyDescent="0.3">
      <c r="A266" s="17">
        <f t="shared" si="9"/>
        <v>265</v>
      </c>
      <c r="B266" s="30">
        <v>40266422</v>
      </c>
      <c r="C266" s="19" t="s">
        <v>365</v>
      </c>
      <c r="D266" s="18">
        <v>92374913</v>
      </c>
      <c r="E266" s="18">
        <v>76888725</v>
      </c>
      <c r="F266" s="18" t="s">
        <v>334</v>
      </c>
      <c r="G266" s="18" t="s">
        <v>389</v>
      </c>
      <c r="H266" s="18">
        <f>IFERROR(VLOOKUP(G266, OBSERVACIÓN!F$2:G$151, 2, 0), " ")</f>
        <v>70</v>
      </c>
      <c r="I266" s="18"/>
      <c r="J266" s="19" t="s">
        <v>384</v>
      </c>
      <c r="K266" s="21" t="s">
        <v>64</v>
      </c>
      <c r="L266" s="22"/>
      <c r="M266" s="21"/>
      <c r="N266" s="18"/>
      <c r="O266" s="22"/>
      <c r="P266" s="19" t="s">
        <v>49</v>
      </c>
      <c r="Q266" s="19" t="s">
        <v>54</v>
      </c>
      <c r="R266" s="22">
        <v>45723</v>
      </c>
      <c r="S266" s="33">
        <f t="shared" si="10"/>
        <v>3</v>
      </c>
    </row>
    <row r="267" spans="1:19" ht="14.25" customHeight="1" x14ac:dyDescent="0.3">
      <c r="A267" s="17">
        <f t="shared" si="9"/>
        <v>266</v>
      </c>
      <c r="B267" s="30">
        <v>41216262</v>
      </c>
      <c r="C267" s="19" t="s">
        <v>366</v>
      </c>
      <c r="D267" s="18">
        <v>92513672</v>
      </c>
      <c r="E267" s="18">
        <v>76997730</v>
      </c>
      <c r="F267" s="18" t="s">
        <v>333</v>
      </c>
      <c r="G267" s="18" t="s">
        <v>343</v>
      </c>
      <c r="H267" s="18">
        <f>IFERROR(VLOOKUP(G267, OBSERVACIÓN!F$2:G$151, 2, 0), " ")</f>
        <v>70</v>
      </c>
      <c r="I267" s="18"/>
      <c r="J267" s="19" t="s">
        <v>378</v>
      </c>
      <c r="K267" s="21" t="s">
        <v>64</v>
      </c>
      <c r="L267" s="22"/>
      <c r="M267" s="21"/>
      <c r="N267" s="18"/>
      <c r="O267" s="22"/>
      <c r="P267" s="19" t="s">
        <v>49</v>
      </c>
      <c r="Q267" s="19" t="s">
        <v>55</v>
      </c>
      <c r="R267" s="22">
        <v>45724</v>
      </c>
      <c r="S267" s="19">
        <f t="shared" si="10"/>
        <v>3</v>
      </c>
    </row>
    <row r="268" spans="1:19" ht="14.25" customHeight="1" x14ac:dyDescent="0.3">
      <c r="A268" s="17">
        <f t="shared" si="9"/>
        <v>267</v>
      </c>
      <c r="B268" s="18">
        <v>10412120901</v>
      </c>
      <c r="C268" s="19" t="s">
        <v>375</v>
      </c>
      <c r="D268" s="18">
        <v>92495817</v>
      </c>
      <c r="E268" s="18">
        <v>76943563</v>
      </c>
      <c r="F268" s="18" t="s">
        <v>333</v>
      </c>
      <c r="G268" s="18" t="s">
        <v>342</v>
      </c>
      <c r="H268" s="18">
        <f>IFERROR(VLOOKUP(G268, OBSERVACIÓN!F$2:G$151, 2, 0), " ")</f>
        <v>65</v>
      </c>
      <c r="I268" s="18"/>
      <c r="J268" s="19" t="s">
        <v>378</v>
      </c>
      <c r="K268" s="21" t="s">
        <v>64</v>
      </c>
      <c r="L268" s="22"/>
      <c r="M268" s="21"/>
      <c r="N268" s="18"/>
      <c r="O268" s="22"/>
      <c r="P268" s="19" t="s">
        <v>49</v>
      </c>
      <c r="Q268" s="19" t="s">
        <v>28</v>
      </c>
      <c r="R268" s="22">
        <v>45726</v>
      </c>
      <c r="S268" s="19">
        <f t="shared" si="10"/>
        <v>3</v>
      </c>
    </row>
    <row r="269" spans="1:19" ht="14.25" customHeight="1" x14ac:dyDescent="0.3">
      <c r="A269" s="17">
        <f t="shared" si="9"/>
        <v>268</v>
      </c>
      <c r="B269" s="30">
        <v>45599129</v>
      </c>
      <c r="C269" s="19" t="s">
        <v>74</v>
      </c>
      <c r="D269" s="18">
        <v>92263111</v>
      </c>
      <c r="E269" s="20">
        <v>76844786</v>
      </c>
      <c r="F269" s="18" t="s">
        <v>334</v>
      </c>
      <c r="G269" s="18" t="s">
        <v>339</v>
      </c>
      <c r="H269" s="18">
        <f>IFERROR(VLOOKUP(G269, OBSERVACIÓN!F$2:G$151, 2, 0), " ")</f>
        <v>75</v>
      </c>
      <c r="I269" s="18"/>
      <c r="J269" s="19" t="s">
        <v>368</v>
      </c>
      <c r="K269" s="21" t="s">
        <v>64</v>
      </c>
      <c r="L269" s="22"/>
      <c r="M269" s="21"/>
      <c r="N269" s="18"/>
      <c r="O269" s="22"/>
      <c r="P269" s="19" t="s">
        <v>49</v>
      </c>
      <c r="Q269" s="19" t="s">
        <v>51</v>
      </c>
      <c r="R269" s="22">
        <v>45721</v>
      </c>
      <c r="S269" s="19">
        <f t="shared" si="10"/>
        <v>3</v>
      </c>
    </row>
    <row r="270" spans="1:19" ht="14.25" customHeight="1" x14ac:dyDescent="0.3">
      <c r="A270" s="17">
        <f t="shared" si="9"/>
        <v>269</v>
      </c>
      <c r="B270" s="30">
        <v>80632883</v>
      </c>
      <c r="C270" s="19" t="s">
        <v>68</v>
      </c>
      <c r="D270" s="18">
        <v>92168006</v>
      </c>
      <c r="E270" s="20">
        <v>76798236</v>
      </c>
      <c r="F270" s="18" t="s">
        <v>334</v>
      </c>
      <c r="G270" s="18" t="s">
        <v>336</v>
      </c>
      <c r="H270" s="18">
        <f>IFERROR(VLOOKUP(G270, OBSERVACIÓN!F$2:G$151, 2, 0), " ")</f>
        <v>150</v>
      </c>
      <c r="I270" s="18">
        <v>6</v>
      </c>
      <c r="J270" s="19" t="s">
        <v>417</v>
      </c>
      <c r="K270" s="21" t="s">
        <v>64</v>
      </c>
      <c r="L270" s="22"/>
      <c r="M270" s="21"/>
      <c r="N270" s="26"/>
      <c r="O270" s="22"/>
      <c r="P270" s="19" t="s">
        <v>49</v>
      </c>
      <c r="Q270" s="19" t="s">
        <v>25</v>
      </c>
      <c r="R270" s="22">
        <v>45719</v>
      </c>
      <c r="S270" s="19">
        <f t="shared" si="10"/>
        <v>3</v>
      </c>
    </row>
    <row r="271" spans="1:19" ht="14.25" customHeight="1" x14ac:dyDescent="0.3">
      <c r="A271" s="17">
        <f t="shared" si="9"/>
        <v>270</v>
      </c>
      <c r="B271" s="30">
        <v>74165920</v>
      </c>
      <c r="C271" s="19" t="s">
        <v>79</v>
      </c>
      <c r="D271" s="18">
        <v>92327102</v>
      </c>
      <c r="E271" s="20">
        <v>76871878</v>
      </c>
      <c r="F271" s="18" t="s">
        <v>333</v>
      </c>
      <c r="G271" s="18" t="s">
        <v>338</v>
      </c>
      <c r="H271" s="18">
        <f>IFERROR(VLOOKUP(G271, OBSERVACIÓN!F$2:G$151, 2, 0), " ")</f>
        <v>160</v>
      </c>
      <c r="I271" s="18">
        <v>7</v>
      </c>
      <c r="J271" s="19" t="s">
        <v>372</v>
      </c>
      <c r="K271" s="21" t="s">
        <v>64</v>
      </c>
      <c r="L271" s="22"/>
      <c r="M271" s="21"/>
      <c r="N271" s="26"/>
      <c r="O271" s="22"/>
      <c r="P271" s="19" t="s">
        <v>49</v>
      </c>
      <c r="Q271" s="19" t="s">
        <v>54</v>
      </c>
      <c r="R271" s="22">
        <v>45722</v>
      </c>
      <c r="S271" s="19">
        <f t="shared" si="10"/>
        <v>3</v>
      </c>
    </row>
    <row r="272" spans="1:19" ht="14.25" customHeight="1" x14ac:dyDescent="0.3">
      <c r="A272" s="17">
        <f t="shared" si="9"/>
        <v>271</v>
      </c>
      <c r="B272" s="30">
        <v>42347115</v>
      </c>
      <c r="C272" s="19" t="s">
        <v>381</v>
      </c>
      <c r="D272" s="18">
        <v>92555522</v>
      </c>
      <c r="E272" s="18">
        <v>77028025</v>
      </c>
      <c r="F272" s="18" t="s">
        <v>333</v>
      </c>
      <c r="G272" s="18" t="s">
        <v>336</v>
      </c>
      <c r="H272" s="18">
        <f>IFERROR(VLOOKUP(G272, OBSERVACIÓN!F$2:G$151, 2, 0), " ")</f>
        <v>150</v>
      </c>
      <c r="I272" s="18">
        <v>4</v>
      </c>
      <c r="J272" s="19" t="s">
        <v>416</v>
      </c>
      <c r="K272" s="21" t="s">
        <v>64</v>
      </c>
      <c r="L272" s="22"/>
      <c r="M272" s="21"/>
      <c r="N272" s="26"/>
      <c r="O272" s="22"/>
      <c r="P272" s="19" t="s">
        <v>49</v>
      </c>
      <c r="Q272" s="19" t="s">
        <v>73</v>
      </c>
      <c r="R272" s="22">
        <v>45728</v>
      </c>
      <c r="S272" s="19">
        <f t="shared" si="10"/>
        <v>3</v>
      </c>
    </row>
    <row r="273" spans="1:19" ht="14.25" customHeight="1" x14ac:dyDescent="0.3">
      <c r="A273" s="17">
        <f t="shared" si="9"/>
        <v>272</v>
      </c>
      <c r="B273" s="30">
        <v>45047270</v>
      </c>
      <c r="C273" s="19" t="s">
        <v>388</v>
      </c>
      <c r="D273" s="18">
        <v>92611701</v>
      </c>
      <c r="E273" s="18">
        <v>77076870</v>
      </c>
      <c r="F273" s="18" t="s">
        <v>333</v>
      </c>
      <c r="G273" s="18" t="s">
        <v>336</v>
      </c>
      <c r="H273" s="18">
        <f>IFERROR(VLOOKUP(G273, OBSERVACIÓN!F$2:G$151, 2, 0), " ")</f>
        <v>150</v>
      </c>
      <c r="I273" s="18">
        <v>6</v>
      </c>
      <c r="J273" s="19" t="s">
        <v>368</v>
      </c>
      <c r="K273" s="21" t="s">
        <v>64</v>
      </c>
      <c r="L273" s="22"/>
      <c r="M273" s="21"/>
      <c r="N273" s="26"/>
      <c r="O273" s="22"/>
      <c r="P273" s="19" t="s">
        <v>49</v>
      </c>
      <c r="Q273" s="19" t="s">
        <v>54</v>
      </c>
      <c r="R273" s="22">
        <v>45729</v>
      </c>
      <c r="S273" s="19">
        <f t="shared" si="10"/>
        <v>3</v>
      </c>
    </row>
    <row r="274" spans="1:19" ht="14.25" customHeight="1" x14ac:dyDescent="0.3">
      <c r="A274" s="17">
        <f t="shared" si="9"/>
        <v>273</v>
      </c>
      <c r="B274" s="30">
        <v>3864641</v>
      </c>
      <c r="C274" s="19" t="s">
        <v>367</v>
      </c>
      <c r="D274" s="18">
        <v>92410714</v>
      </c>
      <c r="E274" s="18">
        <v>76906252</v>
      </c>
      <c r="F274" s="18" t="s">
        <v>333</v>
      </c>
      <c r="G274" s="18" t="s">
        <v>336</v>
      </c>
      <c r="H274" s="18">
        <f>IFERROR(VLOOKUP(G274, OBSERVACIÓN!F$2:G$151, 2, 0), " ")</f>
        <v>150</v>
      </c>
      <c r="I274" s="18">
        <v>8</v>
      </c>
      <c r="J274" s="19" t="s">
        <v>372</v>
      </c>
      <c r="K274" s="21" t="s">
        <v>64</v>
      </c>
      <c r="L274" s="22"/>
      <c r="M274" s="21"/>
      <c r="N274" s="26"/>
      <c r="O274" s="22"/>
      <c r="P274" s="19" t="s">
        <v>49</v>
      </c>
      <c r="Q274" s="19" t="s">
        <v>28</v>
      </c>
      <c r="R274" s="22">
        <v>45724</v>
      </c>
      <c r="S274" s="19">
        <f t="shared" si="10"/>
        <v>3</v>
      </c>
    </row>
    <row r="275" spans="1:19" ht="14.25" customHeight="1" x14ac:dyDescent="0.3">
      <c r="A275" s="17">
        <f t="shared" si="9"/>
        <v>274</v>
      </c>
      <c r="B275" s="30" t="s">
        <v>412</v>
      </c>
      <c r="C275" s="19" t="s">
        <v>411</v>
      </c>
      <c r="D275" s="18">
        <v>92621657</v>
      </c>
      <c r="E275" s="18">
        <v>77090851</v>
      </c>
      <c r="F275" s="18" t="s">
        <v>333</v>
      </c>
      <c r="G275" s="18" t="s">
        <v>335</v>
      </c>
      <c r="H275" s="18">
        <f>IFERROR(VLOOKUP(G275, OBSERVACIÓN!F$2:G$151, 2, 0), " ")</f>
        <v>65</v>
      </c>
      <c r="I275" s="18">
        <v>10</v>
      </c>
      <c r="J275" s="19" t="s">
        <v>373</v>
      </c>
      <c r="K275" s="21" t="s">
        <v>64</v>
      </c>
      <c r="L275" s="22"/>
      <c r="M275" s="21"/>
      <c r="N275" s="26"/>
      <c r="O275" s="22"/>
      <c r="P275" s="19" t="s">
        <v>49</v>
      </c>
      <c r="Q275" s="19" t="s">
        <v>28</v>
      </c>
      <c r="R275" s="22">
        <v>45730</v>
      </c>
      <c r="S275" s="19">
        <f t="shared" si="10"/>
        <v>3</v>
      </c>
    </row>
    <row r="276" spans="1:19" ht="14.25" customHeight="1" x14ac:dyDescent="0.3">
      <c r="A276" s="17">
        <f t="shared" si="9"/>
        <v>275</v>
      </c>
      <c r="B276" s="30">
        <v>16529572</v>
      </c>
      <c r="C276" s="19" t="s">
        <v>67</v>
      </c>
      <c r="D276" s="18">
        <v>92110718</v>
      </c>
      <c r="E276" s="20">
        <v>76760877</v>
      </c>
      <c r="F276" s="18" t="s">
        <v>333</v>
      </c>
      <c r="G276" s="18" t="s">
        <v>336</v>
      </c>
      <c r="H276" s="18">
        <f>IFERROR(VLOOKUP(G276, OBSERVACIÓN!F$2:G$151, 2, 0), " ")</f>
        <v>150</v>
      </c>
      <c r="I276" s="18">
        <v>5</v>
      </c>
      <c r="J276" s="19" t="s">
        <v>373</v>
      </c>
      <c r="K276" s="21" t="s">
        <v>64</v>
      </c>
      <c r="L276" s="22"/>
      <c r="M276" s="21"/>
      <c r="N276" s="26"/>
      <c r="O276" s="22"/>
      <c r="P276" s="19" t="s">
        <v>49</v>
      </c>
      <c r="Q276" s="19" t="s">
        <v>54</v>
      </c>
      <c r="R276" s="22">
        <v>45717</v>
      </c>
      <c r="S276" s="19">
        <f t="shared" si="10"/>
        <v>3</v>
      </c>
    </row>
    <row r="277" spans="1:19" ht="14.25" customHeight="1" x14ac:dyDescent="0.3">
      <c r="A277" s="17">
        <f t="shared" si="9"/>
        <v>276</v>
      </c>
      <c r="B277" s="30">
        <v>7836551</v>
      </c>
      <c r="C277" s="19" t="s">
        <v>376</v>
      </c>
      <c r="D277" s="18">
        <v>92523106</v>
      </c>
      <c r="E277" s="18">
        <v>77001067</v>
      </c>
      <c r="F277" s="18" t="s">
        <v>333</v>
      </c>
      <c r="G277" s="18" t="s">
        <v>338</v>
      </c>
      <c r="H277" s="18">
        <f>IFERROR(VLOOKUP(G277, OBSERVACIÓN!F$2:G$151, 2, 0), " ")</f>
        <v>160</v>
      </c>
      <c r="I277" s="18">
        <v>7</v>
      </c>
      <c r="J277" s="19" t="s">
        <v>373</v>
      </c>
      <c r="K277" s="21" t="s">
        <v>64</v>
      </c>
      <c r="L277" s="22"/>
      <c r="M277" s="21"/>
      <c r="N277" s="26"/>
      <c r="O277" s="22"/>
      <c r="P277" s="19" t="s">
        <v>49</v>
      </c>
      <c r="Q277" s="19" t="s">
        <v>54</v>
      </c>
      <c r="R277" s="22">
        <v>45727</v>
      </c>
      <c r="S277" s="19">
        <f t="shared" si="10"/>
        <v>3</v>
      </c>
    </row>
    <row r="278" spans="1:19" ht="14.25" customHeight="1" x14ac:dyDescent="0.3">
      <c r="A278" s="17">
        <f t="shared" si="9"/>
        <v>277</v>
      </c>
      <c r="B278" s="30">
        <v>8853310</v>
      </c>
      <c r="C278" s="19" t="s">
        <v>379</v>
      </c>
      <c r="D278" s="18">
        <v>92561369</v>
      </c>
      <c r="E278" s="18">
        <v>77030244</v>
      </c>
      <c r="F278" s="18" t="s">
        <v>333</v>
      </c>
      <c r="G278" s="18" t="s">
        <v>335</v>
      </c>
      <c r="H278" s="18">
        <f>IFERROR(VLOOKUP(G278, OBSERVACIÓN!F$2:G$151, 2, 0), " ")</f>
        <v>65</v>
      </c>
      <c r="I278" s="18">
        <v>9</v>
      </c>
      <c r="J278" s="19" t="s">
        <v>444</v>
      </c>
      <c r="K278" s="21" t="s">
        <v>64</v>
      </c>
      <c r="L278" s="22"/>
      <c r="M278" s="21"/>
      <c r="N278" s="26"/>
      <c r="O278" s="22"/>
      <c r="P278" s="19" t="s">
        <v>49</v>
      </c>
      <c r="Q278" s="19" t="s">
        <v>55</v>
      </c>
      <c r="R278" s="22">
        <v>45728</v>
      </c>
      <c r="S278" s="19">
        <f t="shared" si="10"/>
        <v>3</v>
      </c>
    </row>
    <row r="279" spans="1:19" ht="14.25" customHeight="1" x14ac:dyDescent="0.3">
      <c r="A279" s="17">
        <f t="shared" si="9"/>
        <v>278</v>
      </c>
      <c r="B279" s="30">
        <v>45324519</v>
      </c>
      <c r="C279" s="19" t="s">
        <v>385</v>
      </c>
      <c r="D279" s="18">
        <v>92567723</v>
      </c>
      <c r="E279" s="18">
        <v>77034249</v>
      </c>
      <c r="F279" s="18" t="s">
        <v>333</v>
      </c>
      <c r="G279" s="18" t="s">
        <v>335</v>
      </c>
      <c r="H279" s="18">
        <f>IFERROR(VLOOKUP(G279, OBSERVACIÓN!F$2:G$151, 2, 0), " ")</f>
        <v>65</v>
      </c>
      <c r="I279" s="18">
        <v>10</v>
      </c>
      <c r="J279" s="19" t="s">
        <v>371</v>
      </c>
      <c r="K279" s="21" t="s">
        <v>64</v>
      </c>
      <c r="L279" s="22"/>
      <c r="M279" s="21"/>
      <c r="N279" s="26"/>
      <c r="O279" s="22"/>
      <c r="P279" s="19" t="s">
        <v>49</v>
      </c>
      <c r="Q279" s="19" t="s">
        <v>58</v>
      </c>
      <c r="R279" s="22">
        <v>45728</v>
      </c>
      <c r="S279" s="19">
        <f t="shared" si="10"/>
        <v>3</v>
      </c>
    </row>
    <row r="280" spans="1:19" ht="14.25" customHeight="1" x14ac:dyDescent="0.3">
      <c r="A280" s="17">
        <f t="shared" si="9"/>
        <v>279</v>
      </c>
      <c r="B280" s="30">
        <v>29407377</v>
      </c>
      <c r="C280" s="19" t="s">
        <v>386</v>
      </c>
      <c r="D280" s="18">
        <v>92571878</v>
      </c>
      <c r="E280" s="18">
        <v>77045192</v>
      </c>
      <c r="F280" s="18" t="s">
        <v>333</v>
      </c>
      <c r="G280" s="18" t="s">
        <v>338</v>
      </c>
      <c r="H280" s="18">
        <f>IFERROR(VLOOKUP(G280, OBSERVACIÓN!F$2:G$151, 2, 0), " ")</f>
        <v>160</v>
      </c>
      <c r="I280" s="18">
        <v>7</v>
      </c>
      <c r="J280" s="19" t="s">
        <v>434</v>
      </c>
      <c r="K280" s="21" t="s">
        <v>64</v>
      </c>
      <c r="L280" s="22"/>
      <c r="M280" s="21"/>
      <c r="N280" s="26"/>
      <c r="O280" s="22"/>
      <c r="P280" s="19" t="s">
        <v>49</v>
      </c>
      <c r="Q280" s="19" t="s">
        <v>54</v>
      </c>
      <c r="R280" s="22">
        <v>45728</v>
      </c>
      <c r="S280" s="19">
        <f t="shared" si="10"/>
        <v>3</v>
      </c>
    </row>
    <row r="281" spans="1:19" ht="14.25" customHeight="1" x14ac:dyDescent="0.3">
      <c r="A281" s="17">
        <f t="shared" si="9"/>
        <v>280</v>
      </c>
      <c r="B281" s="30">
        <v>71273696</v>
      </c>
      <c r="C281" s="19" t="s">
        <v>415</v>
      </c>
      <c r="D281" s="18">
        <v>92678678</v>
      </c>
      <c r="E281" s="18">
        <v>77112762</v>
      </c>
      <c r="F281" s="18" t="s">
        <v>333</v>
      </c>
      <c r="G281" s="18" t="s">
        <v>335</v>
      </c>
      <c r="H281" s="18">
        <f>IFERROR(VLOOKUP(G281, OBSERVACIÓN!F$2:G$151, 2, 0), " ")</f>
        <v>65</v>
      </c>
      <c r="I281" s="18">
        <v>6</v>
      </c>
      <c r="J281" s="19" t="s">
        <v>373</v>
      </c>
      <c r="K281" s="21" t="s">
        <v>64</v>
      </c>
      <c r="L281" s="22"/>
      <c r="M281" s="21"/>
      <c r="N281" s="26"/>
      <c r="O281" s="22"/>
      <c r="P281" s="19" t="s">
        <v>49</v>
      </c>
      <c r="Q281" s="19" t="s">
        <v>58</v>
      </c>
      <c r="R281" s="22">
        <v>45731</v>
      </c>
      <c r="S281" s="19">
        <f t="shared" si="10"/>
        <v>3</v>
      </c>
    </row>
    <row r="282" spans="1:19" ht="14.25" customHeight="1" x14ac:dyDescent="0.3">
      <c r="A282" s="17">
        <f t="shared" si="9"/>
        <v>281</v>
      </c>
      <c r="B282" s="35">
        <v>40856295</v>
      </c>
      <c r="C282" s="19" t="s">
        <v>419</v>
      </c>
      <c r="D282" s="18">
        <v>92725282</v>
      </c>
      <c r="E282" s="18">
        <v>77144444</v>
      </c>
      <c r="F282" s="18" t="s">
        <v>333</v>
      </c>
      <c r="G282" s="18" t="s">
        <v>339</v>
      </c>
      <c r="H282" s="18">
        <f>IFERROR(VLOOKUP(G282, OBSERVACIÓN!F$2:G$151, 2, 0), " ")</f>
        <v>75</v>
      </c>
      <c r="I282" s="18">
        <v>3</v>
      </c>
      <c r="J282" s="19" t="s">
        <v>420</v>
      </c>
      <c r="K282" s="21" t="s">
        <v>64</v>
      </c>
      <c r="L282" s="22"/>
      <c r="M282" s="21"/>
      <c r="N282" s="26"/>
      <c r="O282" s="22"/>
      <c r="P282" s="19" t="s">
        <v>49</v>
      </c>
      <c r="Q282" s="19" t="s">
        <v>51</v>
      </c>
      <c r="R282" s="22">
        <v>45733</v>
      </c>
      <c r="S282" s="19">
        <f t="shared" si="10"/>
        <v>3</v>
      </c>
    </row>
    <row r="283" spans="1:19" ht="14.25" customHeight="1" x14ac:dyDescent="0.3">
      <c r="A283" s="17">
        <f t="shared" si="9"/>
        <v>282</v>
      </c>
      <c r="B283" s="35">
        <v>47026311</v>
      </c>
      <c r="C283" s="19" t="s">
        <v>421</v>
      </c>
      <c r="D283" s="18">
        <v>92754669</v>
      </c>
      <c r="E283" s="18">
        <v>77165110</v>
      </c>
      <c r="F283" s="18" t="s">
        <v>334</v>
      </c>
      <c r="G283" s="18" t="s">
        <v>337</v>
      </c>
      <c r="H283" s="18">
        <f>IFERROR(VLOOKUP(G283, OBSERVACIÓN!F$2:G$151, 2, 0), " ")</f>
        <v>170</v>
      </c>
      <c r="I283" s="18">
        <v>7</v>
      </c>
      <c r="J283" s="19" t="s">
        <v>373</v>
      </c>
      <c r="K283" s="21" t="s">
        <v>64</v>
      </c>
      <c r="L283" s="22"/>
      <c r="M283" s="21"/>
      <c r="N283" s="26"/>
      <c r="O283" s="22"/>
      <c r="P283" s="19" t="s">
        <v>49</v>
      </c>
      <c r="Q283" s="19" t="s">
        <v>52</v>
      </c>
      <c r="R283" s="22">
        <v>45734</v>
      </c>
      <c r="S283" s="19">
        <f t="shared" si="10"/>
        <v>3</v>
      </c>
    </row>
    <row r="284" spans="1:19" ht="14.25" customHeight="1" x14ac:dyDescent="0.3">
      <c r="A284" s="17">
        <f t="shared" si="9"/>
        <v>283</v>
      </c>
      <c r="B284" s="35">
        <v>44354989</v>
      </c>
      <c r="C284" s="19" t="s">
        <v>422</v>
      </c>
      <c r="D284" s="18">
        <v>92765609</v>
      </c>
      <c r="E284" s="18">
        <v>77171267</v>
      </c>
      <c r="F284" s="18" t="s">
        <v>333</v>
      </c>
      <c r="G284" s="18" t="s">
        <v>425</v>
      </c>
      <c r="H284" s="18">
        <v>165</v>
      </c>
      <c r="I284" s="18">
        <v>7</v>
      </c>
      <c r="J284" s="19" t="s">
        <v>429</v>
      </c>
      <c r="K284" s="21" t="s">
        <v>64</v>
      </c>
      <c r="L284" s="22"/>
      <c r="M284" s="21"/>
      <c r="N284" s="26"/>
      <c r="O284" s="22"/>
      <c r="P284" s="19" t="s">
        <v>49</v>
      </c>
      <c r="Q284" s="19" t="s">
        <v>58</v>
      </c>
      <c r="R284" s="22">
        <v>45734</v>
      </c>
      <c r="S284" s="19">
        <f t="shared" si="10"/>
        <v>3</v>
      </c>
    </row>
    <row r="285" spans="1:19" ht="14.25" customHeight="1" x14ac:dyDescent="0.3">
      <c r="A285" s="17">
        <f t="shared" si="9"/>
        <v>284</v>
      </c>
      <c r="B285" s="30">
        <v>45567560</v>
      </c>
      <c r="C285" s="19" t="s">
        <v>428</v>
      </c>
      <c r="D285" s="18">
        <v>92782031</v>
      </c>
      <c r="E285" s="18">
        <v>77187455</v>
      </c>
      <c r="F285" s="18" t="s">
        <v>333</v>
      </c>
      <c r="G285" s="18" t="s">
        <v>336</v>
      </c>
      <c r="H285" s="18">
        <f>IFERROR(VLOOKUP(G285, OBSERVACIÓN!F$2:G$151, 2, 0), " ")</f>
        <v>150</v>
      </c>
      <c r="I285" s="18">
        <v>8</v>
      </c>
      <c r="J285" s="19" t="s">
        <v>373</v>
      </c>
      <c r="K285" s="21" t="s">
        <v>64</v>
      </c>
      <c r="L285" s="22"/>
      <c r="M285" s="21"/>
      <c r="N285" s="26"/>
      <c r="O285" s="22"/>
      <c r="P285" s="19" t="s">
        <v>49</v>
      </c>
      <c r="Q285" s="19" t="s">
        <v>28</v>
      </c>
      <c r="R285" s="22">
        <v>45735</v>
      </c>
      <c r="S285" s="19">
        <f t="shared" si="10"/>
        <v>3</v>
      </c>
    </row>
    <row r="286" spans="1:19" ht="14.25" customHeight="1" x14ac:dyDescent="0.3">
      <c r="A286" s="17">
        <f t="shared" si="9"/>
        <v>285</v>
      </c>
      <c r="B286" s="30">
        <v>9652008</v>
      </c>
      <c r="C286" s="19" t="s">
        <v>432</v>
      </c>
      <c r="D286" s="18">
        <v>92822880</v>
      </c>
      <c r="E286" s="18">
        <v>77216205</v>
      </c>
      <c r="F286" s="18" t="s">
        <v>333</v>
      </c>
      <c r="G286" s="18" t="s">
        <v>335</v>
      </c>
      <c r="H286" s="18">
        <f>IFERROR(VLOOKUP(G286, OBSERVACIÓN!F$2:G$151, 2, 0), " ")</f>
        <v>65</v>
      </c>
      <c r="I286" s="18">
        <v>3</v>
      </c>
      <c r="J286" s="19" t="s">
        <v>373</v>
      </c>
      <c r="K286" s="21" t="s">
        <v>64</v>
      </c>
      <c r="L286" s="22"/>
      <c r="M286" s="21"/>
      <c r="N286" s="26"/>
      <c r="O286" s="22"/>
      <c r="P286" s="19" t="s">
        <v>49</v>
      </c>
      <c r="Q286" s="19" t="s">
        <v>55</v>
      </c>
      <c r="R286" s="22">
        <v>45736</v>
      </c>
      <c r="S286" s="19">
        <f t="shared" si="10"/>
        <v>3</v>
      </c>
    </row>
    <row r="287" spans="1:19" ht="14.25" customHeight="1" x14ac:dyDescent="0.3">
      <c r="A287" s="17">
        <f t="shared" si="9"/>
        <v>286</v>
      </c>
      <c r="B287" s="30">
        <v>9565467</v>
      </c>
      <c r="C287" s="19" t="s">
        <v>437</v>
      </c>
      <c r="D287" s="18">
        <v>92865218</v>
      </c>
      <c r="E287" s="18">
        <v>77247530</v>
      </c>
      <c r="F287" s="18" t="s">
        <v>333</v>
      </c>
      <c r="G287" s="18" t="s">
        <v>343</v>
      </c>
      <c r="H287" s="18">
        <f>IFERROR(VLOOKUP(G287, OBSERVACIÓN!F$2:G$151, 2, 0), " ")</f>
        <v>70</v>
      </c>
      <c r="I287" s="18">
        <v>7</v>
      </c>
      <c r="J287" s="19" t="s">
        <v>429</v>
      </c>
      <c r="K287" s="21" t="s">
        <v>64</v>
      </c>
      <c r="L287" s="22"/>
      <c r="M287" s="21"/>
      <c r="N287" s="26"/>
      <c r="O287" s="22"/>
      <c r="P287" s="19" t="s">
        <v>49</v>
      </c>
      <c r="Q287" s="19" t="s">
        <v>51</v>
      </c>
      <c r="R287" s="22">
        <v>45737</v>
      </c>
      <c r="S287" s="19">
        <f>IF(ISNUMBER(R288)=TRUE, MONTH(R288), " ")</f>
        <v>3</v>
      </c>
    </row>
    <row r="288" spans="1:19" ht="14.25" customHeight="1" x14ac:dyDescent="0.3">
      <c r="A288" s="17">
        <f t="shared" si="9"/>
        <v>287</v>
      </c>
      <c r="B288" s="30">
        <v>74635911</v>
      </c>
      <c r="C288" s="19" t="s">
        <v>439</v>
      </c>
      <c r="D288" s="18">
        <v>92879759</v>
      </c>
      <c r="E288" s="18">
        <v>77255443</v>
      </c>
      <c r="F288" s="18" t="s">
        <v>333</v>
      </c>
      <c r="G288" s="18" t="s">
        <v>336</v>
      </c>
      <c r="H288" s="18">
        <f>IFERROR(VLOOKUP(G288, OBSERVACIÓN!F$2:G$151, 2, 0), " ")</f>
        <v>150</v>
      </c>
      <c r="I288" s="18"/>
      <c r="J288" s="19" t="s">
        <v>429</v>
      </c>
      <c r="K288" s="21" t="s">
        <v>64</v>
      </c>
      <c r="L288" s="22"/>
      <c r="M288" s="21"/>
      <c r="N288" s="26"/>
      <c r="O288" s="22"/>
      <c r="P288" s="19" t="s">
        <v>49</v>
      </c>
      <c r="Q288" s="19" t="s">
        <v>25</v>
      </c>
      <c r="R288" s="22">
        <v>45738</v>
      </c>
      <c r="S288" s="19">
        <f>IF(ISNUMBER(R288)=TRUE, MONTH(R288), " ")</f>
        <v>3</v>
      </c>
    </row>
    <row r="289" spans="1:19" ht="14.25" customHeight="1" x14ac:dyDescent="0.3">
      <c r="A289" s="17">
        <f t="shared" si="9"/>
        <v>288</v>
      </c>
      <c r="B289" s="30">
        <v>8706687</v>
      </c>
      <c r="C289" s="19" t="s">
        <v>380</v>
      </c>
      <c r="D289" s="18">
        <v>92559937</v>
      </c>
      <c r="E289" s="18">
        <v>77029800</v>
      </c>
      <c r="F289" s="18" t="s">
        <v>333</v>
      </c>
      <c r="G289" s="18" t="s">
        <v>335</v>
      </c>
      <c r="H289" s="18">
        <f>IFERROR(VLOOKUP(G289, OBSERVACIÓN!F$2:G$151, 2, 0), " ")</f>
        <v>65</v>
      </c>
      <c r="I289" s="18">
        <v>8</v>
      </c>
      <c r="J289" s="19" t="s">
        <v>443</v>
      </c>
      <c r="K289" s="21" t="s">
        <v>64</v>
      </c>
      <c r="L289" s="22"/>
      <c r="M289" s="21"/>
      <c r="N289" s="26"/>
      <c r="O289" s="22"/>
      <c r="P289" s="19" t="s">
        <v>49</v>
      </c>
      <c r="Q289" s="19" t="s">
        <v>28</v>
      </c>
      <c r="R289" s="22">
        <v>45728</v>
      </c>
      <c r="S289" s="19">
        <f>IF(ISNUMBER(R289)=TRUE, MONTH(R289), " ")</f>
        <v>3</v>
      </c>
    </row>
    <row r="290" spans="1:19" ht="14.25" customHeight="1" x14ac:dyDescent="0.3">
      <c r="A290" s="17">
        <f t="shared" si="9"/>
        <v>289</v>
      </c>
      <c r="B290" s="35">
        <v>45152658</v>
      </c>
      <c r="C290" s="19" t="s">
        <v>423</v>
      </c>
      <c r="D290" s="18">
        <v>92748187</v>
      </c>
      <c r="E290" s="18">
        <v>77161850</v>
      </c>
      <c r="F290" s="18" t="s">
        <v>334</v>
      </c>
      <c r="G290" s="18" t="s">
        <v>336</v>
      </c>
      <c r="H290" s="18">
        <f>IFERROR(VLOOKUP(G290, OBSERVACIÓN!F$2:G$151, 2, 0), " ")</f>
        <v>150</v>
      </c>
      <c r="I290" s="18">
        <v>6</v>
      </c>
      <c r="J290" s="19" t="s">
        <v>368</v>
      </c>
      <c r="K290" s="21" t="s">
        <v>64</v>
      </c>
      <c r="L290" s="22"/>
      <c r="M290" s="21"/>
      <c r="N290" s="26"/>
      <c r="O290" s="22"/>
      <c r="P290" s="19" t="s">
        <v>49</v>
      </c>
      <c r="Q290" s="19" t="s">
        <v>424</v>
      </c>
      <c r="R290" s="22">
        <v>45734</v>
      </c>
      <c r="S290" s="19">
        <f>IF(ISNUMBER(R290)=TRUE, MONTH(R290), " ")</f>
        <v>3</v>
      </c>
    </row>
    <row r="291" spans="1:19" ht="14.25" customHeight="1" x14ac:dyDescent="0.3">
      <c r="A291" s="17">
        <f t="shared" si="9"/>
        <v>290</v>
      </c>
      <c r="B291" s="30">
        <v>77706354</v>
      </c>
      <c r="C291" s="19" t="s">
        <v>436</v>
      </c>
      <c r="D291" s="18">
        <v>92860637</v>
      </c>
      <c r="E291" s="18">
        <v>77245644</v>
      </c>
      <c r="F291" s="18" t="s">
        <v>333</v>
      </c>
      <c r="G291" s="18" t="s">
        <v>335</v>
      </c>
      <c r="H291" s="18">
        <f>IFERROR(VLOOKUP(G291, OBSERVACIÓN!F$2:G$151, 2, 0), " ")</f>
        <v>65</v>
      </c>
      <c r="I291" s="18">
        <v>3</v>
      </c>
      <c r="J291" s="19" t="s">
        <v>372</v>
      </c>
      <c r="K291" s="21" t="s">
        <v>64</v>
      </c>
      <c r="L291" s="22"/>
      <c r="M291" s="21"/>
      <c r="N291" s="26"/>
      <c r="O291" s="22"/>
      <c r="P291" s="19" t="s">
        <v>49</v>
      </c>
      <c r="Q291" s="19" t="s">
        <v>73</v>
      </c>
      <c r="R291" s="22">
        <v>45737</v>
      </c>
      <c r="S291" s="19">
        <f>IF(ISNUMBER(R291)=TRUE, MONTH(R291), " ")</f>
        <v>3</v>
      </c>
    </row>
    <row r="292" spans="1:19" ht="14.25" customHeight="1" x14ac:dyDescent="0.3">
      <c r="A292" s="17">
        <f t="shared" si="9"/>
        <v>291</v>
      </c>
      <c r="B292" s="30">
        <v>60961855</v>
      </c>
      <c r="C292" s="19" t="s">
        <v>413</v>
      </c>
      <c r="D292" s="18">
        <v>92645517</v>
      </c>
      <c r="E292" s="18">
        <v>77099730</v>
      </c>
      <c r="F292" s="18" t="s">
        <v>333</v>
      </c>
      <c r="G292" s="18" t="s">
        <v>414</v>
      </c>
      <c r="H292" s="18">
        <f>IFERROR(VLOOKUP(G292, OBSERVACIÓN!F$2:G$151, 2, 0), " ")</f>
        <v>80</v>
      </c>
      <c r="I292" s="18">
        <v>5</v>
      </c>
      <c r="J292" s="19" t="s">
        <v>445</v>
      </c>
      <c r="K292" s="21" t="s">
        <v>64</v>
      </c>
      <c r="L292" s="22"/>
      <c r="M292" s="21"/>
      <c r="N292" s="26"/>
      <c r="O292" s="22"/>
      <c r="P292" s="19" t="s">
        <v>49</v>
      </c>
      <c r="Q292" s="19" t="s">
        <v>51</v>
      </c>
      <c r="R292" s="22">
        <v>45730</v>
      </c>
      <c r="S292" s="19">
        <f>IF(ISNUMBER(R292)=TRUE, MONTH(R292), " ")</f>
        <v>3</v>
      </c>
    </row>
    <row r="293" spans="1:19" ht="14.25" customHeight="1" x14ac:dyDescent="0.3">
      <c r="A293" s="17">
        <f t="shared" si="9"/>
        <v>292</v>
      </c>
      <c r="B293" s="30">
        <v>44110956</v>
      </c>
      <c r="C293" s="19" t="s">
        <v>431</v>
      </c>
      <c r="D293" s="18">
        <v>92819491</v>
      </c>
      <c r="E293" s="18">
        <v>77214948</v>
      </c>
      <c r="F293" s="18" t="s">
        <v>333</v>
      </c>
      <c r="G293" s="18" t="s">
        <v>335</v>
      </c>
      <c r="H293" s="18">
        <f>IFERROR(VLOOKUP(G293, OBSERVACIÓN!F$2:G$151, 2, 0), " ")</f>
        <v>65</v>
      </c>
      <c r="I293" s="18">
        <v>4</v>
      </c>
      <c r="J293" s="19" t="s">
        <v>371</v>
      </c>
      <c r="K293" s="21" t="s">
        <v>64</v>
      </c>
      <c r="L293" s="22"/>
      <c r="M293" s="21"/>
      <c r="N293" s="26"/>
      <c r="O293" s="22"/>
      <c r="P293" s="19" t="s">
        <v>49</v>
      </c>
      <c r="Q293" s="19" t="s">
        <v>25</v>
      </c>
      <c r="R293" s="22">
        <v>45736</v>
      </c>
      <c r="S293" s="18">
        <v>3</v>
      </c>
    </row>
    <row r="294" spans="1:19" ht="14.25" customHeight="1" x14ac:dyDescent="0.3">
      <c r="A294" s="17">
        <f t="shared" si="9"/>
        <v>293</v>
      </c>
      <c r="B294" s="19">
        <v>44250739</v>
      </c>
      <c r="C294" s="19" t="s">
        <v>453</v>
      </c>
      <c r="D294" s="18">
        <v>92992516</v>
      </c>
      <c r="E294" s="18">
        <v>77330021</v>
      </c>
      <c r="F294" s="18" t="s">
        <v>333</v>
      </c>
      <c r="G294" s="18" t="s">
        <v>335</v>
      </c>
      <c r="H294" s="18">
        <f>IFERROR(VLOOKUP(G294, OBSERVACIÓN!F$2:G$151, 2, 0), " ")</f>
        <v>65</v>
      </c>
      <c r="I294" s="18">
        <v>3</v>
      </c>
      <c r="J294" s="19" t="s">
        <v>449</v>
      </c>
      <c r="K294" s="21" t="s">
        <v>64</v>
      </c>
      <c r="L294" s="22"/>
      <c r="M294" s="21"/>
      <c r="N294" s="26"/>
      <c r="O294" s="22"/>
      <c r="P294" s="19" t="s">
        <v>49</v>
      </c>
      <c r="Q294" s="19" t="s">
        <v>28</v>
      </c>
      <c r="R294" s="22">
        <v>45741</v>
      </c>
      <c r="S294" s="19">
        <f t="shared" ref="S294:S309" si="11">IF(ISNUMBER(R294)=TRUE, MONTH(R294), " ")</f>
        <v>3</v>
      </c>
    </row>
    <row r="295" spans="1:19" ht="14.25" customHeight="1" x14ac:dyDescent="0.3">
      <c r="A295" s="17">
        <f t="shared" si="9"/>
        <v>294</v>
      </c>
      <c r="B295" s="30">
        <v>25400060</v>
      </c>
      <c r="C295" s="19" t="s">
        <v>442</v>
      </c>
      <c r="D295" s="18">
        <v>92897588</v>
      </c>
      <c r="E295" s="18">
        <v>77260294</v>
      </c>
      <c r="F295" s="18" t="s">
        <v>333</v>
      </c>
      <c r="G295" s="18" t="s">
        <v>338</v>
      </c>
      <c r="H295" s="18">
        <f>IFERROR(VLOOKUP(G295, OBSERVACIÓN!F$2:G$151, 2, 0), " ")</f>
        <v>160</v>
      </c>
      <c r="I295" s="18">
        <v>9</v>
      </c>
      <c r="J295" s="19" t="s">
        <v>451</v>
      </c>
      <c r="K295" s="21" t="s">
        <v>64</v>
      </c>
      <c r="L295" s="22"/>
      <c r="M295" s="21"/>
      <c r="N295" s="26"/>
      <c r="O295" s="22"/>
      <c r="P295" s="19" t="s">
        <v>49</v>
      </c>
      <c r="Q295" s="19" t="s">
        <v>28</v>
      </c>
      <c r="R295" s="22">
        <v>45738</v>
      </c>
      <c r="S295" s="19">
        <f t="shared" si="11"/>
        <v>3</v>
      </c>
    </row>
    <row r="296" spans="1:19" ht="14.25" customHeight="1" x14ac:dyDescent="0.3">
      <c r="A296" s="17">
        <f t="shared" si="9"/>
        <v>295</v>
      </c>
      <c r="B296" s="30">
        <v>80327840</v>
      </c>
      <c r="C296" s="19" t="s">
        <v>435</v>
      </c>
      <c r="D296" s="18">
        <v>92834560</v>
      </c>
      <c r="E296" s="18">
        <v>77223467</v>
      </c>
      <c r="F296" s="18" t="s">
        <v>333</v>
      </c>
      <c r="G296" s="18" t="s">
        <v>343</v>
      </c>
      <c r="H296" s="18">
        <f>IFERROR(VLOOKUP(G296, OBSERVACIÓN!F$2:G$151, 2, 0), " ")</f>
        <v>70</v>
      </c>
      <c r="I296" s="18">
        <v>1</v>
      </c>
      <c r="J296" s="19" t="s">
        <v>449</v>
      </c>
      <c r="K296" s="21" t="s">
        <v>64</v>
      </c>
      <c r="L296" s="22"/>
      <c r="M296" s="21"/>
      <c r="N296" s="26"/>
      <c r="O296" s="22"/>
      <c r="P296" s="19" t="s">
        <v>49</v>
      </c>
      <c r="Q296" s="19" t="s">
        <v>28</v>
      </c>
      <c r="R296" s="22">
        <v>45736</v>
      </c>
      <c r="S296" s="19">
        <f t="shared" si="11"/>
        <v>3</v>
      </c>
    </row>
    <row r="297" spans="1:19" ht="14.25" customHeight="1" x14ac:dyDescent="0.3">
      <c r="A297" s="17">
        <f t="shared" si="9"/>
        <v>296</v>
      </c>
      <c r="B297" s="30">
        <v>76946629</v>
      </c>
      <c r="C297" s="19" t="s">
        <v>387</v>
      </c>
      <c r="D297" s="18">
        <v>92598154</v>
      </c>
      <c r="E297" s="18">
        <v>77069569</v>
      </c>
      <c r="F297" s="18" t="s">
        <v>334</v>
      </c>
      <c r="G297" s="18" t="s">
        <v>343</v>
      </c>
      <c r="H297" s="18">
        <f>IFERROR(VLOOKUP(G297, OBSERVACIÓN!F$2:G$151, 2, 0), " ")</f>
        <v>70</v>
      </c>
      <c r="I297" s="18">
        <v>2</v>
      </c>
      <c r="J297" s="19" t="s">
        <v>371</v>
      </c>
      <c r="K297" s="21" t="s">
        <v>64</v>
      </c>
      <c r="L297" s="22"/>
      <c r="M297" s="21"/>
      <c r="N297" s="26"/>
      <c r="O297" s="22"/>
      <c r="P297" s="19" t="s">
        <v>49</v>
      </c>
      <c r="Q297" s="19" t="s">
        <v>55</v>
      </c>
      <c r="R297" s="22">
        <v>45729</v>
      </c>
      <c r="S297" s="19">
        <f t="shared" si="11"/>
        <v>3</v>
      </c>
    </row>
    <row r="298" spans="1:19" ht="14.25" customHeight="1" x14ac:dyDescent="0.3">
      <c r="A298" s="17">
        <f t="shared" si="9"/>
        <v>297</v>
      </c>
      <c r="B298" s="30">
        <v>22083571</v>
      </c>
      <c r="C298" s="19" t="s">
        <v>430</v>
      </c>
      <c r="D298" s="18">
        <v>92808031</v>
      </c>
      <c r="E298" s="18">
        <v>77201650</v>
      </c>
      <c r="F298" s="18" t="s">
        <v>333</v>
      </c>
      <c r="G298" s="18" t="s">
        <v>336</v>
      </c>
      <c r="H298" s="18">
        <f>IFERROR(VLOOKUP(G298, OBSERVACIÓN!F$2:G$151, 2, 0), " ")</f>
        <v>150</v>
      </c>
      <c r="I298" s="18">
        <v>8</v>
      </c>
      <c r="J298" s="19" t="s">
        <v>373</v>
      </c>
      <c r="K298" s="21" t="s">
        <v>64</v>
      </c>
      <c r="L298" s="22"/>
      <c r="M298" s="21"/>
      <c r="N298" s="26"/>
      <c r="O298" s="22"/>
      <c r="P298" s="19" t="s">
        <v>49</v>
      </c>
      <c r="Q298" s="19" t="s">
        <v>25</v>
      </c>
      <c r="R298" s="22">
        <v>45735</v>
      </c>
      <c r="S298" s="19">
        <f t="shared" si="11"/>
        <v>3</v>
      </c>
    </row>
    <row r="299" spans="1:19" ht="14.25" customHeight="1" x14ac:dyDescent="0.3">
      <c r="A299" s="17">
        <f t="shared" si="9"/>
        <v>298</v>
      </c>
      <c r="B299" s="30">
        <v>74090584</v>
      </c>
      <c r="C299" s="19" t="s">
        <v>433</v>
      </c>
      <c r="D299" s="18">
        <v>92829672</v>
      </c>
      <c r="E299" s="18">
        <v>77221585</v>
      </c>
      <c r="F299" s="18" t="s">
        <v>333</v>
      </c>
      <c r="G299" s="18" t="s">
        <v>336</v>
      </c>
      <c r="H299" s="18">
        <f>IFERROR(VLOOKUP(G299, OBSERVACIÓN!F$2:G$151, 2, 0), " ")</f>
        <v>150</v>
      </c>
      <c r="I299" s="18">
        <v>8</v>
      </c>
      <c r="J299" s="19" t="s">
        <v>373</v>
      </c>
      <c r="K299" s="21" t="s">
        <v>64</v>
      </c>
      <c r="L299" s="22"/>
      <c r="M299" s="21"/>
      <c r="N299" s="26"/>
      <c r="O299" s="22"/>
      <c r="P299" s="19" t="s">
        <v>49</v>
      </c>
      <c r="Q299" s="19" t="s">
        <v>73</v>
      </c>
      <c r="R299" s="22">
        <v>45736</v>
      </c>
      <c r="S299" s="19">
        <f t="shared" si="11"/>
        <v>3</v>
      </c>
    </row>
    <row r="300" spans="1:19" ht="14.25" customHeight="1" x14ac:dyDescent="0.3">
      <c r="A300" s="17">
        <f t="shared" si="9"/>
        <v>299</v>
      </c>
      <c r="B300" s="30">
        <v>10453547553</v>
      </c>
      <c r="C300" s="19" t="s">
        <v>440</v>
      </c>
      <c r="D300" s="18">
        <v>92886892</v>
      </c>
      <c r="E300" s="18">
        <v>77257095</v>
      </c>
      <c r="F300" s="18" t="s">
        <v>334</v>
      </c>
      <c r="G300" s="23" t="s">
        <v>349</v>
      </c>
      <c r="H300" s="18">
        <f>IFERROR(VLOOKUP(G300, OBSERVACIÓN!F$2:G$151, 2, 0), " ")</f>
        <v>65</v>
      </c>
      <c r="I300" s="18">
        <v>7</v>
      </c>
      <c r="J300" s="19" t="s">
        <v>373</v>
      </c>
      <c r="K300" s="21" t="s">
        <v>64</v>
      </c>
      <c r="L300" s="22"/>
      <c r="M300" s="21"/>
      <c r="N300" s="26"/>
      <c r="O300" s="22"/>
      <c r="P300" s="19" t="s">
        <v>49</v>
      </c>
      <c r="Q300" s="19" t="s">
        <v>28</v>
      </c>
      <c r="R300" s="22">
        <v>45738</v>
      </c>
      <c r="S300" s="19">
        <f t="shared" si="11"/>
        <v>3</v>
      </c>
    </row>
    <row r="301" spans="1:19" ht="14.25" customHeight="1" x14ac:dyDescent="0.3">
      <c r="A301" s="17">
        <f t="shared" si="9"/>
        <v>300</v>
      </c>
      <c r="B301" s="30">
        <v>44354989</v>
      </c>
      <c r="C301" s="19" t="s">
        <v>422</v>
      </c>
      <c r="D301" s="18">
        <v>92948905</v>
      </c>
      <c r="E301" s="18">
        <v>77302192</v>
      </c>
      <c r="F301" s="18" t="s">
        <v>333</v>
      </c>
      <c r="G301" s="23" t="s">
        <v>425</v>
      </c>
      <c r="H301" s="18">
        <f>IFERROR(VLOOKUP(G301, OBSERVACIÓN!F$2:G$151, 2, 0), " ")</f>
        <v>165</v>
      </c>
      <c r="I301" s="18">
        <v>7</v>
      </c>
      <c r="J301" s="19" t="s">
        <v>373</v>
      </c>
      <c r="K301" s="21" t="s">
        <v>64</v>
      </c>
      <c r="L301" s="22"/>
      <c r="M301" s="21"/>
      <c r="N301" s="26"/>
      <c r="O301" s="22"/>
      <c r="P301" s="19" t="s">
        <v>49</v>
      </c>
      <c r="Q301" s="19" t="s">
        <v>58</v>
      </c>
      <c r="R301" s="22">
        <v>45740</v>
      </c>
      <c r="S301" s="19">
        <f t="shared" si="11"/>
        <v>3</v>
      </c>
    </row>
    <row r="302" spans="1:19" ht="14.25" customHeight="1" x14ac:dyDescent="0.3">
      <c r="A302" s="17">
        <f t="shared" si="9"/>
        <v>301</v>
      </c>
      <c r="B302" s="30">
        <v>73362821</v>
      </c>
      <c r="C302" s="19" t="s">
        <v>454</v>
      </c>
      <c r="D302" s="18">
        <v>93019779</v>
      </c>
      <c r="E302" s="18">
        <v>77353956</v>
      </c>
      <c r="F302" s="18" t="s">
        <v>333</v>
      </c>
      <c r="G302" s="18" t="s">
        <v>335</v>
      </c>
      <c r="H302" s="18">
        <f>IFERROR(VLOOKUP(G302, OBSERVACIÓN!F$2:G$151, 2, 0), " ")</f>
        <v>65</v>
      </c>
      <c r="I302" s="18">
        <v>2</v>
      </c>
      <c r="J302" s="19" t="s">
        <v>449</v>
      </c>
      <c r="K302" s="21" t="s">
        <v>64</v>
      </c>
      <c r="L302" s="22"/>
      <c r="M302" s="21"/>
      <c r="N302" s="26"/>
      <c r="O302" s="22"/>
      <c r="P302" s="19" t="s">
        <v>49</v>
      </c>
      <c r="Q302" s="19" t="s">
        <v>28</v>
      </c>
      <c r="R302" s="22">
        <v>45742</v>
      </c>
      <c r="S302" s="19">
        <f t="shared" si="11"/>
        <v>3</v>
      </c>
    </row>
    <row r="303" spans="1:19" ht="14.25" customHeight="1" x14ac:dyDescent="0.3">
      <c r="A303" s="17">
        <f t="shared" si="9"/>
        <v>302</v>
      </c>
      <c r="B303" s="30">
        <v>46902126</v>
      </c>
      <c r="C303" s="19" t="s">
        <v>457</v>
      </c>
      <c r="D303" s="18">
        <v>93042844</v>
      </c>
      <c r="E303" s="18">
        <v>77366593</v>
      </c>
      <c r="F303" s="18" t="s">
        <v>333</v>
      </c>
      <c r="G303" s="18" t="s">
        <v>335</v>
      </c>
      <c r="H303" s="18">
        <f>IFERROR(VLOOKUP(G303, OBSERVACIÓN!F$2:G$151, 2, 0), " ")</f>
        <v>65</v>
      </c>
      <c r="I303" s="18">
        <v>10</v>
      </c>
      <c r="J303" s="19" t="s">
        <v>449</v>
      </c>
      <c r="K303" s="21" t="s">
        <v>64</v>
      </c>
      <c r="L303" s="22"/>
      <c r="M303" s="21"/>
      <c r="N303" s="26"/>
      <c r="O303" s="22"/>
      <c r="P303" s="19" t="s">
        <v>49</v>
      </c>
      <c r="Q303" s="19" t="s">
        <v>52</v>
      </c>
      <c r="R303" s="22">
        <v>45743</v>
      </c>
      <c r="S303" s="19">
        <f t="shared" si="11"/>
        <v>3</v>
      </c>
    </row>
    <row r="304" spans="1:19" ht="14.25" customHeight="1" x14ac:dyDescent="0.3">
      <c r="A304" s="17">
        <f t="shared" si="9"/>
        <v>303</v>
      </c>
      <c r="B304" s="30">
        <v>46232218</v>
      </c>
      <c r="C304" s="19" t="s">
        <v>458</v>
      </c>
      <c r="D304" s="18">
        <v>93057305</v>
      </c>
      <c r="E304" s="18">
        <v>77372669</v>
      </c>
      <c r="F304" s="18" t="s">
        <v>333</v>
      </c>
      <c r="G304" s="18" t="s">
        <v>335</v>
      </c>
      <c r="H304" s="18">
        <f>IFERROR(VLOOKUP(G304, OBSERVACIÓN!F$2:G$151, 2, 0), " ")</f>
        <v>65</v>
      </c>
      <c r="I304" s="18">
        <v>9</v>
      </c>
      <c r="J304" s="19" t="s">
        <v>449</v>
      </c>
      <c r="K304" s="21" t="s">
        <v>64</v>
      </c>
      <c r="L304" s="22"/>
      <c r="M304" s="21"/>
      <c r="N304" s="26"/>
      <c r="O304" s="22"/>
      <c r="P304" s="19" t="s">
        <v>49</v>
      </c>
      <c r="Q304" s="19" t="s">
        <v>51</v>
      </c>
      <c r="R304" s="22">
        <v>45743</v>
      </c>
      <c r="S304" s="19">
        <f t="shared" si="11"/>
        <v>3</v>
      </c>
    </row>
    <row r="305" spans="1:19" ht="14.25" customHeight="1" x14ac:dyDescent="0.3">
      <c r="A305" s="17">
        <f t="shared" si="9"/>
        <v>304</v>
      </c>
      <c r="B305" s="30">
        <v>32403648</v>
      </c>
      <c r="C305" s="19" t="s">
        <v>438</v>
      </c>
      <c r="D305" s="18">
        <v>92866898</v>
      </c>
      <c r="E305" s="18">
        <v>77248171</v>
      </c>
      <c r="F305" s="18" t="s">
        <v>333</v>
      </c>
      <c r="G305" s="18" t="s">
        <v>335</v>
      </c>
      <c r="H305" s="18">
        <f>IFERROR(VLOOKUP(G305, OBSERVACIÓN!F$2:G$151, 2, 0), " ")</f>
        <v>65</v>
      </c>
      <c r="I305" s="18">
        <v>8</v>
      </c>
      <c r="J305" s="19" t="s">
        <v>471</v>
      </c>
      <c r="K305" s="21" t="s">
        <v>64</v>
      </c>
      <c r="L305" s="22"/>
      <c r="M305" s="21"/>
      <c r="N305" s="26"/>
      <c r="O305" s="22"/>
      <c r="P305" s="19" t="s">
        <v>49</v>
      </c>
      <c r="Q305" s="19" t="s">
        <v>58</v>
      </c>
      <c r="R305" s="22">
        <v>45737</v>
      </c>
      <c r="S305" s="19">
        <f t="shared" si="11"/>
        <v>3</v>
      </c>
    </row>
    <row r="306" spans="1:19" ht="14.25" customHeight="1" x14ac:dyDescent="0.3">
      <c r="A306" s="17">
        <f t="shared" si="9"/>
        <v>305</v>
      </c>
      <c r="B306" s="30">
        <v>41164362</v>
      </c>
      <c r="C306" s="19" t="s">
        <v>441</v>
      </c>
      <c r="D306" s="18">
        <v>92896225</v>
      </c>
      <c r="E306" s="18">
        <v>77259993</v>
      </c>
      <c r="F306" s="18" t="s">
        <v>333</v>
      </c>
      <c r="G306" s="18" t="s">
        <v>336</v>
      </c>
      <c r="H306" s="18">
        <f>IFERROR(VLOOKUP(G306, OBSERVACIÓN!F$2:G$151, 2, 0), " ")</f>
        <v>150</v>
      </c>
      <c r="I306" s="18">
        <v>6</v>
      </c>
      <c r="J306" s="19" t="s">
        <v>371</v>
      </c>
      <c r="K306" s="21" t="s">
        <v>64</v>
      </c>
      <c r="L306" s="22"/>
      <c r="M306" s="21"/>
      <c r="N306" s="26"/>
      <c r="O306" s="22"/>
      <c r="P306" s="19" t="s">
        <v>49</v>
      </c>
      <c r="Q306" s="19" t="s">
        <v>52</v>
      </c>
      <c r="R306" s="22">
        <v>45738</v>
      </c>
      <c r="S306" s="19">
        <f t="shared" si="11"/>
        <v>3</v>
      </c>
    </row>
    <row r="307" spans="1:19" ht="14.25" customHeight="1" x14ac:dyDescent="0.3">
      <c r="A307" s="17">
        <f t="shared" si="9"/>
        <v>306</v>
      </c>
      <c r="B307" s="30">
        <v>80277270</v>
      </c>
      <c r="C307" s="19" t="s">
        <v>446</v>
      </c>
      <c r="D307" s="18">
        <v>92931255</v>
      </c>
      <c r="E307" s="18">
        <v>77292621</v>
      </c>
      <c r="F307" s="18" t="s">
        <v>333</v>
      </c>
      <c r="G307" s="18" t="s">
        <v>335</v>
      </c>
      <c r="H307" s="18">
        <f>IFERROR(VLOOKUP(G307, OBSERVACIÓN!F$2:G$151, 2, 0), " ")</f>
        <v>65</v>
      </c>
      <c r="I307" s="18">
        <v>5</v>
      </c>
      <c r="J307" s="19" t="s">
        <v>449</v>
      </c>
      <c r="K307" s="21" t="s">
        <v>64</v>
      </c>
      <c r="L307" s="22"/>
      <c r="M307" s="36"/>
      <c r="N307" s="26"/>
      <c r="O307" s="22"/>
      <c r="P307" s="19" t="s">
        <v>49</v>
      </c>
      <c r="Q307" s="19" t="s">
        <v>73</v>
      </c>
      <c r="R307" s="22">
        <v>45740</v>
      </c>
      <c r="S307" s="19">
        <f t="shared" si="11"/>
        <v>3</v>
      </c>
    </row>
    <row r="308" spans="1:19" ht="14.25" customHeight="1" x14ac:dyDescent="0.3">
      <c r="A308" s="17">
        <f t="shared" si="9"/>
        <v>307</v>
      </c>
      <c r="B308" s="30">
        <v>77706354</v>
      </c>
      <c r="C308" s="19" t="s">
        <v>448</v>
      </c>
      <c r="D308" s="18">
        <v>92934750</v>
      </c>
      <c r="E308" s="18">
        <v>77294020</v>
      </c>
      <c r="F308" s="18" t="s">
        <v>333</v>
      </c>
      <c r="G308" s="18" t="s">
        <v>335</v>
      </c>
      <c r="H308" s="18">
        <f>IFERROR(VLOOKUP(G308, OBSERVACIÓN!F$2:G$151, 2, 0), " ")</f>
        <v>65</v>
      </c>
      <c r="I308" s="18">
        <v>3</v>
      </c>
      <c r="J308" s="19" t="s">
        <v>369</v>
      </c>
      <c r="K308" s="21" t="s">
        <v>64</v>
      </c>
      <c r="L308" s="22"/>
      <c r="M308" s="21"/>
      <c r="N308" s="26"/>
      <c r="O308" s="22"/>
      <c r="P308" s="19" t="s">
        <v>49</v>
      </c>
      <c r="Q308" s="19" t="s">
        <v>73</v>
      </c>
      <c r="R308" s="22">
        <v>45740</v>
      </c>
      <c r="S308" s="19">
        <f t="shared" si="11"/>
        <v>3</v>
      </c>
    </row>
    <row r="309" spans="1:19" ht="14.25" customHeight="1" x14ac:dyDescent="0.3">
      <c r="A309" s="17">
        <f t="shared" si="9"/>
        <v>308</v>
      </c>
      <c r="B309" s="30">
        <v>25830263</v>
      </c>
      <c r="C309" s="19" t="s">
        <v>459</v>
      </c>
      <c r="D309" s="18">
        <v>93085265</v>
      </c>
      <c r="E309" s="18">
        <v>77398264</v>
      </c>
      <c r="F309" s="18" t="s">
        <v>333</v>
      </c>
      <c r="G309" s="18" t="s">
        <v>335</v>
      </c>
      <c r="H309" s="18">
        <f>IFERROR(VLOOKUP(G309, OBSERVACIÓN!F$2:G$151, 2, 0), " ")</f>
        <v>65</v>
      </c>
      <c r="I309" s="18"/>
      <c r="J309" s="19" t="s">
        <v>462</v>
      </c>
      <c r="K309" s="21" t="s">
        <v>64</v>
      </c>
      <c r="L309" s="22"/>
      <c r="M309" s="21"/>
      <c r="N309" s="26"/>
      <c r="O309" s="22"/>
      <c r="P309" s="19" t="s">
        <v>49</v>
      </c>
      <c r="Q309" s="19" t="s">
        <v>51</v>
      </c>
      <c r="R309" s="22">
        <v>45744</v>
      </c>
      <c r="S309" s="19">
        <f t="shared" si="11"/>
        <v>3</v>
      </c>
    </row>
    <row r="310" spans="1:19" ht="14.25" customHeight="1" x14ac:dyDescent="0.3">
      <c r="A310" s="17">
        <f t="shared" si="9"/>
        <v>309</v>
      </c>
      <c r="B310" s="30">
        <v>1703686</v>
      </c>
      <c r="C310" s="19" t="s">
        <v>460</v>
      </c>
      <c r="D310" s="18">
        <v>93082316</v>
      </c>
      <c r="E310" s="18">
        <v>77396942</v>
      </c>
      <c r="F310" s="18" t="s">
        <v>333</v>
      </c>
      <c r="G310" s="18" t="s">
        <v>383</v>
      </c>
      <c r="H310" s="18">
        <f>IFERROR(VLOOKUP(G310, OBSERVACIÓN!F$2:G$151, 2, 0), " ")</f>
        <v>160</v>
      </c>
      <c r="I310" s="18">
        <v>6</v>
      </c>
      <c r="J310" s="19" t="s">
        <v>465</v>
      </c>
      <c r="K310" s="21" t="s">
        <v>64</v>
      </c>
      <c r="L310" s="22"/>
      <c r="M310" s="21"/>
      <c r="N310" s="26"/>
      <c r="O310" s="22"/>
      <c r="P310" s="19" t="s">
        <v>49</v>
      </c>
      <c r="Q310" s="19" t="s">
        <v>58</v>
      </c>
      <c r="R310" s="22">
        <v>45744</v>
      </c>
      <c r="S310" s="18">
        <v>3</v>
      </c>
    </row>
    <row r="311" spans="1:19" ht="14.25" customHeight="1" x14ac:dyDescent="0.3">
      <c r="A311" s="17">
        <f t="shared" si="9"/>
        <v>310</v>
      </c>
      <c r="B311" s="30">
        <v>10444696325</v>
      </c>
      <c r="C311" s="19" t="s">
        <v>461</v>
      </c>
      <c r="D311" s="18">
        <v>93089224</v>
      </c>
      <c r="E311" s="18">
        <v>77400720</v>
      </c>
      <c r="F311" s="18" t="s">
        <v>334</v>
      </c>
      <c r="G311" s="18" t="s">
        <v>349</v>
      </c>
      <c r="H311" s="18">
        <f>IFERROR(VLOOKUP(G311, OBSERVACIÓN!F$2:G$151, 2, 0), " ")</f>
        <v>65</v>
      </c>
      <c r="I311" s="18">
        <v>10</v>
      </c>
      <c r="J311" s="19" t="s">
        <v>449</v>
      </c>
      <c r="K311" s="21" t="s">
        <v>64</v>
      </c>
      <c r="L311" s="22"/>
      <c r="M311" s="21"/>
      <c r="N311" s="26"/>
      <c r="O311" s="22"/>
      <c r="P311" s="19" t="s">
        <v>49</v>
      </c>
      <c r="Q311" s="19" t="s">
        <v>28</v>
      </c>
      <c r="R311" s="22">
        <v>45744</v>
      </c>
      <c r="S311" s="19">
        <f t="shared" ref="S311:S320" si="12">IF(ISNUMBER(R311)=TRUE, MONTH(R311), " ")</f>
        <v>3</v>
      </c>
    </row>
    <row r="312" spans="1:19" ht="14.25" customHeight="1" x14ac:dyDescent="0.3">
      <c r="A312" s="17">
        <f t="shared" si="9"/>
        <v>311</v>
      </c>
      <c r="B312" s="30">
        <v>16443004</v>
      </c>
      <c r="C312" s="19" t="s">
        <v>464</v>
      </c>
      <c r="D312" s="18">
        <v>93182161</v>
      </c>
      <c r="E312" s="18">
        <v>77481911</v>
      </c>
      <c r="F312" s="18" t="s">
        <v>333</v>
      </c>
      <c r="G312" s="23" t="s">
        <v>336</v>
      </c>
      <c r="H312" s="18">
        <f>IFERROR(VLOOKUP(G312, OBSERVACIÓN!F$2:G$151, 2, 0), " ")</f>
        <v>150</v>
      </c>
      <c r="I312" s="18">
        <v>10</v>
      </c>
      <c r="J312" s="19" t="s">
        <v>468</v>
      </c>
      <c r="K312" s="21" t="s">
        <v>64</v>
      </c>
      <c r="L312" s="22"/>
      <c r="M312" s="21"/>
      <c r="N312" s="26"/>
      <c r="O312" s="22"/>
      <c r="P312" s="19" t="s">
        <v>49</v>
      </c>
      <c r="Q312" s="19" t="s">
        <v>25</v>
      </c>
      <c r="R312" s="22">
        <v>45747</v>
      </c>
      <c r="S312" s="19">
        <f t="shared" si="12"/>
        <v>3</v>
      </c>
    </row>
    <row r="313" spans="1:19" ht="14.25" customHeight="1" x14ac:dyDescent="0.3">
      <c r="A313" s="17">
        <f t="shared" si="9"/>
        <v>312</v>
      </c>
      <c r="B313" s="30" t="s">
        <v>467</v>
      </c>
      <c r="C313" s="19" t="s">
        <v>466</v>
      </c>
      <c r="D313" s="18">
        <v>93182496</v>
      </c>
      <c r="E313" s="18">
        <v>77482072</v>
      </c>
      <c r="F313" s="18" t="s">
        <v>333</v>
      </c>
      <c r="G313" s="18" t="s">
        <v>335</v>
      </c>
      <c r="H313" s="18">
        <f>IFERROR(VLOOKUP(G313, OBSERVACIÓN!F$2:G$151, 2, 0), " ")</f>
        <v>65</v>
      </c>
      <c r="I313" s="18">
        <v>3</v>
      </c>
      <c r="J313" s="19" t="s">
        <v>372</v>
      </c>
      <c r="K313" s="21" t="s">
        <v>64</v>
      </c>
      <c r="L313" s="22"/>
      <c r="M313" s="21"/>
      <c r="N313" s="26"/>
      <c r="O313" s="22"/>
      <c r="P313" s="19" t="s">
        <v>49</v>
      </c>
      <c r="Q313" s="19" t="s">
        <v>34</v>
      </c>
      <c r="R313" s="22">
        <v>45748</v>
      </c>
      <c r="S313" s="19">
        <f t="shared" si="12"/>
        <v>4</v>
      </c>
    </row>
    <row r="314" spans="1:19" ht="14.25" customHeight="1" x14ac:dyDescent="0.3">
      <c r="A314" s="17">
        <f t="shared" si="9"/>
        <v>313</v>
      </c>
      <c r="B314" s="30">
        <v>972731</v>
      </c>
      <c r="C314" s="19" t="s">
        <v>472</v>
      </c>
      <c r="D314" s="18">
        <v>93232684</v>
      </c>
      <c r="E314" s="18">
        <v>77511830</v>
      </c>
      <c r="F314" s="18" t="s">
        <v>333</v>
      </c>
      <c r="G314" s="18" t="s">
        <v>335</v>
      </c>
      <c r="H314" s="18">
        <f>IFERROR(VLOOKUP(G314, OBSERVACIÓN!F$2:G$151, 2, 0), " ")</f>
        <v>65</v>
      </c>
      <c r="I314" s="18">
        <v>8</v>
      </c>
      <c r="J314" s="19" t="s">
        <v>449</v>
      </c>
      <c r="K314" s="21" t="s">
        <v>64</v>
      </c>
      <c r="L314" s="22"/>
      <c r="M314" s="21"/>
      <c r="N314" s="26"/>
      <c r="O314" s="22"/>
      <c r="P314" s="19" t="s">
        <v>49</v>
      </c>
      <c r="Q314" s="19" t="s">
        <v>58</v>
      </c>
      <c r="R314" s="22">
        <v>45749</v>
      </c>
      <c r="S314" s="19">
        <f t="shared" si="12"/>
        <v>4</v>
      </c>
    </row>
    <row r="315" spans="1:19" ht="14.25" customHeight="1" x14ac:dyDescent="0.3">
      <c r="A315" s="17">
        <f t="shared" si="9"/>
        <v>314</v>
      </c>
      <c r="B315" s="30">
        <v>20403003</v>
      </c>
      <c r="C315" s="23" t="s">
        <v>473</v>
      </c>
      <c r="D315" s="18">
        <v>93245238</v>
      </c>
      <c r="E315" s="18">
        <v>77532627</v>
      </c>
      <c r="F315" s="18" t="s">
        <v>333</v>
      </c>
      <c r="G315" s="18" t="s">
        <v>339</v>
      </c>
      <c r="H315" s="18">
        <f>IFERROR(VLOOKUP(G315, OBSERVACIÓN!F$2:G$151, 2, 0), " ")</f>
        <v>75</v>
      </c>
      <c r="I315" s="18">
        <v>7</v>
      </c>
      <c r="J315" s="19" t="s">
        <v>372</v>
      </c>
      <c r="K315" s="21" t="s">
        <v>64</v>
      </c>
      <c r="L315" s="22"/>
      <c r="M315" s="21"/>
      <c r="N315" s="26"/>
      <c r="O315" s="22"/>
      <c r="P315" s="19" t="s">
        <v>49</v>
      </c>
      <c r="Q315" s="19" t="s">
        <v>34</v>
      </c>
      <c r="R315" s="22">
        <v>45750</v>
      </c>
      <c r="S315" s="19">
        <f t="shared" si="12"/>
        <v>4</v>
      </c>
    </row>
    <row r="316" spans="1:19" ht="14.25" customHeight="1" x14ac:dyDescent="0.3">
      <c r="A316" s="17">
        <f t="shared" si="9"/>
        <v>315</v>
      </c>
      <c r="B316" s="30">
        <v>72515714</v>
      </c>
      <c r="C316" s="19" t="s">
        <v>474</v>
      </c>
      <c r="D316" s="18">
        <v>93255901</v>
      </c>
      <c r="E316" s="18">
        <v>77532770</v>
      </c>
      <c r="F316" s="18" t="s">
        <v>333</v>
      </c>
      <c r="G316" s="18" t="s">
        <v>335</v>
      </c>
      <c r="H316" s="18">
        <f>IFERROR(VLOOKUP(G316, OBSERVACIÓN!F$2:G$151, 2, 0), " ")</f>
        <v>65</v>
      </c>
      <c r="I316" s="18">
        <v>1</v>
      </c>
      <c r="J316" s="19" t="s">
        <v>451</v>
      </c>
      <c r="K316" s="21" t="s">
        <v>64</v>
      </c>
      <c r="L316" s="22"/>
      <c r="M316" s="21"/>
      <c r="N316" s="26"/>
      <c r="O316" s="22"/>
      <c r="P316" s="19" t="s">
        <v>49</v>
      </c>
      <c r="Q316" s="19" t="s">
        <v>51</v>
      </c>
      <c r="R316" s="22">
        <v>45750</v>
      </c>
      <c r="S316" s="19">
        <f t="shared" si="12"/>
        <v>4</v>
      </c>
    </row>
    <row r="317" spans="1:19" ht="14.25" customHeight="1" x14ac:dyDescent="0.3">
      <c r="A317" s="17">
        <f t="shared" si="9"/>
        <v>316</v>
      </c>
      <c r="B317" s="30">
        <v>1703686</v>
      </c>
      <c r="C317" s="19" t="s">
        <v>460</v>
      </c>
      <c r="D317" s="18">
        <v>93290768</v>
      </c>
      <c r="E317" s="18">
        <v>77557561</v>
      </c>
      <c r="F317" s="18" t="s">
        <v>333</v>
      </c>
      <c r="G317" s="18" t="s">
        <v>338</v>
      </c>
      <c r="H317" s="18">
        <f>IFERROR(VLOOKUP(G317, OBSERVACIÓN!F$2:G$151, 2, 0), " ")</f>
        <v>160</v>
      </c>
      <c r="I317" s="18">
        <v>6</v>
      </c>
      <c r="J317" s="19" t="s">
        <v>478</v>
      </c>
      <c r="K317" s="21" t="s">
        <v>64</v>
      </c>
      <c r="L317" s="22"/>
      <c r="M317" s="21"/>
      <c r="N317" s="26"/>
      <c r="O317" s="22"/>
      <c r="P317" s="19" t="s">
        <v>49</v>
      </c>
      <c r="Q317" s="19" t="s">
        <v>58</v>
      </c>
      <c r="R317" s="22">
        <v>45751</v>
      </c>
      <c r="S317" s="19">
        <f t="shared" si="12"/>
        <v>4</v>
      </c>
    </row>
    <row r="318" spans="1:19" ht="14.25" customHeight="1" x14ac:dyDescent="0.3">
      <c r="A318" s="17">
        <f t="shared" si="9"/>
        <v>317</v>
      </c>
      <c r="B318" s="30" t="s">
        <v>477</v>
      </c>
      <c r="C318" s="19" t="s">
        <v>48</v>
      </c>
      <c r="D318" s="18">
        <v>93291969</v>
      </c>
      <c r="E318" s="18">
        <v>77558317</v>
      </c>
      <c r="F318" s="18" t="s">
        <v>333</v>
      </c>
      <c r="G318" s="18" t="s">
        <v>336</v>
      </c>
      <c r="H318" s="18">
        <f>IFERROR(VLOOKUP(G318, OBSERVACIÓN!F$2:G$151, 2, 0), " ")</f>
        <v>150</v>
      </c>
      <c r="I318" s="18">
        <v>9</v>
      </c>
      <c r="J318" s="19" t="s">
        <v>372</v>
      </c>
      <c r="K318" s="21" t="s">
        <v>64</v>
      </c>
      <c r="L318" s="22"/>
      <c r="M318" s="21"/>
      <c r="N318" s="26"/>
      <c r="O318" s="22"/>
      <c r="P318" s="19" t="s">
        <v>49</v>
      </c>
      <c r="Q318" s="19"/>
      <c r="R318" s="22">
        <v>45751</v>
      </c>
      <c r="S318" s="19">
        <f t="shared" si="12"/>
        <v>4</v>
      </c>
    </row>
    <row r="319" spans="1:19" ht="14.25" customHeight="1" x14ac:dyDescent="0.3">
      <c r="A319" s="17">
        <f t="shared" si="9"/>
        <v>318</v>
      </c>
      <c r="B319" s="30">
        <v>25830263</v>
      </c>
      <c r="C319" s="19" t="s">
        <v>459</v>
      </c>
      <c r="D319" s="18">
        <v>93271562</v>
      </c>
      <c r="E319" s="18">
        <v>77548141</v>
      </c>
      <c r="F319" s="18" t="s">
        <v>334</v>
      </c>
      <c r="G319" s="18" t="s">
        <v>335</v>
      </c>
      <c r="H319" s="18">
        <f>IFERROR(VLOOKUP(G319, OBSERVACIÓN!F$2:G$151, 2, 0), " ")</f>
        <v>65</v>
      </c>
      <c r="I319" s="18">
        <v>9</v>
      </c>
      <c r="J319" s="19" t="s">
        <v>475</v>
      </c>
      <c r="K319" s="21" t="s">
        <v>64</v>
      </c>
      <c r="L319" s="22"/>
      <c r="M319" s="21"/>
      <c r="N319" s="26"/>
      <c r="O319" s="22"/>
      <c r="P319" s="19" t="s">
        <v>49</v>
      </c>
      <c r="Q319" s="19" t="s">
        <v>51</v>
      </c>
      <c r="R319" s="22">
        <v>45751</v>
      </c>
      <c r="S319" s="19">
        <f t="shared" si="12"/>
        <v>4</v>
      </c>
    </row>
    <row r="320" spans="1:19" ht="14.25" customHeight="1" x14ac:dyDescent="0.3">
      <c r="A320" s="17">
        <f t="shared" si="9"/>
        <v>319</v>
      </c>
      <c r="B320" s="30">
        <v>70375360</v>
      </c>
      <c r="C320" s="19" t="s">
        <v>455</v>
      </c>
      <c r="D320" s="18">
        <v>93054135</v>
      </c>
      <c r="E320" s="18">
        <v>77371368</v>
      </c>
      <c r="F320" s="18" t="s">
        <v>333</v>
      </c>
      <c r="G320" s="18" t="s">
        <v>336</v>
      </c>
      <c r="H320" s="18">
        <f>IFERROR(VLOOKUP(G320, OBSERVACIÓN!F$2:G$151, 2, 0), " ")</f>
        <v>150</v>
      </c>
      <c r="I320" s="18">
        <v>6</v>
      </c>
      <c r="J320" s="19" t="s">
        <v>373</v>
      </c>
      <c r="K320" s="21" t="s">
        <v>64</v>
      </c>
      <c r="L320" s="22"/>
      <c r="M320" s="21"/>
      <c r="N320" s="26"/>
      <c r="O320" s="22"/>
      <c r="P320" s="19" t="s">
        <v>49</v>
      </c>
      <c r="Q320" s="19" t="s">
        <v>73</v>
      </c>
      <c r="R320" s="22">
        <v>45743</v>
      </c>
      <c r="S320" s="19">
        <f t="shared" si="12"/>
        <v>3</v>
      </c>
    </row>
    <row r="321" spans="1:19" ht="14.25" customHeight="1" x14ac:dyDescent="0.3">
      <c r="A321" s="17">
        <f t="shared" si="9"/>
        <v>320</v>
      </c>
      <c r="B321" s="30">
        <v>80327840</v>
      </c>
      <c r="C321" s="19" t="s">
        <v>435</v>
      </c>
      <c r="D321" s="18">
        <v>93038086</v>
      </c>
      <c r="E321" s="18">
        <v>77364108</v>
      </c>
      <c r="F321" s="18" t="s">
        <v>333</v>
      </c>
      <c r="G321" s="23" t="s">
        <v>456</v>
      </c>
      <c r="H321" s="18">
        <v>70</v>
      </c>
      <c r="I321" s="18">
        <v>1</v>
      </c>
      <c r="J321" s="19" t="s">
        <v>449</v>
      </c>
      <c r="K321" s="21" t="s">
        <v>64</v>
      </c>
      <c r="L321" s="22"/>
      <c r="M321" s="21"/>
      <c r="N321" s="26"/>
      <c r="O321" s="22"/>
      <c r="P321" s="19" t="s">
        <v>49</v>
      </c>
      <c r="Q321" s="19" t="s">
        <v>28</v>
      </c>
      <c r="R321" s="22">
        <v>45743</v>
      </c>
      <c r="S321" s="19">
        <f>IF(ISNUMBER(R322)=TRUE, MONTH(R322), " ")</f>
        <v>3</v>
      </c>
    </row>
    <row r="322" spans="1:19" ht="14.25" customHeight="1" x14ac:dyDescent="0.3">
      <c r="A322" s="17">
        <f t="shared" si="9"/>
        <v>321</v>
      </c>
      <c r="B322" s="30">
        <v>75614968</v>
      </c>
      <c r="C322" s="19" t="s">
        <v>463</v>
      </c>
      <c r="D322" s="18">
        <v>93163893</v>
      </c>
      <c r="E322" s="18">
        <v>77457759</v>
      </c>
      <c r="F322" s="18" t="s">
        <v>333</v>
      </c>
      <c r="G322" s="18" t="s">
        <v>335</v>
      </c>
      <c r="H322" s="18">
        <f>IFERROR(VLOOKUP(G322, OBSERVACIÓN!F$2:G$151, 2, 0), " ")</f>
        <v>65</v>
      </c>
      <c r="I322" s="18">
        <v>5</v>
      </c>
      <c r="J322" s="19" t="s">
        <v>483</v>
      </c>
      <c r="K322" s="21" t="s">
        <v>64</v>
      </c>
      <c r="L322" s="22"/>
      <c r="M322" s="21"/>
      <c r="N322" s="26"/>
      <c r="O322" s="22"/>
      <c r="P322" s="19" t="s">
        <v>49</v>
      </c>
      <c r="Q322" s="19" t="s">
        <v>58</v>
      </c>
      <c r="R322" s="22">
        <v>45747</v>
      </c>
      <c r="S322" s="19">
        <f t="shared" ref="S322:S346" si="13">IF(ISNUMBER(R322)=TRUE, MONTH(R322), " ")</f>
        <v>3</v>
      </c>
    </row>
    <row r="323" spans="1:19" ht="14.25" customHeight="1" x14ac:dyDescent="0.3">
      <c r="A323" s="17">
        <f t="shared" si="9"/>
        <v>322</v>
      </c>
      <c r="B323" s="30">
        <v>3843667</v>
      </c>
      <c r="C323" s="19" t="s">
        <v>469</v>
      </c>
      <c r="D323" s="18">
        <v>93197871</v>
      </c>
      <c r="E323" s="18">
        <v>77490672</v>
      </c>
      <c r="F323" s="18" t="s">
        <v>334</v>
      </c>
      <c r="G323" s="18" t="s">
        <v>336</v>
      </c>
      <c r="H323" s="18">
        <f>IFERROR(VLOOKUP(G323, OBSERVACIÓN!F$2:G$151, 2, 0), " ")</f>
        <v>150</v>
      </c>
      <c r="I323" s="18">
        <v>4</v>
      </c>
      <c r="J323" s="19" t="s">
        <v>373</v>
      </c>
      <c r="K323" s="21" t="s">
        <v>64</v>
      </c>
      <c r="L323" s="22"/>
      <c r="M323" s="21"/>
      <c r="N323" s="26"/>
      <c r="O323" s="22"/>
      <c r="P323" s="19" t="s">
        <v>49</v>
      </c>
      <c r="Q323" s="19" t="s">
        <v>424</v>
      </c>
      <c r="R323" s="22">
        <v>45748</v>
      </c>
      <c r="S323" s="19">
        <f t="shared" si="13"/>
        <v>4</v>
      </c>
    </row>
    <row r="324" spans="1:19" ht="14.25" customHeight="1" x14ac:dyDescent="0.3">
      <c r="A324" s="17">
        <f t="shared" ref="A324:A387" si="14">A323+1</f>
        <v>323</v>
      </c>
      <c r="B324" s="30">
        <v>41351719</v>
      </c>
      <c r="C324" s="19" t="s">
        <v>476</v>
      </c>
      <c r="D324" s="18">
        <v>93286633</v>
      </c>
      <c r="E324" s="18">
        <v>77555460</v>
      </c>
      <c r="F324" s="18" t="s">
        <v>334</v>
      </c>
      <c r="G324" s="18" t="s">
        <v>335</v>
      </c>
      <c r="H324" s="18">
        <f>IFERROR(VLOOKUP(G324, OBSERVACIÓN!F$2:G$151, 2, 0), " ")</f>
        <v>65</v>
      </c>
      <c r="I324" s="18">
        <v>2</v>
      </c>
      <c r="J324" s="19" t="s">
        <v>484</v>
      </c>
      <c r="K324" s="21" t="s">
        <v>64</v>
      </c>
      <c r="L324" s="22"/>
      <c r="M324" s="21"/>
      <c r="N324" s="26"/>
      <c r="O324" s="22"/>
      <c r="P324" s="19" t="s">
        <v>49</v>
      </c>
      <c r="Q324" s="19" t="s">
        <v>28</v>
      </c>
      <c r="R324" s="22">
        <v>45751</v>
      </c>
      <c r="S324" s="19">
        <f t="shared" si="13"/>
        <v>4</v>
      </c>
    </row>
    <row r="325" spans="1:19" ht="14.25" customHeight="1" x14ac:dyDescent="0.3">
      <c r="A325" s="17">
        <f t="shared" si="14"/>
        <v>324</v>
      </c>
      <c r="B325" s="30">
        <v>74425289</v>
      </c>
      <c r="C325" s="19" t="s">
        <v>480</v>
      </c>
      <c r="D325" s="18">
        <v>93321159</v>
      </c>
      <c r="E325" s="18">
        <v>77599067</v>
      </c>
      <c r="F325" s="18" t="s">
        <v>333</v>
      </c>
      <c r="G325" s="18" t="s">
        <v>335</v>
      </c>
      <c r="H325" s="18">
        <f>IFERROR(VLOOKUP(G325, OBSERVACIÓN!F$2:G$151, 2, 0), " ")</f>
        <v>65</v>
      </c>
      <c r="I325" s="18">
        <v>3</v>
      </c>
      <c r="J325" s="19" t="s">
        <v>483</v>
      </c>
      <c r="K325" s="21" t="s">
        <v>64</v>
      </c>
      <c r="L325" s="22"/>
      <c r="M325" s="21"/>
      <c r="N325" s="26"/>
      <c r="O325" s="22"/>
      <c r="P325" s="19" t="s">
        <v>49</v>
      </c>
      <c r="Q325" s="19" t="s">
        <v>427</v>
      </c>
      <c r="R325" s="22">
        <v>45752</v>
      </c>
      <c r="S325" s="19">
        <f t="shared" si="13"/>
        <v>4</v>
      </c>
    </row>
    <row r="326" spans="1:19" ht="14.25" customHeight="1" x14ac:dyDescent="0.3">
      <c r="A326" s="17">
        <f t="shared" si="14"/>
        <v>325</v>
      </c>
      <c r="B326" s="30">
        <v>15692093</v>
      </c>
      <c r="C326" s="19" t="s">
        <v>486</v>
      </c>
      <c r="D326" s="18">
        <v>93398412</v>
      </c>
      <c r="E326" s="18">
        <v>77852079</v>
      </c>
      <c r="F326" s="18" t="s">
        <v>333</v>
      </c>
      <c r="G326" s="18" t="s">
        <v>339</v>
      </c>
      <c r="H326" s="18">
        <f>IFERROR(VLOOKUP(G326, OBSERVACIÓN!F$2:G$151, 2, 0), " ")</f>
        <v>75</v>
      </c>
      <c r="I326" s="18">
        <v>3</v>
      </c>
      <c r="J326" s="19" t="s">
        <v>475</v>
      </c>
      <c r="K326" s="21" t="s">
        <v>64</v>
      </c>
      <c r="L326" s="22"/>
      <c r="M326" s="21"/>
      <c r="N326" s="26"/>
      <c r="O326" s="22"/>
      <c r="P326" s="19" t="s">
        <v>49</v>
      </c>
      <c r="Q326" s="19" t="s">
        <v>427</v>
      </c>
      <c r="R326" s="22">
        <v>45755</v>
      </c>
      <c r="S326" s="19">
        <f t="shared" si="13"/>
        <v>4</v>
      </c>
    </row>
    <row r="327" spans="1:19" ht="14.25" customHeight="1" x14ac:dyDescent="0.3">
      <c r="A327" s="17">
        <f t="shared" si="14"/>
        <v>326</v>
      </c>
      <c r="B327" s="30">
        <v>43641520</v>
      </c>
      <c r="C327" s="19" t="s">
        <v>487</v>
      </c>
      <c r="D327" s="18">
        <v>93411947</v>
      </c>
      <c r="E327" s="18">
        <v>77858317</v>
      </c>
      <c r="F327" s="18" t="s">
        <v>333</v>
      </c>
      <c r="G327" s="18" t="s">
        <v>338</v>
      </c>
      <c r="H327" s="18">
        <f>IFERROR(VLOOKUP(G327, OBSERVACIÓN!F$2:G$151, 2, 0), " ")</f>
        <v>160</v>
      </c>
      <c r="I327" s="18">
        <v>6</v>
      </c>
      <c r="J327" s="19" t="s">
        <v>488</v>
      </c>
      <c r="K327" s="21" t="s">
        <v>64</v>
      </c>
      <c r="L327" s="22"/>
      <c r="M327" s="21"/>
      <c r="N327" s="26"/>
      <c r="O327" s="22"/>
      <c r="P327" s="19" t="s">
        <v>49</v>
      </c>
      <c r="Q327" s="19" t="s">
        <v>58</v>
      </c>
      <c r="R327" s="22">
        <v>45755</v>
      </c>
      <c r="S327" s="19">
        <f t="shared" si="13"/>
        <v>4</v>
      </c>
    </row>
    <row r="328" spans="1:19" ht="14.25" customHeight="1" x14ac:dyDescent="0.3">
      <c r="A328" s="17">
        <f t="shared" si="14"/>
        <v>327</v>
      </c>
      <c r="B328" s="30">
        <v>4209003</v>
      </c>
      <c r="C328" s="19" t="s">
        <v>490</v>
      </c>
      <c r="D328" s="18">
        <v>93438607</v>
      </c>
      <c r="E328" s="18">
        <v>77892828</v>
      </c>
      <c r="F328" s="18" t="s">
        <v>333</v>
      </c>
      <c r="G328" s="18" t="s">
        <v>335</v>
      </c>
      <c r="H328" s="18">
        <f>IFERROR(VLOOKUP(G328, OBSERVACIÓN!F$2:G$151, 2, 0), " ")</f>
        <v>65</v>
      </c>
      <c r="I328" s="18">
        <v>4</v>
      </c>
      <c r="J328" s="19" t="s">
        <v>475</v>
      </c>
      <c r="K328" s="21" t="s">
        <v>64</v>
      </c>
      <c r="L328" s="22"/>
      <c r="M328" s="21"/>
      <c r="N328" s="26"/>
      <c r="O328" s="22"/>
      <c r="P328" s="19" t="s">
        <v>49</v>
      </c>
      <c r="Q328" s="19" t="s">
        <v>25</v>
      </c>
      <c r="R328" s="22">
        <v>45756</v>
      </c>
      <c r="S328" s="19">
        <f t="shared" si="13"/>
        <v>4</v>
      </c>
    </row>
    <row r="329" spans="1:19" ht="14.25" customHeight="1" x14ac:dyDescent="0.3">
      <c r="A329" s="17">
        <f t="shared" si="14"/>
        <v>328</v>
      </c>
      <c r="B329" s="30">
        <v>48293313</v>
      </c>
      <c r="C329" s="19" t="s">
        <v>481</v>
      </c>
      <c r="D329" s="18">
        <v>93324604</v>
      </c>
      <c r="E329" s="18">
        <v>77600367</v>
      </c>
      <c r="F329" s="18" t="s">
        <v>333</v>
      </c>
      <c r="G329" s="18" t="s">
        <v>339</v>
      </c>
      <c r="H329" s="18">
        <f>IFERROR(VLOOKUP(G329, OBSERVACIÓN!F$2:G$151, 2, 0), " ")</f>
        <v>75</v>
      </c>
      <c r="I329" s="18">
        <v>2</v>
      </c>
      <c r="J329" s="19" t="s">
        <v>445</v>
      </c>
      <c r="K329" s="21" t="s">
        <v>64</v>
      </c>
      <c r="L329" s="22"/>
      <c r="M329" s="21"/>
      <c r="N329" s="26"/>
      <c r="O329" s="22"/>
      <c r="P329" s="19" t="s">
        <v>49</v>
      </c>
      <c r="Q329" s="19" t="s">
        <v>28</v>
      </c>
      <c r="R329" s="22">
        <v>45752</v>
      </c>
      <c r="S329" s="19">
        <f t="shared" si="13"/>
        <v>4</v>
      </c>
    </row>
    <row r="330" spans="1:19" ht="14.25" customHeight="1" x14ac:dyDescent="0.3">
      <c r="A330" s="17">
        <f t="shared" si="14"/>
        <v>329</v>
      </c>
      <c r="B330" s="30">
        <v>70522580</v>
      </c>
      <c r="C330" s="19" t="s">
        <v>482</v>
      </c>
      <c r="D330" s="18">
        <v>93324971</v>
      </c>
      <c r="E330" s="18">
        <v>77600526</v>
      </c>
      <c r="F330" s="18" t="s">
        <v>333</v>
      </c>
      <c r="G330" s="18" t="s">
        <v>336</v>
      </c>
      <c r="H330" s="18">
        <f>IFERROR(VLOOKUP(G330, OBSERVACIÓN!F$2:G$151, 2, 0), " ")</f>
        <v>150</v>
      </c>
      <c r="I330" s="18">
        <v>4</v>
      </c>
      <c r="J330" s="19" t="s">
        <v>16</v>
      </c>
      <c r="K330" s="21" t="s">
        <v>57</v>
      </c>
      <c r="L330" s="22"/>
      <c r="M330" s="21"/>
      <c r="N330" s="26"/>
      <c r="O330" s="22"/>
      <c r="P330" s="19" t="s">
        <v>49</v>
      </c>
      <c r="Q330" s="19" t="s">
        <v>58</v>
      </c>
      <c r="R330" s="22">
        <v>45752</v>
      </c>
      <c r="S330" s="19">
        <f t="shared" si="13"/>
        <v>4</v>
      </c>
    </row>
    <row r="331" spans="1:19" ht="14.25" customHeight="1" x14ac:dyDescent="0.3">
      <c r="A331" s="17">
        <f t="shared" si="14"/>
        <v>330</v>
      </c>
      <c r="B331" s="30">
        <v>21814316</v>
      </c>
      <c r="C331" s="19" t="s">
        <v>489</v>
      </c>
      <c r="D331" s="18">
        <v>93423217</v>
      </c>
      <c r="E331" s="18">
        <v>77881191</v>
      </c>
      <c r="F331" s="18" t="s">
        <v>333</v>
      </c>
      <c r="G331" s="18" t="s">
        <v>335</v>
      </c>
      <c r="H331" s="18">
        <f>IFERROR(VLOOKUP(G331, OBSERVACIÓN!F$2:G$151, 2, 0), " ")</f>
        <v>65</v>
      </c>
      <c r="I331" s="18">
        <v>6</v>
      </c>
      <c r="J331" s="19" t="s">
        <v>371</v>
      </c>
      <c r="K331" s="21" t="s">
        <v>64</v>
      </c>
      <c r="L331" s="22"/>
      <c r="M331" s="21"/>
      <c r="N331" s="26"/>
      <c r="O331" s="22"/>
      <c r="P331" s="19" t="s">
        <v>49</v>
      </c>
      <c r="Q331" s="19" t="s">
        <v>51</v>
      </c>
      <c r="R331" s="22">
        <v>45756</v>
      </c>
      <c r="S331" s="19">
        <f t="shared" si="13"/>
        <v>4</v>
      </c>
    </row>
    <row r="332" spans="1:19" ht="14.25" customHeight="1" x14ac:dyDescent="0.3">
      <c r="A332" s="17">
        <f t="shared" si="14"/>
        <v>331</v>
      </c>
      <c r="B332" s="30">
        <v>43641520</v>
      </c>
      <c r="C332" s="19" t="s">
        <v>487</v>
      </c>
      <c r="D332" s="18">
        <v>93427095</v>
      </c>
      <c r="E332" s="18">
        <v>77883772</v>
      </c>
      <c r="F332" s="18" t="s">
        <v>333</v>
      </c>
      <c r="G332" s="18" t="s">
        <v>338</v>
      </c>
      <c r="H332" s="18">
        <f>IFERROR(VLOOKUP(G332, OBSERVACIÓN!F$2:G$151, 2, 0), " ")</f>
        <v>160</v>
      </c>
      <c r="I332" s="18">
        <v>6</v>
      </c>
      <c r="J332" s="19" t="s">
        <v>445</v>
      </c>
      <c r="K332" s="21" t="s">
        <v>64</v>
      </c>
      <c r="L332" s="22"/>
      <c r="M332" s="21"/>
      <c r="N332" s="26"/>
      <c r="O332" s="22"/>
      <c r="P332" s="19" t="s">
        <v>49</v>
      </c>
      <c r="Q332" s="19" t="s">
        <v>58</v>
      </c>
      <c r="R332" s="22">
        <v>45756</v>
      </c>
      <c r="S332" s="19">
        <f t="shared" si="13"/>
        <v>4</v>
      </c>
    </row>
    <row r="333" spans="1:19" ht="14.25" customHeight="1" x14ac:dyDescent="0.3">
      <c r="A333" s="17">
        <f t="shared" si="14"/>
        <v>332</v>
      </c>
      <c r="B333" s="30">
        <v>75955482</v>
      </c>
      <c r="C333" s="19" t="s">
        <v>492</v>
      </c>
      <c r="D333" s="18">
        <v>93453195</v>
      </c>
      <c r="E333" s="18">
        <v>77911526</v>
      </c>
      <c r="F333" s="18" t="s">
        <v>333</v>
      </c>
      <c r="G333" s="18" t="s">
        <v>335</v>
      </c>
      <c r="H333" s="18">
        <f>IFERROR(VLOOKUP(G333, OBSERVACIÓN!F$2:G$151, 2, 0), " ")</f>
        <v>65</v>
      </c>
      <c r="I333" s="18">
        <v>8</v>
      </c>
      <c r="J333" s="19" t="s">
        <v>496</v>
      </c>
      <c r="K333" s="21" t="s">
        <v>64</v>
      </c>
      <c r="L333" s="22"/>
      <c r="M333" s="21"/>
      <c r="N333" s="26"/>
      <c r="O333" s="22"/>
      <c r="P333" s="19" t="s">
        <v>49</v>
      </c>
      <c r="Q333" s="19" t="s">
        <v>427</v>
      </c>
      <c r="R333" s="22">
        <v>45757</v>
      </c>
      <c r="S333" s="19">
        <f t="shared" si="13"/>
        <v>4</v>
      </c>
    </row>
    <row r="334" spans="1:19" ht="14.25" customHeight="1" x14ac:dyDescent="0.3">
      <c r="A334" s="17">
        <f t="shared" si="14"/>
        <v>333</v>
      </c>
      <c r="B334" s="30">
        <v>45329233</v>
      </c>
      <c r="C334" s="19" t="s">
        <v>485</v>
      </c>
      <c r="D334" s="18">
        <v>93387736</v>
      </c>
      <c r="E334" s="18">
        <v>77847111</v>
      </c>
      <c r="F334" s="18" t="s">
        <v>333</v>
      </c>
      <c r="G334" s="18" t="s">
        <v>335</v>
      </c>
      <c r="H334" s="18">
        <f>IFERROR(VLOOKUP(G334, OBSERVACIÓN!F$2:G$151, 2, 0), " ")</f>
        <v>65</v>
      </c>
      <c r="I334" s="18">
        <v>6</v>
      </c>
      <c r="J334" s="19" t="s">
        <v>496</v>
      </c>
      <c r="K334" s="21" t="s">
        <v>64</v>
      </c>
      <c r="L334" s="22"/>
      <c r="M334" s="21"/>
      <c r="N334" s="26"/>
      <c r="O334" s="22"/>
      <c r="P334" s="19" t="s">
        <v>49</v>
      </c>
      <c r="Q334" s="19" t="s">
        <v>427</v>
      </c>
      <c r="R334" s="22">
        <v>45755</v>
      </c>
      <c r="S334" s="19">
        <f t="shared" si="13"/>
        <v>4</v>
      </c>
    </row>
    <row r="335" spans="1:19" ht="14.25" customHeight="1" x14ac:dyDescent="0.3">
      <c r="A335" s="17">
        <f t="shared" si="14"/>
        <v>334</v>
      </c>
      <c r="B335" s="30">
        <v>43124417</v>
      </c>
      <c r="C335" s="19" t="s">
        <v>495</v>
      </c>
      <c r="D335" s="18">
        <v>93494913</v>
      </c>
      <c r="E335" s="18">
        <v>77943104</v>
      </c>
      <c r="F335" s="18" t="s">
        <v>333</v>
      </c>
      <c r="G335" s="18" t="s">
        <v>335</v>
      </c>
      <c r="H335" s="18">
        <f>IFERROR(VLOOKUP(G335, OBSERVACIÓN!F$2:G$151, 2, 0), " ")</f>
        <v>65</v>
      </c>
      <c r="I335" s="18">
        <v>4</v>
      </c>
      <c r="J335" s="19" t="s">
        <v>502</v>
      </c>
      <c r="K335" s="21" t="s">
        <v>64</v>
      </c>
      <c r="L335" s="22"/>
      <c r="M335" s="21"/>
      <c r="N335" s="26"/>
      <c r="O335" s="22"/>
      <c r="P335" s="19" t="s">
        <v>49</v>
      </c>
      <c r="Q335" s="19" t="s">
        <v>51</v>
      </c>
      <c r="R335" s="22">
        <v>45758</v>
      </c>
      <c r="S335" s="19">
        <f t="shared" si="13"/>
        <v>4</v>
      </c>
    </row>
    <row r="336" spans="1:19" ht="14.25" customHeight="1" x14ac:dyDescent="0.3">
      <c r="A336" s="17">
        <f t="shared" si="14"/>
        <v>335</v>
      </c>
      <c r="B336" s="30">
        <v>32050</v>
      </c>
      <c r="C336" s="19" t="s">
        <v>497</v>
      </c>
      <c r="D336" s="18">
        <v>93578419</v>
      </c>
      <c r="E336" s="18">
        <v>77995437</v>
      </c>
      <c r="F336" s="18" t="s">
        <v>333</v>
      </c>
      <c r="G336" s="18" t="s">
        <v>336</v>
      </c>
      <c r="H336" s="18">
        <f>IFERROR(VLOOKUP(G336, OBSERVACIÓN!F$2:G$151, 2, 0), " ")</f>
        <v>150</v>
      </c>
      <c r="I336" s="18">
        <v>6</v>
      </c>
      <c r="J336" s="19" t="s">
        <v>373</v>
      </c>
      <c r="K336" s="21" t="s">
        <v>64</v>
      </c>
      <c r="L336" s="22"/>
      <c r="M336" s="21"/>
      <c r="N336" s="26"/>
      <c r="O336" s="22"/>
      <c r="P336" s="19" t="s">
        <v>49</v>
      </c>
      <c r="Q336" s="19" t="s">
        <v>479</v>
      </c>
      <c r="R336" s="22">
        <v>45761</v>
      </c>
      <c r="S336" s="19">
        <f t="shared" si="13"/>
        <v>4</v>
      </c>
    </row>
    <row r="337" spans="1:19" ht="14.25" customHeight="1" x14ac:dyDescent="0.3">
      <c r="A337" s="17">
        <f t="shared" si="14"/>
        <v>336</v>
      </c>
      <c r="B337" s="30">
        <v>18048829</v>
      </c>
      <c r="C337" s="23" t="s">
        <v>499</v>
      </c>
      <c r="D337" s="18">
        <v>93600151</v>
      </c>
      <c r="E337" s="18">
        <v>78017399</v>
      </c>
      <c r="F337" s="18" t="s">
        <v>333</v>
      </c>
      <c r="G337" s="18" t="s">
        <v>336</v>
      </c>
      <c r="H337" s="18">
        <f>IFERROR(VLOOKUP(G337, OBSERVACIÓN!F$2:G$151, 2, 0), " ")</f>
        <v>150</v>
      </c>
      <c r="I337" s="18">
        <v>8</v>
      </c>
      <c r="J337" s="19" t="s">
        <v>373</v>
      </c>
      <c r="K337" s="21" t="s">
        <v>64</v>
      </c>
      <c r="L337" s="22"/>
      <c r="M337" s="21"/>
      <c r="N337" s="26"/>
      <c r="O337" s="22"/>
      <c r="P337" s="19" t="s">
        <v>49</v>
      </c>
      <c r="Q337" s="19" t="s">
        <v>34</v>
      </c>
      <c r="R337" s="22">
        <v>45762</v>
      </c>
      <c r="S337" s="19">
        <f t="shared" si="13"/>
        <v>4</v>
      </c>
    </row>
    <row r="338" spans="1:19" ht="14.25" customHeight="1" x14ac:dyDescent="0.3">
      <c r="A338" s="17">
        <f t="shared" si="14"/>
        <v>337</v>
      </c>
      <c r="B338" s="30">
        <v>26657062</v>
      </c>
      <c r="C338" s="19" t="s">
        <v>505</v>
      </c>
      <c r="D338" s="18">
        <v>93671359</v>
      </c>
      <c r="E338" s="18">
        <v>78051165</v>
      </c>
      <c r="F338" s="18" t="s">
        <v>333</v>
      </c>
      <c r="G338" s="18" t="s">
        <v>336</v>
      </c>
      <c r="H338" s="18">
        <f>IFERROR(VLOOKUP(G338, OBSERVACIÓN!F$2:G$151, 2, 0), " ")</f>
        <v>150</v>
      </c>
      <c r="I338" s="18">
        <v>5</v>
      </c>
      <c r="J338" s="19" t="s">
        <v>373</v>
      </c>
      <c r="K338" s="21" t="s">
        <v>64</v>
      </c>
      <c r="L338" s="38"/>
      <c r="M338" s="21"/>
      <c r="N338" s="26"/>
      <c r="O338" s="38"/>
      <c r="P338" s="19" t="s">
        <v>49</v>
      </c>
      <c r="Q338" s="19" t="s">
        <v>28</v>
      </c>
      <c r="R338" s="38">
        <v>45764</v>
      </c>
      <c r="S338" s="19">
        <f t="shared" si="13"/>
        <v>4</v>
      </c>
    </row>
    <row r="339" spans="1:19" ht="14.25" customHeight="1" x14ac:dyDescent="0.3">
      <c r="A339" s="17">
        <f t="shared" si="14"/>
        <v>338</v>
      </c>
      <c r="B339" s="30">
        <v>8090297</v>
      </c>
      <c r="C339" s="19" t="s">
        <v>509</v>
      </c>
      <c r="D339" s="18">
        <v>93691540</v>
      </c>
      <c r="E339" s="18">
        <v>78059016</v>
      </c>
      <c r="F339" s="18" t="s">
        <v>333</v>
      </c>
      <c r="G339" s="18" t="s">
        <v>336</v>
      </c>
      <c r="H339" s="18">
        <f>IFERROR(VLOOKUP(G339, OBSERVACIÓN!F$2:G$151, 2, 0), " ")</f>
        <v>150</v>
      </c>
      <c r="I339" s="18">
        <v>6</v>
      </c>
      <c r="J339" s="19" t="s">
        <v>373</v>
      </c>
      <c r="K339" s="36" t="s">
        <v>64</v>
      </c>
      <c r="L339" s="38"/>
      <c r="M339" s="21"/>
      <c r="N339" s="26"/>
      <c r="O339" s="38"/>
      <c r="P339" s="19" t="s">
        <v>49</v>
      </c>
      <c r="Q339" s="19" t="s">
        <v>424</v>
      </c>
      <c r="R339" s="38">
        <v>45765</v>
      </c>
      <c r="S339" s="19">
        <f t="shared" si="13"/>
        <v>4</v>
      </c>
    </row>
    <row r="340" spans="1:19" ht="14.25" customHeight="1" x14ac:dyDescent="0.3">
      <c r="A340" s="17">
        <f t="shared" si="14"/>
        <v>339</v>
      </c>
      <c r="B340" s="30">
        <v>46853169</v>
      </c>
      <c r="C340" s="19" t="s">
        <v>511</v>
      </c>
      <c r="D340" s="18">
        <v>93693811</v>
      </c>
      <c r="E340" s="18">
        <v>78059567</v>
      </c>
      <c r="F340" s="18" t="s">
        <v>333</v>
      </c>
      <c r="G340" s="18" t="s">
        <v>337</v>
      </c>
      <c r="H340" s="18">
        <f>IFERROR(VLOOKUP(G340, OBSERVACIÓN!F$2:G$151, 2, 0), " ")</f>
        <v>170</v>
      </c>
      <c r="I340" s="18">
        <v>10</v>
      </c>
      <c r="J340" s="19" t="s">
        <v>368</v>
      </c>
      <c r="K340" s="21" t="s">
        <v>64</v>
      </c>
      <c r="L340" s="38"/>
      <c r="M340" s="21"/>
      <c r="N340" s="26"/>
      <c r="O340" s="38"/>
      <c r="P340" s="19" t="s">
        <v>49</v>
      </c>
      <c r="Q340" s="19" t="s">
        <v>51</v>
      </c>
      <c r="R340" s="38">
        <v>45765</v>
      </c>
      <c r="S340" s="19">
        <f t="shared" si="13"/>
        <v>4</v>
      </c>
    </row>
    <row r="341" spans="1:19" ht="14.25" customHeight="1" x14ac:dyDescent="0.3">
      <c r="A341" s="17">
        <f t="shared" si="14"/>
        <v>340</v>
      </c>
      <c r="B341" s="30">
        <v>41351719</v>
      </c>
      <c r="C341" s="19" t="s">
        <v>476</v>
      </c>
      <c r="D341" s="18">
        <v>93367017</v>
      </c>
      <c r="E341" s="18">
        <v>77878923</v>
      </c>
      <c r="F341" s="18" t="s">
        <v>334</v>
      </c>
      <c r="G341" s="18" t="s">
        <v>335</v>
      </c>
      <c r="H341" s="18">
        <f>IFERROR(VLOOKUP(G341, OBSERVACIÓN!F$2:G$151, 2, 0), " ")</f>
        <v>65</v>
      </c>
      <c r="I341" s="18">
        <v>2</v>
      </c>
      <c r="J341" s="19" t="s">
        <v>373</v>
      </c>
      <c r="K341" s="21" t="s">
        <v>64</v>
      </c>
      <c r="L341" s="38"/>
      <c r="M341" s="21"/>
      <c r="N341" s="26"/>
      <c r="O341" s="38"/>
      <c r="P341" s="19" t="s">
        <v>49</v>
      </c>
      <c r="Q341" s="19" t="s">
        <v>28</v>
      </c>
      <c r="R341" s="38">
        <v>45756</v>
      </c>
      <c r="S341" s="19">
        <f t="shared" si="13"/>
        <v>4</v>
      </c>
    </row>
    <row r="342" spans="1:19" ht="14.25" customHeight="1" x14ac:dyDescent="0.3">
      <c r="A342" s="17">
        <f t="shared" si="14"/>
        <v>341</v>
      </c>
      <c r="B342" s="30">
        <v>47265400</v>
      </c>
      <c r="C342" s="19" t="s">
        <v>512</v>
      </c>
      <c r="D342" s="18">
        <v>93696594</v>
      </c>
      <c r="E342" s="18">
        <v>78060554</v>
      </c>
      <c r="F342" s="18" t="s">
        <v>333</v>
      </c>
      <c r="G342" s="18" t="s">
        <v>338</v>
      </c>
      <c r="H342" s="18">
        <f>IFERROR(VLOOKUP(G342, OBSERVACIÓN!F$2:G$151, 2, 0), " ")</f>
        <v>160</v>
      </c>
      <c r="I342" s="18">
        <v>10</v>
      </c>
      <c r="J342" s="19" t="s">
        <v>373</v>
      </c>
      <c r="K342" s="21" t="s">
        <v>64</v>
      </c>
      <c r="L342" s="38"/>
      <c r="M342" s="21"/>
      <c r="N342" s="26"/>
      <c r="O342" s="38"/>
      <c r="P342" s="19" t="s">
        <v>49</v>
      </c>
      <c r="Q342" s="19" t="s">
        <v>58</v>
      </c>
      <c r="R342" s="38">
        <v>45765</v>
      </c>
      <c r="S342" s="19">
        <f t="shared" si="13"/>
        <v>4</v>
      </c>
    </row>
    <row r="343" spans="1:19" ht="14.25" customHeight="1" x14ac:dyDescent="0.3">
      <c r="A343" s="17">
        <f t="shared" si="14"/>
        <v>342</v>
      </c>
      <c r="B343" s="30">
        <v>40824958</v>
      </c>
      <c r="C343" s="19" t="s">
        <v>513</v>
      </c>
      <c r="D343" s="18">
        <v>93769004</v>
      </c>
      <c r="E343" s="18">
        <v>78116284</v>
      </c>
      <c r="F343" s="18" t="s">
        <v>334</v>
      </c>
      <c r="G343" s="18" t="s">
        <v>382</v>
      </c>
      <c r="H343" s="18">
        <f>IFERROR(VLOOKUP(G343, OBSERVACIÓN!F$2:G$151, 2, 0), " ")</f>
        <v>155</v>
      </c>
      <c r="I343" s="18">
        <v>10</v>
      </c>
      <c r="J343" s="19" t="s">
        <v>475</v>
      </c>
      <c r="K343" s="21" t="s">
        <v>64</v>
      </c>
      <c r="L343" s="38"/>
      <c r="M343" s="21"/>
      <c r="N343" s="26"/>
      <c r="O343" s="38"/>
      <c r="P343" s="19" t="s">
        <v>49</v>
      </c>
      <c r="Q343" s="19" t="s">
        <v>34</v>
      </c>
      <c r="R343" s="38">
        <v>45768</v>
      </c>
      <c r="S343" s="19">
        <f t="shared" si="13"/>
        <v>4</v>
      </c>
    </row>
    <row r="344" spans="1:19" ht="14.25" customHeight="1" x14ac:dyDescent="0.3">
      <c r="A344" s="17">
        <f t="shared" si="14"/>
        <v>343</v>
      </c>
      <c r="B344" s="30">
        <v>10453292334</v>
      </c>
      <c r="C344" s="19" t="s">
        <v>485</v>
      </c>
      <c r="D344" s="18">
        <v>93568213</v>
      </c>
      <c r="E344" s="18">
        <v>77990493</v>
      </c>
      <c r="F344" s="18" t="s">
        <v>333</v>
      </c>
      <c r="G344" s="23" t="s">
        <v>342</v>
      </c>
      <c r="H344" s="18">
        <f>IFERROR(VLOOKUP(G344, OBSERVACIÓN!F$2:G$151, 2, 0), " ")</f>
        <v>65</v>
      </c>
      <c r="I344" s="18">
        <v>6</v>
      </c>
      <c r="J344" s="19" t="s">
        <v>373</v>
      </c>
      <c r="K344" s="21" t="s">
        <v>64</v>
      </c>
      <c r="L344" s="38"/>
      <c r="M344" s="21"/>
      <c r="N344" s="26"/>
      <c r="O344" s="38"/>
      <c r="P344" s="19" t="s">
        <v>49</v>
      </c>
      <c r="Q344" s="19" t="s">
        <v>427</v>
      </c>
      <c r="R344" s="38">
        <v>45761</v>
      </c>
      <c r="S344" s="19">
        <f t="shared" si="13"/>
        <v>4</v>
      </c>
    </row>
    <row r="345" spans="1:19" ht="14.25" customHeight="1" x14ac:dyDescent="0.3">
      <c r="A345" s="17">
        <f t="shared" si="14"/>
        <v>344</v>
      </c>
      <c r="B345" s="30">
        <v>73798253</v>
      </c>
      <c r="C345" s="19" t="s">
        <v>493</v>
      </c>
      <c r="D345" s="23">
        <v>93455968</v>
      </c>
      <c r="E345" s="18">
        <v>77914738</v>
      </c>
      <c r="F345" s="18" t="s">
        <v>333</v>
      </c>
      <c r="G345" s="18" t="s">
        <v>336</v>
      </c>
      <c r="H345" s="18">
        <f>IFERROR(VLOOKUP(G345, OBSERVACIÓN!F$2:G$151, 2, 0), " ")</f>
        <v>150</v>
      </c>
      <c r="I345" s="18">
        <v>8</v>
      </c>
      <c r="J345" s="19" t="s">
        <v>373</v>
      </c>
      <c r="K345" s="21" t="s">
        <v>64</v>
      </c>
      <c r="L345" s="38"/>
      <c r="M345" s="21"/>
      <c r="N345" s="26"/>
      <c r="O345" s="38"/>
      <c r="P345" s="19" t="s">
        <v>49</v>
      </c>
      <c r="Q345" s="19" t="s">
        <v>28</v>
      </c>
      <c r="R345" s="38">
        <v>45757</v>
      </c>
      <c r="S345" s="19">
        <f t="shared" si="13"/>
        <v>4</v>
      </c>
    </row>
    <row r="346" spans="1:19" ht="14.25" customHeight="1" x14ac:dyDescent="0.3">
      <c r="A346" s="17">
        <f t="shared" si="14"/>
        <v>345</v>
      </c>
      <c r="B346" s="30">
        <v>41490459</v>
      </c>
      <c r="C346" s="19" t="s">
        <v>491</v>
      </c>
      <c r="D346" s="18">
        <v>93439329</v>
      </c>
      <c r="E346" s="18">
        <v>77895173</v>
      </c>
      <c r="F346" s="18" t="s">
        <v>333</v>
      </c>
      <c r="G346" s="18" t="s">
        <v>338</v>
      </c>
      <c r="H346" s="18">
        <f>IFERROR(VLOOKUP(G346, OBSERVACIÓN!F$2:G$151, 2, 0), " ")</f>
        <v>160</v>
      </c>
      <c r="I346" s="18">
        <v>8</v>
      </c>
      <c r="J346" s="19" t="s">
        <v>521</v>
      </c>
      <c r="K346" s="21" t="s">
        <v>64</v>
      </c>
      <c r="L346" s="38"/>
      <c r="M346" s="21"/>
      <c r="N346" s="26"/>
      <c r="O346" s="38"/>
      <c r="P346" s="19" t="s">
        <v>49</v>
      </c>
      <c r="Q346" s="19" t="s">
        <v>58</v>
      </c>
      <c r="R346" s="38">
        <v>45756</v>
      </c>
      <c r="S346" s="19">
        <f t="shared" si="13"/>
        <v>4</v>
      </c>
    </row>
    <row r="347" spans="1:19" ht="14.25" customHeight="1" x14ac:dyDescent="0.3">
      <c r="A347" s="17">
        <f t="shared" si="14"/>
        <v>346</v>
      </c>
      <c r="B347" s="30">
        <v>40784175</v>
      </c>
      <c r="C347" s="19" t="s">
        <v>500</v>
      </c>
      <c r="D347" s="18">
        <v>93650910</v>
      </c>
      <c r="E347" s="18">
        <v>78041222</v>
      </c>
      <c r="F347" s="18" t="s">
        <v>334</v>
      </c>
      <c r="G347" s="18" t="s">
        <v>336</v>
      </c>
      <c r="H347" s="18">
        <f>IFERROR(VLOOKUP(G347, OBSERVACIÓN!F$2:G$151, 2, 0), " ")</f>
        <v>150</v>
      </c>
      <c r="I347" s="18">
        <v>10</v>
      </c>
      <c r="J347" s="19" t="s">
        <v>372</v>
      </c>
      <c r="K347" s="21" t="s">
        <v>64</v>
      </c>
      <c r="L347" s="38"/>
      <c r="M347" s="21"/>
      <c r="N347" s="26"/>
      <c r="O347" s="38"/>
      <c r="P347" s="19" t="s">
        <v>49</v>
      </c>
      <c r="Q347" s="19" t="s">
        <v>424</v>
      </c>
      <c r="R347" s="38">
        <v>45763</v>
      </c>
      <c r="S347" s="19">
        <f t="shared" ref="S347:S382" si="15">IF(ISNUMBER(R347)=TRUE, MONTH(R347), " ")</f>
        <v>4</v>
      </c>
    </row>
    <row r="348" spans="1:19" ht="14.25" customHeight="1" x14ac:dyDescent="0.3">
      <c r="A348" s="17">
        <f t="shared" si="14"/>
        <v>347</v>
      </c>
      <c r="B348" s="30">
        <v>6564293</v>
      </c>
      <c r="C348" s="19" t="s">
        <v>506</v>
      </c>
      <c r="D348" s="18">
        <v>93680354</v>
      </c>
      <c r="E348" s="18">
        <v>78053938</v>
      </c>
      <c r="F348" s="18" t="s">
        <v>333</v>
      </c>
      <c r="G348" s="18" t="s">
        <v>335</v>
      </c>
      <c r="H348" s="18">
        <f>IFERROR(VLOOKUP(G348, OBSERVACIÓN!F$2:G$151, 2, 0), " ")</f>
        <v>65</v>
      </c>
      <c r="I348" s="18">
        <v>7</v>
      </c>
      <c r="J348" s="19" t="s">
        <v>373</v>
      </c>
      <c r="K348" s="21" t="s">
        <v>64</v>
      </c>
      <c r="L348" s="38"/>
      <c r="M348" s="21"/>
      <c r="N348" s="26"/>
      <c r="O348" s="38"/>
      <c r="P348" s="19" t="s">
        <v>49</v>
      </c>
      <c r="Q348" s="19" t="s">
        <v>54</v>
      </c>
      <c r="R348" s="38">
        <v>45764</v>
      </c>
      <c r="S348" s="19">
        <f t="shared" si="15"/>
        <v>4</v>
      </c>
    </row>
    <row r="349" spans="1:19" ht="14.25" customHeight="1" x14ac:dyDescent="0.3">
      <c r="A349" s="17">
        <f t="shared" si="14"/>
        <v>348</v>
      </c>
      <c r="B349" s="30">
        <v>74371347</v>
      </c>
      <c r="C349" s="19" t="s">
        <v>510</v>
      </c>
      <c r="D349" s="18">
        <v>93693217</v>
      </c>
      <c r="E349" s="18">
        <v>78059424</v>
      </c>
      <c r="F349" s="18" t="s">
        <v>333</v>
      </c>
      <c r="G349" s="18" t="s">
        <v>335</v>
      </c>
      <c r="H349" s="18">
        <f>IFERROR(VLOOKUP(G349, OBSERVACIÓN!F$2:G$151, 2, 0), " ")</f>
        <v>65</v>
      </c>
      <c r="I349" s="18">
        <v>6</v>
      </c>
      <c r="J349" s="19" t="s">
        <v>519</v>
      </c>
      <c r="K349" s="21" t="s">
        <v>64</v>
      </c>
      <c r="L349" s="38"/>
      <c r="M349" s="21"/>
      <c r="N349" s="26"/>
      <c r="O349" s="38"/>
      <c r="P349" s="19" t="s">
        <v>49</v>
      </c>
      <c r="Q349" s="19" t="s">
        <v>25</v>
      </c>
      <c r="R349" s="38">
        <v>45765</v>
      </c>
      <c r="S349" s="19">
        <f t="shared" si="15"/>
        <v>4</v>
      </c>
    </row>
    <row r="350" spans="1:19" ht="14.25" customHeight="1" x14ac:dyDescent="0.3">
      <c r="A350" s="17">
        <f t="shared" si="14"/>
        <v>349</v>
      </c>
      <c r="B350" s="30">
        <v>10277259422</v>
      </c>
      <c r="C350" s="19" t="s">
        <v>503</v>
      </c>
      <c r="D350" s="18">
        <v>93668411</v>
      </c>
      <c r="E350" s="18">
        <v>78050403</v>
      </c>
      <c r="F350" s="18" t="s">
        <v>333</v>
      </c>
      <c r="G350" s="18" t="s">
        <v>504</v>
      </c>
      <c r="H350" s="18">
        <v>165</v>
      </c>
      <c r="I350" s="18">
        <v>10</v>
      </c>
      <c r="J350" s="19" t="s">
        <v>529</v>
      </c>
      <c r="K350" s="21" t="s">
        <v>64</v>
      </c>
      <c r="L350" s="38"/>
      <c r="M350" s="21"/>
      <c r="N350" s="26"/>
      <c r="O350" s="38"/>
      <c r="P350" s="19" t="s">
        <v>49</v>
      </c>
      <c r="Q350" s="19" t="s">
        <v>479</v>
      </c>
      <c r="R350" s="38">
        <v>45764</v>
      </c>
      <c r="S350" s="19">
        <f t="shared" si="15"/>
        <v>4</v>
      </c>
    </row>
    <row r="351" spans="1:19" ht="14.25" customHeight="1" x14ac:dyDescent="0.3">
      <c r="A351" s="17">
        <f t="shared" si="14"/>
        <v>350</v>
      </c>
      <c r="B351" s="30">
        <v>7727847</v>
      </c>
      <c r="C351" s="19" t="s">
        <v>515</v>
      </c>
      <c r="D351" s="18">
        <v>93795306</v>
      </c>
      <c r="E351" s="18">
        <v>78146993</v>
      </c>
      <c r="F351" s="18" t="s">
        <v>333</v>
      </c>
      <c r="G351" s="18" t="s">
        <v>339</v>
      </c>
      <c r="H351" s="18">
        <f>IFERROR(VLOOKUP(G351, OBSERVACIÓN!F$2:G$151, 2, 0), " ")</f>
        <v>75</v>
      </c>
      <c r="I351" s="18">
        <v>9</v>
      </c>
      <c r="J351" s="19" t="s">
        <v>528</v>
      </c>
      <c r="K351" s="21" t="s">
        <v>64</v>
      </c>
      <c r="L351" s="38"/>
      <c r="M351" s="21"/>
      <c r="N351" s="26"/>
      <c r="O351" s="38"/>
      <c r="P351" s="19" t="s">
        <v>49</v>
      </c>
      <c r="Q351" s="19" t="s">
        <v>51</v>
      </c>
      <c r="R351" s="38">
        <v>45769</v>
      </c>
      <c r="S351" s="19">
        <f t="shared" si="15"/>
        <v>4</v>
      </c>
    </row>
    <row r="352" spans="1:19" ht="14.25" customHeight="1" x14ac:dyDescent="0.3">
      <c r="A352" s="17">
        <f t="shared" si="14"/>
        <v>351</v>
      </c>
      <c r="B352" s="30">
        <v>41490459</v>
      </c>
      <c r="C352" s="19" t="s">
        <v>491</v>
      </c>
      <c r="D352" s="18">
        <v>93854362</v>
      </c>
      <c r="E352" s="18">
        <v>78201478</v>
      </c>
      <c r="F352" s="18" t="s">
        <v>333</v>
      </c>
      <c r="G352" s="18" t="s">
        <v>338</v>
      </c>
      <c r="H352" s="18">
        <f>IFERROR(VLOOKUP(G352, OBSERVACIÓN!F$2:G$151, 2, 0), " ")</f>
        <v>160</v>
      </c>
      <c r="I352" s="18">
        <v>8</v>
      </c>
      <c r="J352" s="19" t="s">
        <v>529</v>
      </c>
      <c r="K352" s="21" t="s">
        <v>64</v>
      </c>
      <c r="L352" s="38"/>
      <c r="M352" s="21"/>
      <c r="N352" s="26"/>
      <c r="O352" s="38"/>
      <c r="P352" s="19" t="s">
        <v>49</v>
      </c>
      <c r="Q352" s="19" t="s">
        <v>58</v>
      </c>
      <c r="R352" s="38">
        <v>45771</v>
      </c>
      <c r="S352" s="19">
        <f t="shared" si="15"/>
        <v>4</v>
      </c>
    </row>
    <row r="353" spans="1:19" ht="14.25" customHeight="1" x14ac:dyDescent="0.3">
      <c r="A353" s="17">
        <f t="shared" si="14"/>
        <v>352</v>
      </c>
      <c r="B353" s="30">
        <v>40824958</v>
      </c>
      <c r="C353" s="19" t="s">
        <v>513</v>
      </c>
      <c r="D353" s="18">
        <v>93900445</v>
      </c>
      <c r="E353" s="18">
        <v>78236661</v>
      </c>
      <c r="F353" s="18" t="s">
        <v>334</v>
      </c>
      <c r="G353" s="18" t="s">
        <v>382</v>
      </c>
      <c r="H353" s="18">
        <f>IFERROR(VLOOKUP(G353, OBSERVACIÓN!F$2:G$151, 2, 0), " ")</f>
        <v>155</v>
      </c>
      <c r="I353" s="18">
        <v>10</v>
      </c>
      <c r="J353" s="19" t="s">
        <v>373</v>
      </c>
      <c r="K353" s="21" t="s">
        <v>64</v>
      </c>
      <c r="L353" s="38"/>
      <c r="M353" s="21"/>
      <c r="N353" s="26"/>
      <c r="O353" s="38"/>
      <c r="P353" s="19" t="s">
        <v>49</v>
      </c>
      <c r="Q353" s="19" t="s">
        <v>34</v>
      </c>
      <c r="R353" s="38">
        <v>45772</v>
      </c>
      <c r="S353" s="19">
        <f t="shared" si="15"/>
        <v>4</v>
      </c>
    </row>
    <row r="354" spans="1:19" ht="14.25" customHeight="1" x14ac:dyDescent="0.3">
      <c r="A354" s="17">
        <f t="shared" si="14"/>
        <v>353</v>
      </c>
      <c r="B354" s="30">
        <v>40399264</v>
      </c>
      <c r="C354" s="19" t="s">
        <v>516</v>
      </c>
      <c r="D354" s="18">
        <v>93798157</v>
      </c>
      <c r="E354" s="18">
        <v>78148457</v>
      </c>
      <c r="F354" s="18" t="s">
        <v>333</v>
      </c>
      <c r="G354" s="18" t="s">
        <v>335</v>
      </c>
      <c r="H354" s="18">
        <f>IFERROR(VLOOKUP(G354, OBSERVACIÓN!F$2:G$151, 2, 0), " ")</f>
        <v>65</v>
      </c>
      <c r="I354" s="18">
        <v>2</v>
      </c>
      <c r="J354" s="19" t="s">
        <v>531</v>
      </c>
      <c r="K354" s="21" t="s">
        <v>64</v>
      </c>
      <c r="L354" s="38"/>
      <c r="M354" s="21"/>
      <c r="N354" s="26"/>
      <c r="O354" s="38"/>
      <c r="P354" s="19" t="s">
        <v>49</v>
      </c>
      <c r="Q354" s="19" t="s">
        <v>424</v>
      </c>
      <c r="R354" s="38">
        <v>45769</v>
      </c>
      <c r="S354" s="19">
        <f t="shared" si="15"/>
        <v>4</v>
      </c>
    </row>
    <row r="355" spans="1:19" ht="14.25" customHeight="1" x14ac:dyDescent="0.3">
      <c r="A355" s="17">
        <f t="shared" si="14"/>
        <v>354</v>
      </c>
      <c r="B355" s="30">
        <v>46477285</v>
      </c>
      <c r="C355" s="19" t="s">
        <v>517</v>
      </c>
      <c r="D355" s="18">
        <v>93801343</v>
      </c>
      <c r="E355" s="18">
        <v>78151050</v>
      </c>
      <c r="F355" s="18" t="s">
        <v>333</v>
      </c>
      <c r="G355" s="18" t="s">
        <v>336</v>
      </c>
      <c r="H355" s="18">
        <f>IFERROR(VLOOKUP(G355, OBSERVACIÓN!F$2:G$151, 2, 0), " ")</f>
        <v>150</v>
      </c>
      <c r="I355" s="18">
        <v>10</v>
      </c>
      <c r="J355" s="19" t="s">
        <v>535</v>
      </c>
      <c r="K355" s="21" t="s">
        <v>64</v>
      </c>
      <c r="L355" s="38"/>
      <c r="M355" s="21"/>
      <c r="N355" s="26"/>
      <c r="O355" s="38"/>
      <c r="P355" s="19" t="s">
        <v>49</v>
      </c>
      <c r="Q355" s="19" t="s">
        <v>518</v>
      </c>
      <c r="R355" s="38">
        <v>45769</v>
      </c>
      <c r="S355" s="19">
        <f t="shared" si="15"/>
        <v>4</v>
      </c>
    </row>
    <row r="356" spans="1:19" ht="14.25" customHeight="1" x14ac:dyDescent="0.3">
      <c r="A356" s="17">
        <f t="shared" si="14"/>
        <v>355</v>
      </c>
      <c r="B356" s="30">
        <v>47351135</v>
      </c>
      <c r="C356" s="19" t="s">
        <v>545</v>
      </c>
      <c r="D356" s="18">
        <v>94105841</v>
      </c>
      <c r="E356" s="18">
        <v>78401191</v>
      </c>
      <c r="F356" s="18" t="s">
        <v>334</v>
      </c>
      <c r="G356" s="18" t="s">
        <v>335</v>
      </c>
      <c r="H356" s="18">
        <f>IFERROR(VLOOKUP(G356, OBSERVACIÓN!F$2:G$151, 2, 0), " ")</f>
        <v>65</v>
      </c>
      <c r="I356" s="18">
        <v>8</v>
      </c>
      <c r="J356" s="19" t="s">
        <v>475</v>
      </c>
      <c r="K356" s="21" t="s">
        <v>64</v>
      </c>
      <c r="L356" s="38"/>
      <c r="M356" s="21"/>
      <c r="N356" s="26"/>
      <c r="O356" s="38"/>
      <c r="P356" s="19" t="s">
        <v>49</v>
      </c>
      <c r="Q356" s="19" t="s">
        <v>518</v>
      </c>
      <c r="R356" s="38">
        <v>45780</v>
      </c>
      <c r="S356" s="19">
        <f t="shared" si="15"/>
        <v>5</v>
      </c>
    </row>
    <row r="357" spans="1:19" ht="14.25" customHeight="1" x14ac:dyDescent="0.3">
      <c r="A357" s="17">
        <f t="shared" si="14"/>
        <v>356</v>
      </c>
      <c r="B357" s="30">
        <v>43073523</v>
      </c>
      <c r="C357" s="19" t="s">
        <v>547</v>
      </c>
      <c r="D357" s="18">
        <v>94113553</v>
      </c>
      <c r="E357" s="18">
        <v>78403105</v>
      </c>
      <c r="F357" s="18" t="s">
        <v>333</v>
      </c>
      <c r="G357" s="18" t="s">
        <v>336</v>
      </c>
      <c r="H357" s="18">
        <f>IFERROR(VLOOKUP(G357, OBSERVACIÓN!F$2:G$151, 2, 0), " ")</f>
        <v>150</v>
      </c>
      <c r="I357" s="18">
        <v>8</v>
      </c>
      <c r="J357" s="19" t="s">
        <v>478</v>
      </c>
      <c r="K357" s="21" t="s">
        <v>64</v>
      </c>
      <c r="L357" s="38"/>
      <c r="M357" s="21"/>
      <c r="N357" s="26"/>
      <c r="O357" s="38"/>
      <c r="P357" s="19" t="s">
        <v>49</v>
      </c>
      <c r="Q357" s="19" t="s">
        <v>518</v>
      </c>
      <c r="R357" s="38">
        <v>45780</v>
      </c>
      <c r="S357" s="19">
        <f t="shared" si="15"/>
        <v>5</v>
      </c>
    </row>
    <row r="358" spans="1:19" ht="14.25" customHeight="1" x14ac:dyDescent="0.3">
      <c r="A358" s="17">
        <f t="shared" si="14"/>
        <v>357</v>
      </c>
      <c r="B358" s="30">
        <v>46477285</v>
      </c>
      <c r="C358" s="19" t="s">
        <v>517</v>
      </c>
      <c r="D358" s="18">
        <v>93979511</v>
      </c>
      <c r="E358" s="18">
        <v>78293409</v>
      </c>
      <c r="F358" s="18" t="s">
        <v>333</v>
      </c>
      <c r="G358" s="18" t="s">
        <v>336</v>
      </c>
      <c r="H358" s="18">
        <f>IFERROR(VLOOKUP(G358, OBSERVACIÓN!F$2:G$151, 2, 0), " ")</f>
        <v>150</v>
      </c>
      <c r="I358" s="18">
        <v>10</v>
      </c>
      <c r="J358" s="19" t="s">
        <v>529</v>
      </c>
      <c r="K358" s="21" t="s">
        <v>64</v>
      </c>
      <c r="L358" s="38"/>
      <c r="M358" s="21"/>
      <c r="N358" s="26"/>
      <c r="O358" s="38"/>
      <c r="P358" s="19" t="s">
        <v>49</v>
      </c>
      <c r="Q358" s="19" t="s">
        <v>518</v>
      </c>
      <c r="R358" s="38">
        <v>45775</v>
      </c>
      <c r="S358" s="19">
        <f t="shared" si="15"/>
        <v>4</v>
      </c>
    </row>
    <row r="359" spans="1:19" ht="14.25" customHeight="1" x14ac:dyDescent="0.3">
      <c r="A359" s="17">
        <f t="shared" si="14"/>
        <v>358</v>
      </c>
      <c r="B359" s="30">
        <v>4439645</v>
      </c>
      <c r="C359" s="19" t="s">
        <v>539</v>
      </c>
      <c r="D359" s="18">
        <v>94010804</v>
      </c>
      <c r="E359" s="18">
        <v>78323339</v>
      </c>
      <c r="F359" s="18" t="s">
        <v>334</v>
      </c>
      <c r="G359" s="18" t="s">
        <v>335</v>
      </c>
      <c r="H359" s="18">
        <f>IFERROR(VLOOKUP(G359, OBSERVACIÓN!F$2:G$151, 2, 0), " ")</f>
        <v>65</v>
      </c>
      <c r="I359" s="18">
        <v>6</v>
      </c>
      <c r="J359" s="19" t="s">
        <v>541</v>
      </c>
      <c r="K359" s="21" t="s">
        <v>64</v>
      </c>
      <c r="L359" s="38"/>
      <c r="M359" s="21"/>
      <c r="N359" s="26"/>
      <c r="O359" s="38"/>
      <c r="P359" s="19" t="s">
        <v>49</v>
      </c>
      <c r="Q359" s="19" t="s">
        <v>25</v>
      </c>
      <c r="R359" s="38">
        <v>45776</v>
      </c>
      <c r="S359" s="19">
        <f t="shared" si="15"/>
        <v>4</v>
      </c>
    </row>
    <row r="360" spans="1:19" ht="14.25" customHeight="1" x14ac:dyDescent="0.3">
      <c r="A360" s="17">
        <f t="shared" si="14"/>
        <v>359</v>
      </c>
      <c r="B360" s="30">
        <v>45841178</v>
      </c>
      <c r="C360" s="19" t="s">
        <v>514</v>
      </c>
      <c r="D360" s="18">
        <v>93794734</v>
      </c>
      <c r="E360" s="18">
        <v>78146613</v>
      </c>
      <c r="F360" s="18" t="s">
        <v>333</v>
      </c>
      <c r="G360" s="41" t="s">
        <v>341</v>
      </c>
      <c r="H360" s="18">
        <f>IFERROR(VLOOKUP(G360, OBSERVACIÓN!F$2:G$151, 2, 0), " ")</f>
        <v>150</v>
      </c>
      <c r="I360" s="18">
        <v>5</v>
      </c>
      <c r="J360" s="19" t="s">
        <v>529</v>
      </c>
      <c r="K360" s="21" t="s">
        <v>64</v>
      </c>
      <c r="L360" s="38"/>
      <c r="M360" s="21"/>
      <c r="N360" s="26"/>
      <c r="O360" s="38"/>
      <c r="P360" s="19" t="s">
        <v>49</v>
      </c>
      <c r="Q360" s="19" t="s">
        <v>28</v>
      </c>
      <c r="R360" s="38">
        <v>45769</v>
      </c>
      <c r="S360" s="19">
        <f t="shared" si="15"/>
        <v>4</v>
      </c>
    </row>
    <row r="361" spans="1:19" ht="14.25" customHeight="1" x14ac:dyDescent="0.3">
      <c r="A361" s="17">
        <f t="shared" si="14"/>
        <v>360</v>
      </c>
      <c r="B361" s="30">
        <v>31360081</v>
      </c>
      <c r="C361" s="19" t="s">
        <v>522</v>
      </c>
      <c r="D361" s="18">
        <v>93856986</v>
      </c>
      <c r="E361" s="18">
        <v>78203407</v>
      </c>
      <c r="F361" s="18" t="s">
        <v>334</v>
      </c>
      <c r="G361" s="18" t="s">
        <v>338</v>
      </c>
      <c r="H361" s="18">
        <f>IFERROR(VLOOKUP(G361, OBSERVACIÓN!F$2:G$151, 2, 0), " ")</f>
        <v>160</v>
      </c>
      <c r="I361" s="18">
        <v>6</v>
      </c>
      <c r="J361" s="19" t="s">
        <v>529</v>
      </c>
      <c r="K361" s="21" t="s">
        <v>64</v>
      </c>
      <c r="L361" s="38"/>
      <c r="M361" s="21"/>
      <c r="N361" s="26"/>
      <c r="O361" s="38"/>
      <c r="P361" s="19" t="s">
        <v>49</v>
      </c>
      <c r="Q361" s="19" t="s">
        <v>73</v>
      </c>
      <c r="R361" s="38">
        <v>45771</v>
      </c>
      <c r="S361" s="19">
        <f t="shared" si="15"/>
        <v>4</v>
      </c>
    </row>
    <row r="362" spans="1:19" ht="14.25" customHeight="1" x14ac:dyDescent="0.3">
      <c r="A362" s="17">
        <f t="shared" si="14"/>
        <v>361</v>
      </c>
      <c r="B362" s="30">
        <v>41965919</v>
      </c>
      <c r="C362" s="19" t="s">
        <v>530</v>
      </c>
      <c r="D362" s="18">
        <v>93968282</v>
      </c>
      <c r="E362" s="18">
        <v>78287516</v>
      </c>
      <c r="F362" s="18" t="s">
        <v>333</v>
      </c>
      <c r="G362" s="18" t="s">
        <v>336</v>
      </c>
      <c r="H362" s="18">
        <f>IFERROR(VLOOKUP(G362, OBSERVACIÓN!F$2:G$151, 2, 0), " ")</f>
        <v>150</v>
      </c>
      <c r="I362" s="18">
        <v>4</v>
      </c>
      <c r="J362" s="19" t="s">
        <v>541</v>
      </c>
      <c r="K362" s="21" t="s">
        <v>64</v>
      </c>
      <c r="L362" s="38"/>
      <c r="M362" s="21"/>
      <c r="N362" s="26"/>
      <c r="O362" s="38"/>
      <c r="P362" s="19" t="s">
        <v>49</v>
      </c>
      <c r="Q362" s="19" t="s">
        <v>51</v>
      </c>
      <c r="R362" s="38">
        <v>45775</v>
      </c>
      <c r="S362" s="19">
        <f t="shared" si="15"/>
        <v>4</v>
      </c>
    </row>
    <row r="363" spans="1:19" ht="14.25" customHeight="1" x14ac:dyDescent="0.3">
      <c r="A363" s="17">
        <f t="shared" si="14"/>
        <v>362</v>
      </c>
      <c r="B363" s="30">
        <v>42829202</v>
      </c>
      <c r="C363" s="19" t="s">
        <v>551</v>
      </c>
      <c r="D363" s="18">
        <v>94201274</v>
      </c>
      <c r="E363" s="18">
        <v>78475272</v>
      </c>
      <c r="F363" s="18" t="s">
        <v>333</v>
      </c>
      <c r="G363" s="18" t="s">
        <v>336</v>
      </c>
      <c r="H363" s="18">
        <f>IFERROR(VLOOKUP(G363, OBSERVACIÓN!F$2:G$151, 2, 0), " ")</f>
        <v>150</v>
      </c>
      <c r="I363" s="18">
        <v>5</v>
      </c>
      <c r="J363" s="19" t="s">
        <v>554</v>
      </c>
      <c r="K363" s="21" t="s">
        <v>64</v>
      </c>
      <c r="L363" s="38"/>
      <c r="M363" s="21"/>
      <c r="N363" s="26"/>
      <c r="O363" s="38"/>
      <c r="P363" s="19" t="s">
        <v>49</v>
      </c>
      <c r="Q363" s="19" t="s">
        <v>73</v>
      </c>
      <c r="R363" s="38">
        <v>45783</v>
      </c>
      <c r="S363" s="19">
        <f t="shared" si="15"/>
        <v>5</v>
      </c>
    </row>
    <row r="364" spans="1:19" ht="14.25" customHeight="1" x14ac:dyDescent="0.3">
      <c r="A364" s="17">
        <f t="shared" si="14"/>
        <v>363</v>
      </c>
      <c r="B364" s="30">
        <v>47351135</v>
      </c>
      <c r="C364" s="19" t="s">
        <v>545</v>
      </c>
      <c r="D364" s="18">
        <v>94155682</v>
      </c>
      <c r="E364" s="18">
        <v>78438034</v>
      </c>
      <c r="F364" s="18" t="s">
        <v>334</v>
      </c>
      <c r="G364" s="18" t="s">
        <v>335</v>
      </c>
      <c r="H364" s="18">
        <f>IFERROR(VLOOKUP(G364, OBSERVACIÓN!F$2:G$151, 2, 0), " ")</f>
        <v>65</v>
      </c>
      <c r="I364" s="18">
        <v>8</v>
      </c>
      <c r="J364" s="19" t="s">
        <v>549</v>
      </c>
      <c r="K364" s="21" t="s">
        <v>64</v>
      </c>
      <c r="L364" s="38"/>
      <c r="M364" s="21"/>
      <c r="N364" s="26"/>
      <c r="O364" s="38"/>
      <c r="P364" s="19" t="s">
        <v>49</v>
      </c>
      <c r="Q364" s="19" t="s">
        <v>518</v>
      </c>
      <c r="R364" s="38">
        <v>45782</v>
      </c>
      <c r="S364" s="19">
        <f t="shared" si="15"/>
        <v>5</v>
      </c>
    </row>
    <row r="365" spans="1:19" ht="14.25" customHeight="1" x14ac:dyDescent="0.3">
      <c r="A365" s="17">
        <f t="shared" si="14"/>
        <v>364</v>
      </c>
      <c r="B365" s="30">
        <v>46777122</v>
      </c>
      <c r="C365" s="19" t="s">
        <v>543</v>
      </c>
      <c r="D365" s="18">
        <v>94088453</v>
      </c>
      <c r="E365" s="18">
        <v>78392530</v>
      </c>
      <c r="F365" s="18" t="s">
        <v>333</v>
      </c>
      <c r="G365" s="18" t="s">
        <v>339</v>
      </c>
      <c r="H365" s="18">
        <f>IFERROR(VLOOKUP(G365, OBSERVACIÓN!F$2:G$151, 2, 0), " ")</f>
        <v>75</v>
      </c>
      <c r="I365" s="18">
        <v>8</v>
      </c>
      <c r="J365" s="19" t="s">
        <v>550</v>
      </c>
      <c r="K365" s="21" t="s">
        <v>64</v>
      </c>
      <c r="L365" s="38"/>
      <c r="M365" s="21"/>
      <c r="N365" s="26"/>
      <c r="O365" s="38"/>
      <c r="P365" s="19" t="s">
        <v>49</v>
      </c>
      <c r="Q365" s="19" t="s">
        <v>34</v>
      </c>
      <c r="R365" s="38">
        <v>45779</v>
      </c>
      <c r="S365" s="19">
        <f t="shared" si="15"/>
        <v>5</v>
      </c>
    </row>
    <row r="366" spans="1:19" ht="14.25" customHeight="1" x14ac:dyDescent="0.3">
      <c r="A366" s="17">
        <f t="shared" si="14"/>
        <v>365</v>
      </c>
      <c r="B366" s="30">
        <v>43935923</v>
      </c>
      <c r="C366" s="19" t="s">
        <v>544</v>
      </c>
      <c r="D366" s="18">
        <v>94104851</v>
      </c>
      <c r="E366" s="18">
        <v>78400971</v>
      </c>
      <c r="F366" s="18" t="s">
        <v>333</v>
      </c>
      <c r="G366" s="18" t="s">
        <v>336</v>
      </c>
      <c r="H366" s="18">
        <f>IFERROR(VLOOKUP(G366, OBSERVACIÓN!F$2:G$151, 2, 0), " ")</f>
        <v>150</v>
      </c>
      <c r="I366" s="18">
        <v>8</v>
      </c>
      <c r="J366" s="19" t="s">
        <v>371</v>
      </c>
      <c r="K366" s="21" t="s">
        <v>64</v>
      </c>
      <c r="L366" s="38"/>
      <c r="M366" s="21"/>
      <c r="N366" s="26"/>
      <c r="O366" s="38"/>
      <c r="P366" s="19" t="s">
        <v>49</v>
      </c>
      <c r="Q366" s="19" t="s">
        <v>524</v>
      </c>
      <c r="R366" s="38">
        <v>45780</v>
      </c>
      <c r="S366" s="19">
        <f t="shared" si="15"/>
        <v>5</v>
      </c>
    </row>
    <row r="367" spans="1:19" ht="14.25" customHeight="1" x14ac:dyDescent="0.3">
      <c r="A367" s="17">
        <f t="shared" si="14"/>
        <v>366</v>
      </c>
      <c r="B367" s="30">
        <v>45302713</v>
      </c>
      <c r="C367" s="19" t="s">
        <v>507</v>
      </c>
      <c r="D367" s="18">
        <v>93682261</v>
      </c>
      <c r="E367" s="18">
        <v>78054509</v>
      </c>
      <c r="F367" s="18" t="s">
        <v>334</v>
      </c>
      <c r="G367" s="18" t="s">
        <v>338</v>
      </c>
      <c r="H367" s="18">
        <f>IFERROR(VLOOKUP(G367, OBSERVACIÓN!F$2:G$151, 2, 0), " ")</f>
        <v>160</v>
      </c>
      <c r="I367" s="18">
        <v>8</v>
      </c>
      <c r="J367" s="19" t="s">
        <v>559</v>
      </c>
      <c r="K367" s="21" t="s">
        <v>64</v>
      </c>
      <c r="L367" s="38"/>
      <c r="M367" s="21"/>
      <c r="N367" s="26"/>
      <c r="O367" s="38"/>
      <c r="P367" s="19" t="s">
        <v>49</v>
      </c>
      <c r="Q367" s="19" t="s">
        <v>58</v>
      </c>
      <c r="R367" s="38">
        <v>45764</v>
      </c>
      <c r="S367" s="19">
        <f t="shared" si="15"/>
        <v>4</v>
      </c>
    </row>
    <row r="368" spans="1:19" ht="14.25" customHeight="1" x14ac:dyDescent="0.3">
      <c r="A368" s="17">
        <f t="shared" si="14"/>
        <v>367</v>
      </c>
      <c r="B368" s="30">
        <v>70058617</v>
      </c>
      <c r="C368" s="19" t="s">
        <v>520</v>
      </c>
      <c r="D368" s="18">
        <v>93831406</v>
      </c>
      <c r="E368" s="18">
        <v>78183381</v>
      </c>
      <c r="F368" s="18" t="s">
        <v>333</v>
      </c>
      <c r="G368" s="18" t="s">
        <v>335</v>
      </c>
      <c r="H368" s="18">
        <f>IFERROR(VLOOKUP(G368, OBSERVACIÓN!F$2:G$151, 2, 0), " ")</f>
        <v>65</v>
      </c>
      <c r="I368" s="18">
        <v>1</v>
      </c>
      <c r="J368" s="19" t="s">
        <v>559</v>
      </c>
      <c r="K368" s="21" t="s">
        <v>64</v>
      </c>
      <c r="L368" s="38"/>
      <c r="M368" s="21"/>
      <c r="N368" s="26"/>
      <c r="O368" s="38"/>
      <c r="P368" s="19" t="s">
        <v>49</v>
      </c>
      <c r="Q368" s="19" t="s">
        <v>25</v>
      </c>
      <c r="R368" s="38">
        <v>45770</v>
      </c>
      <c r="S368" s="19">
        <f t="shared" si="15"/>
        <v>4</v>
      </c>
    </row>
    <row r="369" spans="1:19" ht="14.25" customHeight="1" x14ac:dyDescent="0.3">
      <c r="A369" s="17">
        <f t="shared" si="14"/>
        <v>368</v>
      </c>
      <c r="B369" s="30">
        <v>46748937</v>
      </c>
      <c r="C369" s="19" t="s">
        <v>523</v>
      </c>
      <c r="D369" s="18">
        <v>93862007</v>
      </c>
      <c r="E369" s="18">
        <v>78205496</v>
      </c>
      <c r="F369" s="18" t="s">
        <v>333</v>
      </c>
      <c r="G369" s="18" t="s">
        <v>335</v>
      </c>
      <c r="H369" s="18">
        <f>IFERROR(VLOOKUP(G369, OBSERVACIÓN!F$2:G$151, 2, 0), " ")</f>
        <v>65</v>
      </c>
      <c r="I369" s="18">
        <v>1</v>
      </c>
      <c r="J369" s="19" t="s">
        <v>559</v>
      </c>
      <c r="K369" s="21" t="s">
        <v>64</v>
      </c>
      <c r="L369" s="38"/>
      <c r="M369" s="21"/>
      <c r="N369" s="26"/>
      <c r="O369" s="38"/>
      <c r="P369" s="19" t="s">
        <v>49</v>
      </c>
      <c r="Q369" s="19" t="s">
        <v>524</v>
      </c>
      <c r="R369" s="38">
        <v>45771</v>
      </c>
      <c r="S369" s="19">
        <f t="shared" si="15"/>
        <v>4</v>
      </c>
    </row>
    <row r="370" spans="1:19" ht="14.25" customHeight="1" x14ac:dyDescent="0.3">
      <c r="A370" s="17">
        <f t="shared" si="14"/>
        <v>369</v>
      </c>
      <c r="B370" s="30">
        <v>72805781</v>
      </c>
      <c r="C370" s="19" t="s">
        <v>498</v>
      </c>
      <c r="D370" s="18">
        <v>93861491</v>
      </c>
      <c r="E370" s="18">
        <v>78205281</v>
      </c>
      <c r="F370" s="18" t="s">
        <v>333</v>
      </c>
      <c r="G370" s="18" t="s">
        <v>335</v>
      </c>
      <c r="H370" s="18">
        <f>IFERROR(VLOOKUP(G370, OBSERVACIÓN!F$2:G$151, 2, 0), " ")</f>
        <v>65</v>
      </c>
      <c r="I370" s="18">
        <v>6</v>
      </c>
      <c r="J370" s="19" t="s">
        <v>559</v>
      </c>
      <c r="K370" s="21" t="s">
        <v>64</v>
      </c>
      <c r="L370" s="38"/>
      <c r="M370" s="21"/>
      <c r="N370" s="26"/>
      <c r="O370" s="38"/>
      <c r="P370" s="19" t="s">
        <v>49</v>
      </c>
      <c r="Q370" s="19" t="s">
        <v>54</v>
      </c>
      <c r="R370" s="38">
        <v>45771</v>
      </c>
      <c r="S370" s="19">
        <f t="shared" si="15"/>
        <v>4</v>
      </c>
    </row>
    <row r="371" spans="1:19" ht="14.25" customHeight="1" x14ac:dyDescent="0.3">
      <c r="A371" s="17">
        <f t="shared" si="14"/>
        <v>370</v>
      </c>
      <c r="B371" s="30">
        <v>10478069761</v>
      </c>
      <c r="C371" s="19" t="s">
        <v>526</v>
      </c>
      <c r="D371" s="18">
        <v>93883258</v>
      </c>
      <c r="E371" s="18">
        <v>78228648</v>
      </c>
      <c r="F371" s="18" t="s">
        <v>333</v>
      </c>
      <c r="G371" s="18" t="s">
        <v>335</v>
      </c>
      <c r="H371" s="18">
        <f>IFERROR(VLOOKUP(G371, OBSERVACIÓN!F$2:G$151, 2, 0), " ")</f>
        <v>65</v>
      </c>
      <c r="I371" s="18">
        <v>6</v>
      </c>
      <c r="J371" s="19" t="s">
        <v>559</v>
      </c>
      <c r="K371" s="21" t="s">
        <v>64</v>
      </c>
      <c r="L371" s="38"/>
      <c r="M371" s="21"/>
      <c r="N371" s="26"/>
      <c r="O371" s="38"/>
      <c r="P371" s="19" t="s">
        <v>49</v>
      </c>
      <c r="Q371" s="19" t="s">
        <v>28</v>
      </c>
      <c r="R371" s="38">
        <v>45772</v>
      </c>
      <c r="S371" s="19">
        <f t="shared" si="15"/>
        <v>4</v>
      </c>
    </row>
    <row r="372" spans="1:19" ht="14.25" customHeight="1" x14ac:dyDescent="0.3">
      <c r="A372" s="17">
        <f t="shared" si="14"/>
        <v>371</v>
      </c>
      <c r="B372" s="30">
        <v>40399264</v>
      </c>
      <c r="C372" s="19" t="s">
        <v>516</v>
      </c>
      <c r="D372" s="18">
        <v>93968929</v>
      </c>
      <c r="E372" s="18">
        <v>78287928</v>
      </c>
      <c r="F372" s="18" t="s">
        <v>333</v>
      </c>
      <c r="G372" s="18" t="s">
        <v>335</v>
      </c>
      <c r="H372" s="18">
        <f>IFERROR(VLOOKUP(G372, OBSERVACIÓN!F$2:G$151, 2, 0), " ")</f>
        <v>65</v>
      </c>
      <c r="I372" s="18">
        <v>2</v>
      </c>
      <c r="J372" s="19" t="s">
        <v>559</v>
      </c>
      <c r="K372" s="21" t="s">
        <v>64</v>
      </c>
      <c r="L372" s="38"/>
      <c r="M372" s="21"/>
      <c r="N372" s="26"/>
      <c r="O372" s="38"/>
      <c r="P372" s="19" t="s">
        <v>49</v>
      </c>
      <c r="Q372" s="19" t="s">
        <v>424</v>
      </c>
      <c r="R372" s="38">
        <v>45775</v>
      </c>
      <c r="S372" s="19">
        <f t="shared" si="15"/>
        <v>4</v>
      </c>
    </row>
    <row r="373" spans="1:19" ht="14.25" customHeight="1" x14ac:dyDescent="0.3">
      <c r="A373" s="17">
        <f t="shared" si="14"/>
        <v>372</v>
      </c>
      <c r="B373" s="30">
        <v>10799814</v>
      </c>
      <c r="C373" s="19" t="s">
        <v>532</v>
      </c>
      <c r="D373" s="18">
        <v>93974380</v>
      </c>
      <c r="E373" s="18">
        <v>78290868</v>
      </c>
      <c r="F373" s="18" t="s">
        <v>333</v>
      </c>
      <c r="G373" s="18" t="s">
        <v>533</v>
      </c>
      <c r="H373" s="18">
        <v>185</v>
      </c>
      <c r="I373" s="18">
        <v>10</v>
      </c>
      <c r="J373" s="19" t="s">
        <v>559</v>
      </c>
      <c r="K373" s="21" t="s">
        <v>64</v>
      </c>
      <c r="L373" s="38"/>
      <c r="M373" s="21"/>
      <c r="N373" s="26"/>
      <c r="O373" s="38"/>
      <c r="P373" s="19" t="s">
        <v>49</v>
      </c>
      <c r="Q373" s="19" t="s">
        <v>54</v>
      </c>
      <c r="R373" s="38">
        <v>45775</v>
      </c>
      <c r="S373" s="19">
        <f t="shared" si="15"/>
        <v>4</v>
      </c>
    </row>
    <row r="374" spans="1:19" ht="14.25" customHeight="1" x14ac:dyDescent="0.3">
      <c r="A374" s="17">
        <f t="shared" si="14"/>
        <v>373</v>
      </c>
      <c r="B374" s="30">
        <v>42984908</v>
      </c>
      <c r="C374" s="19" t="s">
        <v>536</v>
      </c>
      <c r="D374" s="18">
        <v>93897381</v>
      </c>
      <c r="E374" s="18">
        <v>78235160</v>
      </c>
      <c r="F374" s="18" t="s">
        <v>333</v>
      </c>
      <c r="G374" s="18" t="s">
        <v>335</v>
      </c>
      <c r="H374" s="18">
        <f>IFERROR(VLOOKUP(G374, OBSERVACIÓN!F$2:G$151, 2, 0), " ")</f>
        <v>65</v>
      </c>
      <c r="I374" s="18">
        <v>7</v>
      </c>
      <c r="J374" s="19" t="s">
        <v>559</v>
      </c>
      <c r="K374" s="21" t="s">
        <v>64</v>
      </c>
      <c r="L374" s="38"/>
      <c r="M374" s="21"/>
      <c r="N374" s="26"/>
      <c r="O374" s="38"/>
      <c r="P374" s="19" t="s">
        <v>49</v>
      </c>
      <c r="Q374" s="19" t="s">
        <v>51</v>
      </c>
      <c r="R374" s="38">
        <v>45772</v>
      </c>
      <c r="S374" s="19">
        <f t="shared" si="15"/>
        <v>4</v>
      </c>
    </row>
    <row r="375" spans="1:19" ht="14.25" customHeight="1" x14ac:dyDescent="0.3">
      <c r="A375" s="17">
        <f t="shared" si="14"/>
        <v>374</v>
      </c>
      <c r="B375" s="30">
        <v>42644020</v>
      </c>
      <c r="C375" s="19" t="s">
        <v>540</v>
      </c>
      <c r="D375" s="18">
        <v>94015026</v>
      </c>
      <c r="E375" s="18">
        <v>78328458</v>
      </c>
      <c r="F375" s="18" t="s">
        <v>333</v>
      </c>
      <c r="G375" s="18" t="s">
        <v>335</v>
      </c>
      <c r="H375" s="18">
        <f>IFERROR(VLOOKUP(G375, OBSERVACIÓN!F$2:G$151, 2, 0), " ")</f>
        <v>65</v>
      </c>
      <c r="I375" s="18">
        <v>3</v>
      </c>
      <c r="J375" s="19" t="s">
        <v>541</v>
      </c>
      <c r="K375" s="21" t="s">
        <v>64</v>
      </c>
      <c r="L375" s="38"/>
      <c r="M375" s="21"/>
      <c r="N375" s="26"/>
      <c r="O375" s="38"/>
      <c r="P375" s="19" t="s">
        <v>49</v>
      </c>
      <c r="Q375" s="19" t="s">
        <v>25</v>
      </c>
      <c r="R375" s="38">
        <v>45785</v>
      </c>
      <c r="S375" s="19">
        <f t="shared" si="15"/>
        <v>5</v>
      </c>
    </row>
    <row r="376" spans="1:19" ht="14.25" customHeight="1" x14ac:dyDescent="0.3">
      <c r="A376" s="17">
        <f t="shared" si="14"/>
        <v>375</v>
      </c>
      <c r="B376" s="30">
        <v>20603555474</v>
      </c>
      <c r="C376" s="19" t="s">
        <v>556</v>
      </c>
      <c r="D376" s="18">
        <v>94262971</v>
      </c>
      <c r="E376" s="18">
        <v>78531737</v>
      </c>
      <c r="F376" s="18" t="s">
        <v>333</v>
      </c>
      <c r="G376" s="23" t="s">
        <v>557</v>
      </c>
      <c r="H376" s="18">
        <v>170</v>
      </c>
      <c r="I376" s="18">
        <v>9</v>
      </c>
      <c r="J376" s="19" t="s">
        <v>541</v>
      </c>
      <c r="K376" s="21" t="s">
        <v>64</v>
      </c>
      <c r="L376" s="38"/>
      <c r="M376" s="21"/>
      <c r="N376" s="26"/>
      <c r="O376" s="38"/>
      <c r="P376" s="19" t="s">
        <v>49</v>
      </c>
      <c r="Q376" s="19" t="s">
        <v>424</v>
      </c>
      <c r="R376" s="38">
        <v>45785</v>
      </c>
      <c r="S376" s="19">
        <f t="shared" si="15"/>
        <v>5</v>
      </c>
    </row>
    <row r="377" spans="1:19" ht="14.25" customHeight="1" x14ac:dyDescent="0.3">
      <c r="A377" s="17">
        <f t="shared" si="14"/>
        <v>376</v>
      </c>
      <c r="B377" s="30">
        <v>71341304</v>
      </c>
      <c r="C377" s="19" t="s">
        <v>527</v>
      </c>
      <c r="D377" s="18">
        <v>93899546</v>
      </c>
      <c r="E377" s="18">
        <v>78236309</v>
      </c>
      <c r="F377" s="18" t="s">
        <v>333</v>
      </c>
      <c r="G377" s="18" t="s">
        <v>335</v>
      </c>
      <c r="H377" s="18">
        <f>IFERROR(VLOOKUP(G377, OBSERVACIÓN!F$2:G$151, 2, 0), " ")</f>
        <v>65</v>
      </c>
      <c r="I377" s="18">
        <v>2</v>
      </c>
      <c r="J377" s="19" t="s">
        <v>373</v>
      </c>
      <c r="K377" s="21" t="s">
        <v>64</v>
      </c>
      <c r="L377" s="38"/>
      <c r="M377" s="21"/>
      <c r="N377" s="26"/>
      <c r="O377" s="38"/>
      <c r="P377" s="19" t="s">
        <v>49</v>
      </c>
      <c r="Q377" s="19" t="s">
        <v>51</v>
      </c>
      <c r="R377" s="38">
        <v>45772</v>
      </c>
      <c r="S377" s="19">
        <f t="shared" si="15"/>
        <v>4</v>
      </c>
    </row>
    <row r="378" spans="1:19" ht="14.25" customHeight="1" x14ac:dyDescent="0.3">
      <c r="A378" s="17">
        <f t="shared" si="14"/>
        <v>377</v>
      </c>
      <c r="B378" s="30">
        <v>73259276</v>
      </c>
      <c r="C378" s="19" t="s">
        <v>568</v>
      </c>
      <c r="D378" s="18">
        <v>94334267</v>
      </c>
      <c r="E378" s="18">
        <v>78573223</v>
      </c>
      <c r="F378" s="18" t="s">
        <v>333</v>
      </c>
      <c r="G378" s="18" t="s">
        <v>335</v>
      </c>
      <c r="H378" s="18">
        <f>IFERROR(VLOOKUP(G378, OBSERVACIÓN!F$2:G$151, 2, 0), " ")</f>
        <v>65</v>
      </c>
      <c r="I378" s="18">
        <v>8</v>
      </c>
      <c r="J378" s="19" t="s">
        <v>16</v>
      </c>
      <c r="K378" s="21" t="s">
        <v>59</v>
      </c>
      <c r="L378" s="38"/>
      <c r="M378" s="21"/>
      <c r="N378" s="26"/>
      <c r="O378" s="38"/>
      <c r="P378" s="19" t="s">
        <v>49</v>
      </c>
      <c r="Q378" s="19" t="s">
        <v>54</v>
      </c>
      <c r="R378" s="38">
        <v>45787</v>
      </c>
      <c r="S378" s="19">
        <f t="shared" si="15"/>
        <v>5</v>
      </c>
    </row>
    <row r="379" spans="1:19" ht="14.25" customHeight="1" x14ac:dyDescent="0.3">
      <c r="A379" s="17">
        <f t="shared" si="14"/>
        <v>378</v>
      </c>
      <c r="B379" s="30">
        <v>73100104</v>
      </c>
      <c r="C379" s="47" t="s">
        <v>562</v>
      </c>
      <c r="D379" s="18">
        <v>94304465</v>
      </c>
      <c r="E379" s="18">
        <v>78560224</v>
      </c>
      <c r="F379" s="18" t="s">
        <v>333</v>
      </c>
      <c r="G379" s="18" t="s">
        <v>338</v>
      </c>
      <c r="H379" s="18">
        <f>IFERROR(VLOOKUP(G379, OBSERVACIÓN!F$2:G$151, 2, 0), " ")</f>
        <v>160</v>
      </c>
      <c r="I379" s="18">
        <v>10</v>
      </c>
      <c r="J379" s="19" t="s">
        <v>16</v>
      </c>
      <c r="K379" s="21" t="s">
        <v>59</v>
      </c>
      <c r="L379" s="38"/>
      <c r="M379" s="21"/>
      <c r="N379" s="26"/>
      <c r="O379" s="38"/>
      <c r="P379" s="19" t="s">
        <v>49</v>
      </c>
      <c r="Q379" s="19" t="s">
        <v>51</v>
      </c>
      <c r="R379" s="38">
        <v>45786</v>
      </c>
      <c r="S379" s="19">
        <f t="shared" si="15"/>
        <v>5</v>
      </c>
    </row>
    <row r="380" spans="1:19" ht="14.25" customHeight="1" x14ac:dyDescent="0.3">
      <c r="A380" s="17">
        <f t="shared" si="14"/>
        <v>379</v>
      </c>
      <c r="B380" s="30">
        <v>4645511</v>
      </c>
      <c r="C380" s="19" t="s">
        <v>558</v>
      </c>
      <c r="D380" s="18">
        <v>94289811</v>
      </c>
      <c r="E380" s="18">
        <v>78554840</v>
      </c>
      <c r="F380" s="18" t="s">
        <v>333</v>
      </c>
      <c r="G380" s="18" t="s">
        <v>336</v>
      </c>
      <c r="H380" s="18">
        <f>IFERROR(VLOOKUP(G380, OBSERVACIÓN!F$2:G$151, 2, 0), " ")</f>
        <v>150</v>
      </c>
      <c r="I380" s="18">
        <v>7</v>
      </c>
      <c r="J380" s="19" t="s">
        <v>372</v>
      </c>
      <c r="K380" s="21" t="s">
        <v>64</v>
      </c>
      <c r="L380" s="38"/>
      <c r="M380" s="21"/>
      <c r="N380" s="26"/>
      <c r="O380" s="38"/>
      <c r="P380" s="19" t="s">
        <v>49</v>
      </c>
      <c r="Q380" s="19" t="s">
        <v>518</v>
      </c>
      <c r="R380" s="38">
        <v>45786</v>
      </c>
      <c r="S380" s="19">
        <f t="shared" si="15"/>
        <v>5</v>
      </c>
    </row>
    <row r="381" spans="1:19" ht="14.25" customHeight="1" x14ac:dyDescent="0.3">
      <c r="A381" s="17">
        <f t="shared" si="14"/>
        <v>380</v>
      </c>
      <c r="B381" s="30">
        <v>40399264</v>
      </c>
      <c r="C381" s="19" t="s">
        <v>516</v>
      </c>
      <c r="D381" s="18">
        <v>94289362</v>
      </c>
      <c r="E381" s="18">
        <v>78554698</v>
      </c>
      <c r="F381" s="18" t="s">
        <v>333</v>
      </c>
      <c r="G381" s="18" t="s">
        <v>335</v>
      </c>
      <c r="H381" s="18">
        <f>IFERROR(VLOOKUP(G381, OBSERVACIÓN!F$2:G$151, 2, 0), " ")</f>
        <v>65</v>
      </c>
      <c r="I381" s="18">
        <v>2</v>
      </c>
      <c r="J381" s="19" t="s">
        <v>16</v>
      </c>
      <c r="K381" s="21" t="s">
        <v>59</v>
      </c>
      <c r="L381" s="38"/>
      <c r="M381" s="21"/>
      <c r="N381" s="26"/>
      <c r="O381" s="38"/>
      <c r="P381" s="19" t="s">
        <v>49</v>
      </c>
      <c r="Q381" s="19" t="s">
        <v>424</v>
      </c>
      <c r="R381" s="38">
        <v>45786</v>
      </c>
      <c r="S381" s="19">
        <f t="shared" si="15"/>
        <v>5</v>
      </c>
    </row>
    <row r="382" spans="1:19" ht="14.25" customHeight="1" x14ac:dyDescent="0.3">
      <c r="A382" s="17">
        <f t="shared" si="14"/>
        <v>381</v>
      </c>
      <c r="B382" s="30">
        <v>3619838</v>
      </c>
      <c r="C382" s="19" t="s">
        <v>553</v>
      </c>
      <c r="D382" s="18">
        <v>94207373</v>
      </c>
      <c r="E382" s="18">
        <v>78476892</v>
      </c>
      <c r="F382" s="18" t="s">
        <v>333</v>
      </c>
      <c r="G382" s="18" t="s">
        <v>336</v>
      </c>
      <c r="H382" s="18">
        <f>IFERROR(VLOOKUP(G382, OBSERVACIÓN!F$2:G$151, 2, 0), " ")</f>
        <v>150</v>
      </c>
      <c r="I382" s="18">
        <v>5</v>
      </c>
      <c r="J382" s="19" t="s">
        <v>372</v>
      </c>
      <c r="K382" s="21" t="s">
        <v>64</v>
      </c>
      <c r="L382" s="38"/>
      <c r="M382" s="21"/>
      <c r="N382" s="26"/>
      <c r="O382" s="38"/>
      <c r="P382" s="19" t="s">
        <v>49</v>
      </c>
      <c r="Q382" s="19" t="s">
        <v>424</v>
      </c>
      <c r="R382" s="38">
        <v>45783</v>
      </c>
      <c r="S382" s="19">
        <f t="shared" si="15"/>
        <v>5</v>
      </c>
    </row>
    <row r="383" spans="1:19" ht="14.25" customHeight="1" x14ac:dyDescent="0.3">
      <c r="A383" s="17">
        <f t="shared" si="14"/>
        <v>382</v>
      </c>
      <c r="B383" s="30">
        <v>46477285</v>
      </c>
      <c r="C383" s="19" t="s">
        <v>517</v>
      </c>
      <c r="D383" s="18">
        <v>94108143</v>
      </c>
      <c r="E383" s="18">
        <v>78401772</v>
      </c>
      <c r="F383" s="18" t="s">
        <v>333</v>
      </c>
      <c r="G383" s="18" t="s">
        <v>336</v>
      </c>
      <c r="H383" s="18">
        <v>150</v>
      </c>
      <c r="I383" s="18">
        <v>10</v>
      </c>
      <c r="J383" s="19" t="s">
        <v>373</v>
      </c>
      <c r="K383" s="21" t="s">
        <v>64</v>
      </c>
      <c r="L383" s="38"/>
      <c r="M383" s="21"/>
      <c r="N383" s="26"/>
      <c r="O383" s="38"/>
      <c r="P383" s="19" t="s">
        <v>49</v>
      </c>
      <c r="Q383" s="19" t="s">
        <v>518</v>
      </c>
      <c r="R383" s="38">
        <v>45780</v>
      </c>
      <c r="S383" s="19">
        <v>5</v>
      </c>
    </row>
    <row r="384" spans="1:19" ht="14.25" customHeight="1" x14ac:dyDescent="0.3">
      <c r="A384" s="17">
        <f t="shared" si="14"/>
        <v>383</v>
      </c>
      <c r="B384" s="30">
        <v>3237192</v>
      </c>
      <c r="C384" s="19" t="s">
        <v>560</v>
      </c>
      <c r="D384" s="18">
        <v>94301834</v>
      </c>
      <c r="E384" s="18">
        <v>78559456</v>
      </c>
      <c r="F384" s="18" t="s">
        <v>333</v>
      </c>
      <c r="G384" s="18" t="s">
        <v>355</v>
      </c>
      <c r="H384" s="18">
        <v>85</v>
      </c>
      <c r="I384" s="18">
        <v>9</v>
      </c>
      <c r="J384" s="19" t="s">
        <v>541</v>
      </c>
      <c r="K384" s="21" t="s">
        <v>64</v>
      </c>
      <c r="L384" s="38"/>
      <c r="M384" s="21"/>
      <c r="N384" s="26"/>
      <c r="O384" s="38"/>
      <c r="P384" s="19" t="s">
        <v>49</v>
      </c>
      <c r="Q384" s="19" t="s">
        <v>54</v>
      </c>
      <c r="R384" s="38">
        <v>45786</v>
      </c>
      <c r="S384" s="19">
        <v>5</v>
      </c>
    </row>
    <row r="385" spans="1:19" ht="14.25" customHeight="1" x14ac:dyDescent="0.3">
      <c r="A385" s="17">
        <f t="shared" si="14"/>
        <v>384</v>
      </c>
      <c r="B385" s="30">
        <v>43730667</v>
      </c>
      <c r="C385" s="19" t="s">
        <v>569</v>
      </c>
      <c r="D385" s="18">
        <v>94336538</v>
      </c>
      <c r="E385" s="18">
        <v>78573833</v>
      </c>
      <c r="F385" s="18" t="s">
        <v>333</v>
      </c>
      <c r="G385" s="18" t="s">
        <v>339</v>
      </c>
      <c r="H385" s="18">
        <v>75</v>
      </c>
      <c r="I385" s="18">
        <v>10</v>
      </c>
      <c r="J385" s="19" t="s">
        <v>373</v>
      </c>
      <c r="K385" s="21" t="s">
        <v>64</v>
      </c>
      <c r="L385" s="38"/>
      <c r="M385" s="21"/>
      <c r="N385" s="26"/>
      <c r="O385" s="38"/>
      <c r="P385" s="19" t="s">
        <v>49</v>
      </c>
      <c r="Q385" s="19" t="s">
        <v>73</v>
      </c>
      <c r="R385" s="38">
        <v>45787</v>
      </c>
      <c r="S385" s="19">
        <v>5</v>
      </c>
    </row>
    <row r="386" spans="1:19" ht="14.25" customHeight="1" x14ac:dyDescent="0.3">
      <c r="A386" s="17">
        <f t="shared" si="14"/>
        <v>385</v>
      </c>
      <c r="B386" s="30">
        <v>76342098</v>
      </c>
      <c r="C386" s="19" t="s">
        <v>571</v>
      </c>
      <c r="D386" s="18">
        <v>94403614</v>
      </c>
      <c r="E386" s="18">
        <v>78628623</v>
      </c>
      <c r="F386" s="18" t="s">
        <v>333</v>
      </c>
      <c r="G386" s="18" t="s">
        <v>335</v>
      </c>
      <c r="H386" s="18">
        <v>65</v>
      </c>
      <c r="I386" s="18">
        <v>2</v>
      </c>
      <c r="J386" s="19" t="s">
        <v>451</v>
      </c>
      <c r="K386" s="21" t="s">
        <v>64</v>
      </c>
      <c r="L386" s="38"/>
      <c r="M386" s="21"/>
      <c r="N386" s="26"/>
      <c r="O386" s="38"/>
      <c r="P386" s="19" t="s">
        <v>49</v>
      </c>
      <c r="Q386" s="19" t="s">
        <v>58</v>
      </c>
      <c r="R386" s="38">
        <v>45790</v>
      </c>
      <c r="S386" s="19">
        <v>5</v>
      </c>
    </row>
    <row r="387" spans="1:19" ht="14.25" customHeight="1" x14ac:dyDescent="0.3">
      <c r="A387" s="17">
        <f t="shared" si="14"/>
        <v>386</v>
      </c>
      <c r="B387" s="30">
        <v>9945686</v>
      </c>
      <c r="C387" s="19" t="s">
        <v>575</v>
      </c>
      <c r="D387" s="18">
        <v>94419588</v>
      </c>
      <c r="E387" s="18">
        <v>78645922</v>
      </c>
      <c r="F387" s="18" t="s">
        <v>333</v>
      </c>
      <c r="G387" s="18" t="s">
        <v>355</v>
      </c>
      <c r="H387" s="18">
        <v>85</v>
      </c>
      <c r="I387" s="18">
        <v>10</v>
      </c>
      <c r="J387" s="19" t="s">
        <v>475</v>
      </c>
      <c r="K387" s="21" t="s">
        <v>64</v>
      </c>
      <c r="L387" s="38"/>
      <c r="M387" s="21"/>
      <c r="N387" s="26"/>
      <c r="O387" s="38"/>
      <c r="P387" s="19" t="s">
        <v>49</v>
      </c>
      <c r="Q387" s="19" t="s">
        <v>518</v>
      </c>
      <c r="R387" s="38">
        <v>45790</v>
      </c>
      <c r="S387" s="19">
        <v>5</v>
      </c>
    </row>
    <row r="388" spans="1:19" ht="14.25" customHeight="1" x14ac:dyDescent="0.3">
      <c r="A388" s="17">
        <f t="shared" ref="A388:A451" si="16">A387+1</f>
        <v>387</v>
      </c>
      <c r="B388" s="30">
        <v>78462134</v>
      </c>
      <c r="C388" s="19" t="s">
        <v>555</v>
      </c>
      <c r="D388" s="18">
        <v>94241149</v>
      </c>
      <c r="E388" s="18">
        <v>78508301</v>
      </c>
      <c r="F388" s="18" t="s">
        <v>334</v>
      </c>
      <c r="G388" s="18" t="s">
        <v>335</v>
      </c>
      <c r="H388" s="18">
        <v>65</v>
      </c>
      <c r="I388" s="18">
        <v>6</v>
      </c>
      <c r="J388" s="19" t="s">
        <v>579</v>
      </c>
      <c r="K388" s="21" t="s">
        <v>64</v>
      </c>
      <c r="L388" s="38"/>
      <c r="M388" s="21"/>
      <c r="N388" s="26"/>
      <c r="O388" s="38"/>
      <c r="P388" s="19" t="s">
        <v>49</v>
      </c>
      <c r="Q388" s="19" t="s">
        <v>524</v>
      </c>
      <c r="R388" s="38">
        <v>45784</v>
      </c>
      <c r="S388" s="19">
        <v>5</v>
      </c>
    </row>
    <row r="389" spans="1:19" ht="14.25" customHeight="1" x14ac:dyDescent="0.3">
      <c r="A389" s="17">
        <f t="shared" si="16"/>
        <v>388</v>
      </c>
      <c r="B389" s="30">
        <v>48065693</v>
      </c>
      <c r="C389" s="19" t="s">
        <v>565</v>
      </c>
      <c r="D389" s="18">
        <v>94318468</v>
      </c>
      <c r="E389" s="18">
        <v>78569216</v>
      </c>
      <c r="F389" s="18" t="s">
        <v>334</v>
      </c>
      <c r="G389" s="18" t="s">
        <v>566</v>
      </c>
      <c r="H389" s="18">
        <v>100</v>
      </c>
      <c r="I389" s="18">
        <v>10</v>
      </c>
      <c r="J389" s="19" t="s">
        <v>373</v>
      </c>
      <c r="K389" s="21" t="s">
        <v>64</v>
      </c>
      <c r="L389" s="38"/>
      <c r="M389" s="21"/>
      <c r="N389" s="26"/>
      <c r="O389" s="38"/>
      <c r="P389" s="19" t="s">
        <v>49</v>
      </c>
      <c r="Q389" s="19" t="s">
        <v>51</v>
      </c>
      <c r="R389" s="38">
        <v>45787</v>
      </c>
      <c r="S389" s="19">
        <v>5</v>
      </c>
    </row>
    <row r="390" spans="1:19" ht="14.25" customHeight="1" x14ac:dyDescent="0.3">
      <c r="A390" s="17">
        <f t="shared" si="16"/>
        <v>389</v>
      </c>
      <c r="B390" s="30">
        <v>40542605</v>
      </c>
      <c r="C390" s="19" t="s">
        <v>567</v>
      </c>
      <c r="D390" s="18">
        <v>94326978</v>
      </c>
      <c r="E390" s="18">
        <v>78571237</v>
      </c>
      <c r="F390" s="18" t="s">
        <v>333</v>
      </c>
      <c r="G390" s="18" t="s">
        <v>335</v>
      </c>
      <c r="H390" s="18">
        <v>65</v>
      </c>
      <c r="I390" s="18">
        <v>9</v>
      </c>
      <c r="J390" s="19" t="s">
        <v>529</v>
      </c>
      <c r="K390" s="21" t="s">
        <v>64</v>
      </c>
      <c r="L390" s="38"/>
      <c r="M390" s="21"/>
      <c r="N390" s="26"/>
      <c r="O390" s="38"/>
      <c r="P390" s="19" t="s">
        <v>49</v>
      </c>
      <c r="Q390" s="19" t="s">
        <v>73</v>
      </c>
      <c r="R390" s="38">
        <v>45787</v>
      </c>
      <c r="S390" s="19">
        <v>5</v>
      </c>
    </row>
    <row r="391" spans="1:19" ht="14.25" customHeight="1" x14ac:dyDescent="0.3">
      <c r="A391" s="17">
        <f t="shared" si="16"/>
        <v>390</v>
      </c>
      <c r="B391" s="30">
        <v>45418516</v>
      </c>
      <c r="C391" s="19" t="s">
        <v>573</v>
      </c>
      <c r="D391" s="18">
        <v>94416760</v>
      </c>
      <c r="E391" s="18">
        <v>78634431</v>
      </c>
      <c r="F391" s="18" t="s">
        <v>333</v>
      </c>
      <c r="G391" s="18" t="s">
        <v>336</v>
      </c>
      <c r="H391" s="18">
        <v>150</v>
      </c>
      <c r="I391" s="18">
        <v>10</v>
      </c>
      <c r="J391" s="19" t="s">
        <v>580</v>
      </c>
      <c r="K391" s="21" t="s">
        <v>64</v>
      </c>
      <c r="L391" s="38"/>
      <c r="M391" s="21"/>
      <c r="N391" s="26"/>
      <c r="O391" s="38"/>
      <c r="P391" s="19" t="s">
        <v>49</v>
      </c>
      <c r="Q391" s="19" t="s">
        <v>51</v>
      </c>
      <c r="R391" s="38">
        <v>45790</v>
      </c>
      <c r="S391" s="19">
        <v>5</v>
      </c>
    </row>
    <row r="392" spans="1:19" ht="14.25" customHeight="1" x14ac:dyDescent="0.3">
      <c r="A392" s="17">
        <f t="shared" si="16"/>
        <v>391</v>
      </c>
      <c r="B392" s="30">
        <v>76694566</v>
      </c>
      <c r="C392" s="19" t="s">
        <v>574</v>
      </c>
      <c r="D392" s="18">
        <v>94419329</v>
      </c>
      <c r="E392" s="18">
        <v>78645814</v>
      </c>
      <c r="F392" s="18" t="s">
        <v>333</v>
      </c>
      <c r="G392" s="18" t="s">
        <v>336</v>
      </c>
      <c r="H392" s="18">
        <v>150</v>
      </c>
      <c r="I392" s="18">
        <v>10</v>
      </c>
      <c r="J392" s="19" t="s">
        <v>373</v>
      </c>
      <c r="K392" s="21" t="s">
        <v>64</v>
      </c>
      <c r="L392" s="38"/>
      <c r="M392" s="21"/>
      <c r="N392" s="26"/>
      <c r="O392" s="38"/>
      <c r="P392" s="19" t="s">
        <v>49</v>
      </c>
      <c r="Q392" s="19" t="s">
        <v>54</v>
      </c>
      <c r="R392" s="38">
        <v>45790</v>
      </c>
      <c r="S392" s="19">
        <v>5</v>
      </c>
    </row>
    <row r="393" spans="1:19" ht="14.25" customHeight="1" x14ac:dyDescent="0.3">
      <c r="A393" s="17">
        <f t="shared" si="16"/>
        <v>392</v>
      </c>
      <c r="B393" s="30" t="s">
        <v>577</v>
      </c>
      <c r="C393" s="19" t="s">
        <v>576</v>
      </c>
      <c r="D393" s="18">
        <v>94433884</v>
      </c>
      <c r="E393" s="18">
        <v>78669751</v>
      </c>
      <c r="F393" s="18" t="s">
        <v>333</v>
      </c>
      <c r="G393" s="18" t="s">
        <v>336</v>
      </c>
      <c r="H393" s="18">
        <v>150</v>
      </c>
      <c r="I393" s="18">
        <v>10</v>
      </c>
      <c r="J393" s="19" t="s">
        <v>579</v>
      </c>
      <c r="K393" s="21" t="s">
        <v>64</v>
      </c>
      <c r="L393" s="38"/>
      <c r="M393" s="21"/>
      <c r="N393" s="26"/>
      <c r="O393" s="38"/>
      <c r="P393" s="19" t="s">
        <v>49</v>
      </c>
      <c r="Q393" s="19" t="s">
        <v>73</v>
      </c>
      <c r="R393" s="38">
        <v>45791</v>
      </c>
      <c r="S393" s="19">
        <v>5</v>
      </c>
    </row>
    <row r="394" spans="1:19" ht="14.25" customHeight="1" x14ac:dyDescent="0.3">
      <c r="A394" s="17">
        <f t="shared" si="16"/>
        <v>393</v>
      </c>
      <c r="B394" s="30">
        <v>74475405</v>
      </c>
      <c r="C394" s="19" t="s">
        <v>581</v>
      </c>
      <c r="D394" s="18">
        <v>94475137</v>
      </c>
      <c r="E394" s="18">
        <v>78693756</v>
      </c>
      <c r="F394" s="18" t="s">
        <v>333</v>
      </c>
      <c r="G394" s="18" t="s">
        <v>336</v>
      </c>
      <c r="H394" s="18">
        <v>150</v>
      </c>
      <c r="I394" s="18">
        <v>5</v>
      </c>
      <c r="J394" s="19" t="s">
        <v>583</v>
      </c>
      <c r="K394" s="21" t="s">
        <v>64</v>
      </c>
      <c r="L394" s="38"/>
      <c r="M394" s="21"/>
      <c r="N394" s="26"/>
      <c r="O394" s="38"/>
      <c r="P394" s="19" t="s">
        <v>49</v>
      </c>
      <c r="Q394" s="19" t="s">
        <v>524</v>
      </c>
      <c r="R394" s="38">
        <v>45792</v>
      </c>
      <c r="S394" s="19">
        <v>5</v>
      </c>
    </row>
    <row r="395" spans="1:19" ht="14.25" customHeight="1" x14ac:dyDescent="0.3">
      <c r="A395" s="17">
        <f t="shared" si="16"/>
        <v>394</v>
      </c>
      <c r="B395" s="30">
        <v>10722018601</v>
      </c>
      <c r="C395" s="19" t="s">
        <v>508</v>
      </c>
      <c r="D395" s="18">
        <v>93690318</v>
      </c>
      <c r="E395" s="18">
        <v>78058717</v>
      </c>
      <c r="F395" s="18" t="s">
        <v>333</v>
      </c>
      <c r="G395" s="18" t="s">
        <v>572</v>
      </c>
      <c r="H395" s="18">
        <v>65</v>
      </c>
      <c r="I395" s="18">
        <v>10</v>
      </c>
      <c r="J395" s="19" t="s">
        <v>16</v>
      </c>
      <c r="K395" s="21" t="s">
        <v>64</v>
      </c>
      <c r="L395" s="38"/>
      <c r="M395" s="21"/>
      <c r="N395" s="26"/>
      <c r="O395" s="38"/>
      <c r="P395" s="19" t="s">
        <v>49</v>
      </c>
      <c r="Q395" s="19" t="s">
        <v>25</v>
      </c>
      <c r="R395" s="38">
        <v>45793</v>
      </c>
      <c r="S395" s="19">
        <v>5</v>
      </c>
    </row>
    <row r="396" spans="1:19" ht="14.25" customHeight="1" x14ac:dyDescent="0.3">
      <c r="A396" s="17">
        <f t="shared" si="16"/>
        <v>395</v>
      </c>
      <c r="B396" s="30">
        <v>10453027134</v>
      </c>
      <c r="C396" s="19" t="s">
        <v>507</v>
      </c>
      <c r="D396" s="18">
        <v>94289603</v>
      </c>
      <c r="E396" s="18">
        <v>78554764</v>
      </c>
      <c r="F396" s="18" t="s">
        <v>334</v>
      </c>
      <c r="G396" s="18" t="s">
        <v>585</v>
      </c>
      <c r="H396" s="18">
        <v>160</v>
      </c>
      <c r="I396" s="18">
        <v>8</v>
      </c>
      <c r="J396" s="19" t="s">
        <v>475</v>
      </c>
      <c r="K396" s="21" t="s">
        <v>64</v>
      </c>
      <c r="L396" s="38"/>
      <c r="M396" s="21"/>
      <c r="N396" s="26"/>
      <c r="O396" s="38"/>
      <c r="P396" s="19" t="s">
        <v>49</v>
      </c>
      <c r="Q396" s="19" t="s">
        <v>58</v>
      </c>
      <c r="R396" s="38">
        <v>45793</v>
      </c>
      <c r="S396" s="19">
        <v>5</v>
      </c>
    </row>
    <row r="397" spans="1:19" ht="14.25" customHeight="1" x14ac:dyDescent="0.3">
      <c r="A397" s="17">
        <f t="shared" si="16"/>
        <v>396</v>
      </c>
      <c r="B397" s="30">
        <v>40273792</v>
      </c>
      <c r="C397" s="19" t="s">
        <v>570</v>
      </c>
      <c r="D397" s="18">
        <v>94382018</v>
      </c>
      <c r="E397" s="18">
        <v>78610792</v>
      </c>
      <c r="F397" s="18" t="s">
        <v>333</v>
      </c>
      <c r="G397" s="18" t="s">
        <v>336</v>
      </c>
      <c r="H397" s="18">
        <v>150</v>
      </c>
      <c r="I397" s="18">
        <v>5</v>
      </c>
      <c r="J397" s="19" t="s">
        <v>373</v>
      </c>
      <c r="K397" s="21" t="s">
        <v>64</v>
      </c>
      <c r="L397" s="38"/>
      <c r="M397" s="21"/>
      <c r="N397" s="26"/>
      <c r="O397" s="38"/>
      <c r="P397" s="19" t="s">
        <v>49</v>
      </c>
      <c r="Q397" s="19" t="s">
        <v>25</v>
      </c>
      <c r="R397" s="38">
        <v>45789</v>
      </c>
      <c r="S397" s="19">
        <v>5</v>
      </c>
    </row>
    <row r="398" spans="1:19" ht="14.25" customHeight="1" x14ac:dyDescent="0.3">
      <c r="A398" s="17">
        <f t="shared" si="16"/>
        <v>397</v>
      </c>
      <c r="B398" s="30">
        <v>73259276</v>
      </c>
      <c r="C398" s="19" t="s">
        <v>568</v>
      </c>
      <c r="D398" s="18">
        <v>94442486</v>
      </c>
      <c r="E398" s="18">
        <v>78674347</v>
      </c>
      <c r="F398" s="18" t="s">
        <v>333</v>
      </c>
      <c r="G398" s="18" t="s">
        <v>335</v>
      </c>
      <c r="H398" s="18">
        <v>65</v>
      </c>
      <c r="I398" s="18">
        <v>8</v>
      </c>
      <c r="J398" s="19" t="s">
        <v>475</v>
      </c>
      <c r="K398" s="21" t="s">
        <v>64</v>
      </c>
      <c r="L398" s="38"/>
      <c r="M398" s="21"/>
      <c r="N398" s="26"/>
      <c r="O398" s="38"/>
      <c r="P398" s="19" t="s">
        <v>49</v>
      </c>
      <c r="Q398" s="19" t="s">
        <v>54</v>
      </c>
      <c r="R398" s="38">
        <v>45791</v>
      </c>
      <c r="S398" s="19">
        <v>5</v>
      </c>
    </row>
    <row r="399" spans="1:19" ht="14.25" customHeight="1" x14ac:dyDescent="0.3">
      <c r="A399" s="17">
        <f t="shared" si="16"/>
        <v>398</v>
      </c>
      <c r="B399" s="30">
        <v>40399264</v>
      </c>
      <c r="C399" s="19" t="s">
        <v>516</v>
      </c>
      <c r="D399" s="18">
        <v>94442736</v>
      </c>
      <c r="E399" s="18">
        <v>78674484</v>
      </c>
      <c r="F399" s="18" t="s">
        <v>333</v>
      </c>
      <c r="G399" s="18" t="s">
        <v>335</v>
      </c>
      <c r="H399" s="18">
        <v>65</v>
      </c>
      <c r="I399" s="18">
        <v>2</v>
      </c>
      <c r="J399" s="19" t="s">
        <v>451</v>
      </c>
      <c r="K399" s="21" t="s">
        <v>64</v>
      </c>
      <c r="L399" s="38"/>
      <c r="M399" s="21"/>
      <c r="N399" s="26"/>
      <c r="O399" s="38"/>
      <c r="P399" s="19" t="s">
        <v>49</v>
      </c>
      <c r="Q399" s="19" t="s">
        <v>424</v>
      </c>
      <c r="R399" s="38">
        <v>45791</v>
      </c>
      <c r="S399" s="19">
        <v>5</v>
      </c>
    </row>
    <row r="400" spans="1:19" ht="14.25" customHeight="1" x14ac:dyDescent="0.3">
      <c r="A400" s="17">
        <f t="shared" si="16"/>
        <v>399</v>
      </c>
      <c r="B400" s="30">
        <v>73100104</v>
      </c>
      <c r="C400" s="19" t="s">
        <v>562</v>
      </c>
      <c r="D400" s="18">
        <v>94443206</v>
      </c>
      <c r="E400" s="18">
        <v>78674750</v>
      </c>
      <c r="F400" s="18" t="s">
        <v>334</v>
      </c>
      <c r="G400" s="18" t="s">
        <v>338</v>
      </c>
      <c r="H400" s="18">
        <v>160</v>
      </c>
      <c r="I400" s="18">
        <v>10</v>
      </c>
      <c r="J400" s="19" t="s">
        <v>373</v>
      </c>
      <c r="K400" s="21" t="s">
        <v>64</v>
      </c>
      <c r="L400" s="38"/>
      <c r="M400" s="21"/>
      <c r="N400" s="26"/>
      <c r="O400" s="38"/>
      <c r="P400" s="19" t="s">
        <v>49</v>
      </c>
      <c r="Q400" s="19" t="s">
        <v>51</v>
      </c>
      <c r="R400" s="38">
        <v>45792</v>
      </c>
      <c r="S400" s="19">
        <v>5</v>
      </c>
    </row>
    <row r="401" spans="1:19" ht="14.25" customHeight="1" x14ac:dyDescent="0.3">
      <c r="A401" s="17">
        <f t="shared" si="16"/>
        <v>400</v>
      </c>
      <c r="B401" s="30">
        <v>44327512</v>
      </c>
      <c r="C401" s="19" t="s">
        <v>563</v>
      </c>
      <c r="D401" s="18">
        <v>94317605</v>
      </c>
      <c r="E401" s="18">
        <v>78569058</v>
      </c>
      <c r="F401" s="18" t="s">
        <v>334</v>
      </c>
      <c r="G401" s="18" t="s">
        <v>533</v>
      </c>
      <c r="H401" s="18">
        <v>185</v>
      </c>
      <c r="I401" s="18">
        <v>10</v>
      </c>
      <c r="J401" s="19" t="s">
        <v>529</v>
      </c>
      <c r="K401" s="21" t="s">
        <v>64</v>
      </c>
      <c r="L401" s="38"/>
      <c r="M401" s="21"/>
      <c r="N401" s="26"/>
      <c r="O401" s="38"/>
      <c r="P401" s="19" t="s">
        <v>49</v>
      </c>
      <c r="Q401" s="19" t="s">
        <v>28</v>
      </c>
      <c r="R401" s="38">
        <v>45787</v>
      </c>
      <c r="S401" s="19">
        <v>5</v>
      </c>
    </row>
    <row r="402" spans="1:19" ht="14.25" customHeight="1" x14ac:dyDescent="0.3">
      <c r="A402" s="17">
        <f t="shared" si="16"/>
        <v>401</v>
      </c>
      <c r="B402" s="30">
        <v>45841178</v>
      </c>
      <c r="C402" s="19" t="s">
        <v>514</v>
      </c>
      <c r="D402" s="18">
        <v>94443587</v>
      </c>
      <c r="E402" s="18">
        <v>78674966</v>
      </c>
      <c r="F402" s="18" t="s">
        <v>333</v>
      </c>
      <c r="G402" s="18" t="s">
        <v>336</v>
      </c>
      <c r="H402" s="18">
        <v>150</v>
      </c>
      <c r="I402" s="18">
        <v>5</v>
      </c>
      <c r="J402" s="19" t="s">
        <v>529</v>
      </c>
      <c r="K402" s="21" t="s">
        <v>64</v>
      </c>
      <c r="L402" s="38"/>
      <c r="M402" s="21"/>
      <c r="N402" s="26"/>
      <c r="O402" s="38"/>
      <c r="P402" s="19" t="s">
        <v>49</v>
      </c>
      <c r="Q402" s="19" t="s">
        <v>28</v>
      </c>
      <c r="R402" s="38">
        <v>45791</v>
      </c>
      <c r="S402" s="19">
        <v>5</v>
      </c>
    </row>
    <row r="403" spans="1:19" ht="14.25" customHeight="1" x14ac:dyDescent="0.3">
      <c r="A403" s="17">
        <f t="shared" si="16"/>
        <v>402</v>
      </c>
      <c r="B403" s="30">
        <v>60428029</v>
      </c>
      <c r="C403" s="19" t="s">
        <v>582</v>
      </c>
      <c r="D403" s="18">
        <v>94479160</v>
      </c>
      <c r="E403" s="18">
        <v>78695696</v>
      </c>
      <c r="F403" s="18" t="s">
        <v>333</v>
      </c>
      <c r="G403" s="18" t="s">
        <v>339</v>
      </c>
      <c r="H403" s="18">
        <v>75</v>
      </c>
      <c r="I403" s="18">
        <v>1</v>
      </c>
      <c r="J403" s="19" t="s">
        <v>373</v>
      </c>
      <c r="K403" s="21" t="s">
        <v>64</v>
      </c>
      <c r="L403" s="38"/>
      <c r="M403" s="21"/>
      <c r="N403" s="26"/>
      <c r="O403" s="38"/>
      <c r="P403" s="19" t="s">
        <v>49</v>
      </c>
      <c r="Q403" s="19" t="s">
        <v>51</v>
      </c>
      <c r="R403" s="38">
        <v>45792</v>
      </c>
      <c r="S403" s="19">
        <v>5</v>
      </c>
    </row>
    <row r="404" spans="1:19" ht="14.25" customHeight="1" x14ac:dyDescent="0.3">
      <c r="A404" s="17">
        <f t="shared" si="16"/>
        <v>403</v>
      </c>
      <c r="B404" s="30">
        <v>46444764</v>
      </c>
      <c r="C404" s="19" t="s">
        <v>525</v>
      </c>
      <c r="D404" s="18">
        <v>93869411</v>
      </c>
      <c r="E404" s="18">
        <v>78225401</v>
      </c>
      <c r="F404" s="18" t="s">
        <v>333</v>
      </c>
      <c r="G404" s="18" t="s">
        <v>339</v>
      </c>
      <c r="H404" s="18">
        <v>75</v>
      </c>
      <c r="I404" s="18">
        <v>1</v>
      </c>
      <c r="J404" s="19" t="s">
        <v>594</v>
      </c>
      <c r="K404" s="21" t="s">
        <v>64</v>
      </c>
      <c r="L404" s="38"/>
      <c r="M404" s="21"/>
      <c r="N404" s="26"/>
      <c r="O404" s="38"/>
      <c r="P404" s="19" t="s">
        <v>49</v>
      </c>
      <c r="Q404" s="19" t="s">
        <v>25</v>
      </c>
      <c r="R404" s="38">
        <v>45772</v>
      </c>
      <c r="S404" s="19">
        <v>4</v>
      </c>
    </row>
    <row r="405" spans="1:19" ht="14.25" customHeight="1" x14ac:dyDescent="0.3">
      <c r="A405" s="17">
        <f t="shared" si="16"/>
        <v>404</v>
      </c>
      <c r="B405" s="30">
        <v>42249952</v>
      </c>
      <c r="C405" s="19" t="s">
        <v>542</v>
      </c>
      <c r="D405" s="18">
        <v>94074510</v>
      </c>
      <c r="E405" s="18">
        <v>78386261</v>
      </c>
      <c r="F405" s="18" t="s">
        <v>333</v>
      </c>
      <c r="G405" s="18" t="s">
        <v>335</v>
      </c>
      <c r="H405" s="18">
        <v>65</v>
      </c>
      <c r="I405" s="18">
        <v>6</v>
      </c>
      <c r="J405" s="19" t="s">
        <v>16</v>
      </c>
      <c r="K405" s="21" t="s">
        <v>64</v>
      </c>
      <c r="L405" s="38"/>
      <c r="M405" s="21"/>
      <c r="N405" s="26"/>
      <c r="O405" s="38"/>
      <c r="P405" s="19" t="s">
        <v>49</v>
      </c>
      <c r="Q405" s="19" t="s">
        <v>175</v>
      </c>
      <c r="R405" s="38">
        <v>45779</v>
      </c>
      <c r="S405" s="19">
        <v>5</v>
      </c>
    </row>
    <row r="406" spans="1:19" ht="14.25" customHeight="1" x14ac:dyDescent="0.3">
      <c r="A406" s="17">
        <f t="shared" si="16"/>
        <v>405</v>
      </c>
      <c r="B406" s="30">
        <v>71448473</v>
      </c>
      <c r="C406" s="19" t="s">
        <v>546</v>
      </c>
      <c r="D406" s="18">
        <v>94106932</v>
      </c>
      <c r="E406" s="18">
        <v>78401468</v>
      </c>
      <c r="F406" s="18" t="s">
        <v>333</v>
      </c>
      <c r="G406" s="18" t="s">
        <v>335</v>
      </c>
      <c r="H406" s="18">
        <v>65</v>
      </c>
      <c r="I406" s="18">
        <v>3</v>
      </c>
      <c r="J406" s="19" t="s">
        <v>594</v>
      </c>
      <c r="K406" s="21" t="s">
        <v>64</v>
      </c>
      <c r="L406" s="38"/>
      <c r="M406" s="21"/>
      <c r="N406" s="26"/>
      <c r="O406" s="38"/>
      <c r="P406" s="19" t="s">
        <v>49</v>
      </c>
      <c r="Q406" s="19" t="s">
        <v>518</v>
      </c>
      <c r="R406" s="38">
        <v>45780</v>
      </c>
      <c r="S406" s="19">
        <v>5</v>
      </c>
    </row>
    <row r="407" spans="1:19" ht="14.25" customHeight="1" x14ac:dyDescent="0.3">
      <c r="A407" s="17">
        <f t="shared" si="16"/>
        <v>406</v>
      </c>
      <c r="B407" s="30">
        <v>42984908</v>
      </c>
      <c r="C407" s="19" t="s">
        <v>536</v>
      </c>
      <c r="D407" s="18">
        <v>94286341</v>
      </c>
      <c r="E407" s="18">
        <v>78553614</v>
      </c>
      <c r="F407" s="18" t="s">
        <v>333</v>
      </c>
      <c r="G407" s="18" t="s">
        <v>335</v>
      </c>
      <c r="H407" s="18">
        <v>65</v>
      </c>
      <c r="I407" s="18">
        <v>7</v>
      </c>
      <c r="J407" s="19" t="s">
        <v>594</v>
      </c>
      <c r="K407" s="21" t="s">
        <v>64</v>
      </c>
      <c r="L407" s="38"/>
      <c r="M407" s="21"/>
      <c r="N407" s="26"/>
      <c r="O407" s="38"/>
      <c r="P407" s="19" t="s">
        <v>49</v>
      </c>
      <c r="Q407" s="19" t="s">
        <v>51</v>
      </c>
      <c r="R407" s="38">
        <v>45786</v>
      </c>
      <c r="S407" s="19">
        <v>5</v>
      </c>
    </row>
    <row r="408" spans="1:19" ht="14.25" customHeight="1" x14ac:dyDescent="0.3">
      <c r="A408" s="17">
        <f t="shared" si="16"/>
        <v>407</v>
      </c>
      <c r="B408" s="30">
        <v>15664984</v>
      </c>
      <c r="C408" s="19" t="s">
        <v>561</v>
      </c>
      <c r="D408" s="18">
        <v>94300907</v>
      </c>
      <c r="E408" s="18">
        <v>78559135</v>
      </c>
      <c r="F408" s="18" t="s">
        <v>333</v>
      </c>
      <c r="G408" s="18" t="s">
        <v>336</v>
      </c>
      <c r="H408" s="18">
        <v>150</v>
      </c>
      <c r="I408" s="18">
        <v>5</v>
      </c>
      <c r="J408" s="19" t="s">
        <v>373</v>
      </c>
      <c r="K408" s="21" t="s">
        <v>64</v>
      </c>
      <c r="L408" s="38"/>
      <c r="M408" s="21"/>
      <c r="N408" s="26"/>
      <c r="O408" s="38"/>
      <c r="P408" s="19" t="s">
        <v>49</v>
      </c>
      <c r="Q408" s="19" t="s">
        <v>25</v>
      </c>
      <c r="R408" s="38">
        <v>45786</v>
      </c>
      <c r="S408" s="19">
        <v>5</v>
      </c>
    </row>
    <row r="409" spans="1:19" ht="14.25" customHeight="1" x14ac:dyDescent="0.3">
      <c r="A409" s="17">
        <f t="shared" si="16"/>
        <v>408</v>
      </c>
      <c r="B409" s="30">
        <v>23853200</v>
      </c>
      <c r="C409" s="19" t="s">
        <v>590</v>
      </c>
      <c r="D409" s="18">
        <v>94568867</v>
      </c>
      <c r="E409" s="18">
        <v>78758673</v>
      </c>
      <c r="F409" s="18" t="s">
        <v>334</v>
      </c>
      <c r="G409" s="23" t="s">
        <v>591</v>
      </c>
      <c r="H409" s="18">
        <v>165</v>
      </c>
      <c r="I409" s="18">
        <v>10</v>
      </c>
      <c r="J409" s="19" t="s">
        <v>475</v>
      </c>
      <c r="K409" s="21" t="s">
        <v>64</v>
      </c>
      <c r="L409" s="38"/>
      <c r="M409" s="21"/>
      <c r="N409" s="26"/>
      <c r="O409" s="38"/>
      <c r="P409" s="19" t="s">
        <v>49</v>
      </c>
      <c r="Q409" s="19" t="s">
        <v>518</v>
      </c>
      <c r="R409" s="38">
        <v>45796</v>
      </c>
      <c r="S409" s="19">
        <v>5</v>
      </c>
    </row>
    <row r="410" spans="1:19" ht="14.25" customHeight="1" x14ac:dyDescent="0.3">
      <c r="A410" s="17">
        <f t="shared" si="16"/>
        <v>409</v>
      </c>
      <c r="B410" s="30">
        <v>20545060150</v>
      </c>
      <c r="C410" s="19" t="s">
        <v>592</v>
      </c>
      <c r="D410" s="18">
        <v>94583202</v>
      </c>
      <c r="E410" s="18">
        <v>78764814</v>
      </c>
      <c r="F410" s="18" t="s">
        <v>333</v>
      </c>
      <c r="G410" s="23" t="s">
        <v>340</v>
      </c>
      <c r="H410" s="18">
        <v>75</v>
      </c>
      <c r="I410" s="18">
        <v>5</v>
      </c>
      <c r="J410" s="19" t="s">
        <v>541</v>
      </c>
      <c r="K410" s="21" t="s">
        <v>64</v>
      </c>
      <c r="L410" s="38"/>
      <c r="M410" s="21"/>
      <c r="N410" s="26"/>
      <c r="O410" s="38"/>
      <c r="P410" s="19" t="s">
        <v>49</v>
      </c>
      <c r="Q410" s="19" t="s">
        <v>51</v>
      </c>
      <c r="R410" s="38">
        <v>45796</v>
      </c>
      <c r="S410" s="19">
        <v>5</v>
      </c>
    </row>
    <row r="411" spans="1:19" ht="14.25" customHeight="1" x14ac:dyDescent="0.3">
      <c r="A411" s="17">
        <f t="shared" si="16"/>
        <v>410</v>
      </c>
      <c r="B411" s="30">
        <v>23985151</v>
      </c>
      <c r="C411" s="19" t="s">
        <v>597</v>
      </c>
      <c r="D411" s="18">
        <v>94638906</v>
      </c>
      <c r="E411" s="18">
        <v>78807318</v>
      </c>
      <c r="F411" s="18" t="s">
        <v>334</v>
      </c>
      <c r="G411" s="18" t="s">
        <v>335</v>
      </c>
      <c r="H411" s="18">
        <v>65</v>
      </c>
      <c r="I411" s="18">
        <v>10</v>
      </c>
      <c r="J411" s="19" t="s">
        <v>373</v>
      </c>
      <c r="K411" s="21" t="s">
        <v>64</v>
      </c>
      <c r="L411" s="38"/>
      <c r="M411" s="21"/>
      <c r="N411" s="26"/>
      <c r="O411" s="38"/>
      <c r="P411" s="19" t="s">
        <v>49</v>
      </c>
      <c r="Q411" s="19" t="s">
        <v>524</v>
      </c>
      <c r="R411" s="38">
        <v>45798</v>
      </c>
      <c r="S411" s="19">
        <v>5</v>
      </c>
    </row>
    <row r="412" spans="1:19" ht="14.25" customHeight="1" x14ac:dyDescent="0.3">
      <c r="A412" s="17">
        <f t="shared" si="16"/>
        <v>411</v>
      </c>
      <c r="B412" s="30">
        <v>72202715</v>
      </c>
      <c r="C412" s="19" t="s">
        <v>598</v>
      </c>
      <c r="D412" s="18">
        <v>94655876</v>
      </c>
      <c r="E412" s="18">
        <v>78822800</v>
      </c>
      <c r="F412" s="18" t="s">
        <v>333</v>
      </c>
      <c r="G412" s="18" t="s">
        <v>338</v>
      </c>
      <c r="H412" s="18">
        <v>160</v>
      </c>
      <c r="I412" s="18">
        <v>10</v>
      </c>
      <c r="J412" s="19" t="s">
        <v>451</v>
      </c>
      <c r="K412" s="21" t="s">
        <v>64</v>
      </c>
      <c r="L412" s="38"/>
      <c r="M412" s="21"/>
      <c r="N412" s="26"/>
      <c r="O412" s="38"/>
      <c r="P412" s="19" t="s">
        <v>49</v>
      </c>
      <c r="Q412" s="19" t="s">
        <v>524</v>
      </c>
      <c r="R412" s="38">
        <v>45799</v>
      </c>
      <c r="S412" s="19">
        <v>5</v>
      </c>
    </row>
    <row r="413" spans="1:19" ht="14.25" customHeight="1" x14ac:dyDescent="0.3">
      <c r="A413" s="17">
        <f t="shared" si="16"/>
        <v>412</v>
      </c>
      <c r="B413" s="30">
        <v>43935923</v>
      </c>
      <c r="C413" s="19" t="s">
        <v>544</v>
      </c>
      <c r="D413" s="18">
        <v>94263244</v>
      </c>
      <c r="E413" s="18">
        <v>78531826</v>
      </c>
      <c r="F413" s="18" t="s">
        <v>333</v>
      </c>
      <c r="G413" s="18" t="s">
        <v>336</v>
      </c>
      <c r="H413" s="18">
        <v>150</v>
      </c>
      <c r="I413" s="18">
        <v>8</v>
      </c>
      <c r="J413" s="19" t="s">
        <v>369</v>
      </c>
      <c r="K413" s="21" t="s">
        <v>64</v>
      </c>
      <c r="L413" s="38"/>
      <c r="M413" s="21"/>
      <c r="N413" s="26"/>
      <c r="O413" s="38"/>
      <c r="P413" s="19" t="s">
        <v>49</v>
      </c>
      <c r="Q413" s="19" t="s">
        <v>524</v>
      </c>
      <c r="R413" s="38">
        <v>45785</v>
      </c>
      <c r="S413" s="19">
        <v>5</v>
      </c>
    </row>
    <row r="414" spans="1:19" ht="14.25" customHeight="1" x14ac:dyDescent="0.3">
      <c r="A414" s="17">
        <f t="shared" si="16"/>
        <v>413</v>
      </c>
      <c r="B414" s="30">
        <v>73018451</v>
      </c>
      <c r="C414" s="19" t="s">
        <v>564</v>
      </c>
      <c r="D414" s="18">
        <v>94308382</v>
      </c>
      <c r="E414" s="18">
        <v>78561405</v>
      </c>
      <c r="F414" s="18" t="s">
        <v>333</v>
      </c>
      <c r="G414" s="18" t="s">
        <v>338</v>
      </c>
      <c r="H414" s="18">
        <v>160</v>
      </c>
      <c r="I414" s="18">
        <v>10</v>
      </c>
      <c r="J414" s="19" t="s">
        <v>529</v>
      </c>
      <c r="K414" s="21" t="s">
        <v>64</v>
      </c>
      <c r="L414" s="38"/>
      <c r="M414" s="21"/>
      <c r="N414" s="26"/>
      <c r="O414" s="38"/>
      <c r="P414" s="19" t="s">
        <v>49</v>
      </c>
      <c r="Q414" s="19" t="s">
        <v>51</v>
      </c>
      <c r="R414" s="38">
        <v>45786</v>
      </c>
      <c r="S414" s="19">
        <v>5</v>
      </c>
    </row>
    <row r="415" spans="1:19" ht="14.25" customHeight="1" x14ac:dyDescent="0.3">
      <c r="A415" s="17">
        <f t="shared" si="16"/>
        <v>414</v>
      </c>
      <c r="B415" s="30">
        <v>72456900</v>
      </c>
      <c r="C415" s="19" t="s">
        <v>596</v>
      </c>
      <c r="D415" s="18">
        <v>94627220</v>
      </c>
      <c r="E415" s="18">
        <v>78801945</v>
      </c>
      <c r="F415" s="18" t="s">
        <v>333</v>
      </c>
      <c r="G415" s="18" t="s">
        <v>335</v>
      </c>
      <c r="H415" s="18">
        <v>65</v>
      </c>
      <c r="I415" s="18">
        <v>2</v>
      </c>
      <c r="J415" s="19" t="s">
        <v>604</v>
      </c>
      <c r="K415" s="21" t="s">
        <v>64</v>
      </c>
      <c r="L415" s="38"/>
      <c r="M415" s="21"/>
      <c r="N415" s="26"/>
      <c r="O415" s="38"/>
      <c r="P415" s="19" t="s">
        <v>49</v>
      </c>
      <c r="Q415" s="19" t="s">
        <v>54</v>
      </c>
      <c r="R415" s="38">
        <v>45798</v>
      </c>
      <c r="S415" s="19">
        <v>5</v>
      </c>
    </row>
    <row r="416" spans="1:19" ht="14.25" customHeight="1" x14ac:dyDescent="0.3">
      <c r="A416" s="17">
        <f t="shared" si="16"/>
        <v>415</v>
      </c>
      <c r="B416" s="30">
        <v>10485093</v>
      </c>
      <c r="C416" s="19" t="s">
        <v>599</v>
      </c>
      <c r="D416" s="18">
        <v>94659058</v>
      </c>
      <c r="E416" s="18">
        <v>78824167</v>
      </c>
      <c r="F416" s="18" t="s">
        <v>333</v>
      </c>
      <c r="G416" s="18" t="s">
        <v>336</v>
      </c>
      <c r="H416" s="18">
        <v>150</v>
      </c>
      <c r="I416" s="18">
        <v>4</v>
      </c>
      <c r="J416" s="19" t="s">
        <v>475</v>
      </c>
      <c r="K416" s="21" t="s">
        <v>64</v>
      </c>
      <c r="L416" s="38"/>
      <c r="M416" s="21"/>
      <c r="N416" s="26"/>
      <c r="O416" s="38"/>
      <c r="P416" s="19" t="s">
        <v>49</v>
      </c>
      <c r="Q416" s="19" t="s">
        <v>51</v>
      </c>
      <c r="R416" s="38">
        <v>45799</v>
      </c>
      <c r="S416" s="19">
        <v>5</v>
      </c>
    </row>
    <row r="417" spans="1:26" ht="14.25" customHeight="1" x14ac:dyDescent="0.3">
      <c r="A417" s="17">
        <f t="shared" si="16"/>
        <v>416</v>
      </c>
      <c r="B417" s="30">
        <v>72202715</v>
      </c>
      <c r="C417" s="19" t="s">
        <v>598</v>
      </c>
      <c r="D417" s="18">
        <v>94669380</v>
      </c>
      <c r="E417" s="18">
        <v>78828539</v>
      </c>
      <c r="F417" s="18" t="s">
        <v>334</v>
      </c>
      <c r="G417" s="18" t="s">
        <v>337</v>
      </c>
      <c r="H417" s="18">
        <v>170</v>
      </c>
      <c r="I417" s="18">
        <v>10</v>
      </c>
      <c r="J417" s="19" t="s">
        <v>603</v>
      </c>
      <c r="K417" s="21" t="s">
        <v>64</v>
      </c>
      <c r="L417" s="38"/>
      <c r="M417" s="21"/>
      <c r="N417" s="26"/>
      <c r="O417" s="38"/>
      <c r="P417" s="19" t="s">
        <v>49</v>
      </c>
      <c r="Q417" s="19" t="s">
        <v>524</v>
      </c>
      <c r="R417" s="38">
        <v>45799</v>
      </c>
      <c r="S417" s="19">
        <v>5</v>
      </c>
    </row>
    <row r="418" spans="1:26" ht="14.25" customHeight="1" x14ac:dyDescent="0.3">
      <c r="A418" s="17">
        <f t="shared" si="16"/>
        <v>417</v>
      </c>
      <c r="B418" s="30">
        <v>8978733</v>
      </c>
      <c r="C418" s="19" t="s">
        <v>600</v>
      </c>
      <c r="D418" s="18">
        <v>94672771</v>
      </c>
      <c r="E418" s="18">
        <v>78830333</v>
      </c>
      <c r="F418" s="18" t="s">
        <v>333</v>
      </c>
      <c r="G418" s="18" t="s">
        <v>336</v>
      </c>
      <c r="H418" s="18">
        <v>150</v>
      </c>
      <c r="I418" s="18">
        <v>7</v>
      </c>
      <c r="J418" s="19" t="s">
        <v>602</v>
      </c>
      <c r="K418" s="21" t="s">
        <v>64</v>
      </c>
      <c r="L418" s="38"/>
      <c r="M418" s="21"/>
      <c r="N418" s="26"/>
      <c r="O418" s="38"/>
      <c r="P418" s="19" t="s">
        <v>49</v>
      </c>
      <c r="Q418" s="19" t="s">
        <v>28</v>
      </c>
      <c r="R418" s="38">
        <v>45799</v>
      </c>
      <c r="S418" s="19">
        <v>5</v>
      </c>
    </row>
    <row r="419" spans="1:26" ht="14.25" customHeight="1" x14ac:dyDescent="0.3">
      <c r="A419" s="17">
        <f t="shared" si="16"/>
        <v>418</v>
      </c>
      <c r="B419" s="30">
        <v>44241455</v>
      </c>
      <c r="C419" s="19" t="s">
        <v>606</v>
      </c>
      <c r="D419" s="18">
        <v>94703792</v>
      </c>
      <c r="E419" s="18">
        <v>78854485</v>
      </c>
      <c r="F419" s="18" t="s">
        <v>333</v>
      </c>
      <c r="G419" s="18" t="s">
        <v>339</v>
      </c>
      <c r="H419" s="18">
        <v>75</v>
      </c>
      <c r="I419" s="18">
        <v>8</v>
      </c>
      <c r="J419" s="19" t="s">
        <v>373</v>
      </c>
      <c r="K419" s="21" t="s">
        <v>64</v>
      </c>
      <c r="L419" s="38"/>
      <c r="M419" s="21"/>
      <c r="N419" s="26"/>
      <c r="O419" s="38"/>
      <c r="P419" s="19" t="s">
        <v>49</v>
      </c>
      <c r="Q419" s="19" t="s">
        <v>524</v>
      </c>
      <c r="R419" s="38">
        <v>45800</v>
      </c>
      <c r="S419" s="19">
        <v>5</v>
      </c>
    </row>
    <row r="420" spans="1:26" ht="14.25" customHeight="1" x14ac:dyDescent="0.3">
      <c r="A420" s="17">
        <f t="shared" si="16"/>
        <v>419</v>
      </c>
      <c r="B420" s="30">
        <v>73947612</v>
      </c>
      <c r="C420" s="19" t="s">
        <v>608</v>
      </c>
      <c r="D420" s="18">
        <v>94725743</v>
      </c>
      <c r="E420" s="18">
        <v>78893632</v>
      </c>
      <c r="F420" s="18" t="s">
        <v>334</v>
      </c>
      <c r="G420" s="18" t="s">
        <v>566</v>
      </c>
      <c r="H420" s="18">
        <v>100</v>
      </c>
      <c r="I420" s="18">
        <v>5</v>
      </c>
      <c r="J420" s="19" t="s">
        <v>475</v>
      </c>
      <c r="K420" s="21" t="s">
        <v>64</v>
      </c>
      <c r="L420" s="38"/>
      <c r="M420" s="21"/>
      <c r="N420" s="26"/>
      <c r="O420" s="38"/>
      <c r="P420" s="19" t="s">
        <v>49</v>
      </c>
      <c r="Q420" s="19" t="s">
        <v>25</v>
      </c>
      <c r="R420" s="38">
        <v>45801</v>
      </c>
      <c r="S420" s="19">
        <v>5</v>
      </c>
    </row>
    <row r="421" spans="1:26" ht="14.25" customHeight="1" x14ac:dyDescent="0.3">
      <c r="A421" s="17">
        <f t="shared" si="16"/>
        <v>420</v>
      </c>
      <c r="B421" s="30">
        <v>72427333</v>
      </c>
      <c r="C421" s="19" t="s">
        <v>534</v>
      </c>
      <c r="D421" s="18">
        <v>93977468</v>
      </c>
      <c r="E421" s="18">
        <v>78292351</v>
      </c>
      <c r="F421" s="18" t="s">
        <v>333</v>
      </c>
      <c r="G421" s="18" t="s">
        <v>336</v>
      </c>
      <c r="H421" s="18">
        <v>150</v>
      </c>
      <c r="I421" s="18">
        <v>5</v>
      </c>
      <c r="J421" s="19" t="s">
        <v>369</v>
      </c>
      <c r="K421" s="21" t="s">
        <v>64</v>
      </c>
      <c r="L421" s="38"/>
      <c r="M421" s="21"/>
      <c r="N421" s="26"/>
      <c r="O421" s="38"/>
      <c r="P421" s="19" t="s">
        <v>49</v>
      </c>
      <c r="Q421" s="19" t="s">
        <v>518</v>
      </c>
      <c r="R421" s="38">
        <v>45775</v>
      </c>
      <c r="S421" s="19">
        <v>4</v>
      </c>
    </row>
    <row r="422" spans="1:26" ht="14.25" customHeight="1" x14ac:dyDescent="0.3">
      <c r="A422" s="17">
        <f t="shared" si="16"/>
        <v>421</v>
      </c>
      <c r="B422" s="30">
        <v>10107998140</v>
      </c>
      <c r="C422" s="19" t="s">
        <v>532</v>
      </c>
      <c r="D422" s="18">
        <v>94287715</v>
      </c>
      <c r="E422" s="18">
        <v>78554124</v>
      </c>
      <c r="F422" s="18" t="s">
        <v>333</v>
      </c>
      <c r="G422" s="18" t="s">
        <v>584</v>
      </c>
      <c r="H422" s="18">
        <v>185</v>
      </c>
      <c r="I422" s="18">
        <v>10</v>
      </c>
      <c r="J422" s="19" t="s">
        <v>373</v>
      </c>
      <c r="K422" s="21" t="s">
        <v>64</v>
      </c>
      <c r="L422" s="38"/>
      <c r="M422" s="21"/>
      <c r="N422" s="26"/>
      <c r="O422" s="38"/>
      <c r="P422" s="19" t="s">
        <v>49</v>
      </c>
      <c r="Q422" s="19" t="s">
        <v>54</v>
      </c>
      <c r="R422" s="38">
        <v>45793</v>
      </c>
      <c r="S422" s="19">
        <v>5</v>
      </c>
    </row>
    <row r="423" spans="1:26" ht="14.25" customHeight="1" x14ac:dyDescent="0.3">
      <c r="A423" s="17">
        <f t="shared" si="16"/>
        <v>422</v>
      </c>
      <c r="B423" s="30">
        <v>41466220</v>
      </c>
      <c r="C423" s="19" t="s">
        <v>587</v>
      </c>
      <c r="D423" s="18">
        <v>94507932</v>
      </c>
      <c r="E423" s="18">
        <v>78718346</v>
      </c>
      <c r="F423" s="18" t="s">
        <v>333</v>
      </c>
      <c r="G423" s="18" t="s">
        <v>336</v>
      </c>
      <c r="H423" s="18">
        <v>150</v>
      </c>
      <c r="I423" s="18">
        <v>8</v>
      </c>
      <c r="J423" s="19" t="s">
        <v>529</v>
      </c>
      <c r="K423" s="21" t="s">
        <v>64</v>
      </c>
      <c r="L423" s="38"/>
      <c r="M423" s="21"/>
      <c r="N423" s="26"/>
      <c r="O423" s="38"/>
      <c r="P423" s="19" t="s">
        <v>49</v>
      </c>
      <c r="Q423" s="19" t="s">
        <v>28</v>
      </c>
      <c r="R423" s="38">
        <v>45793</v>
      </c>
      <c r="S423" s="19">
        <v>5</v>
      </c>
    </row>
    <row r="424" spans="1:26" ht="14.25" customHeight="1" x14ac:dyDescent="0.3">
      <c r="A424" s="17">
        <f t="shared" si="16"/>
        <v>423</v>
      </c>
      <c r="B424" s="30">
        <v>76377588</v>
      </c>
      <c r="C424" s="19" t="s">
        <v>588</v>
      </c>
      <c r="D424" s="18">
        <v>94506439</v>
      </c>
      <c r="E424" s="18">
        <v>78717838</v>
      </c>
      <c r="F424" s="18" t="s">
        <v>333</v>
      </c>
      <c r="G424" s="18" t="s">
        <v>338</v>
      </c>
      <c r="H424" s="18">
        <v>160</v>
      </c>
      <c r="I424" s="18">
        <v>10</v>
      </c>
      <c r="J424" s="19" t="s">
        <v>529</v>
      </c>
      <c r="K424" s="21" t="s">
        <v>64</v>
      </c>
      <c r="L424" s="38"/>
      <c r="M424" s="21"/>
      <c r="N424" s="26"/>
      <c r="O424" s="38"/>
      <c r="P424" s="19" t="s">
        <v>49</v>
      </c>
      <c r="Q424" s="19" t="s">
        <v>58</v>
      </c>
      <c r="R424" s="38">
        <v>45793</v>
      </c>
      <c r="S424" s="19">
        <v>5</v>
      </c>
    </row>
    <row r="425" spans="1:26" ht="14.25" customHeight="1" x14ac:dyDescent="0.3">
      <c r="A425" s="17">
        <f t="shared" si="16"/>
        <v>424</v>
      </c>
      <c r="B425" s="30">
        <v>42672005</v>
      </c>
      <c r="C425" s="19" t="s">
        <v>589</v>
      </c>
      <c r="D425" s="18">
        <v>94522508</v>
      </c>
      <c r="E425" s="18">
        <v>78727076</v>
      </c>
      <c r="F425" s="18" t="s">
        <v>333</v>
      </c>
      <c r="G425" s="18" t="s">
        <v>336</v>
      </c>
      <c r="H425" s="18">
        <v>150</v>
      </c>
      <c r="I425" s="18">
        <v>7</v>
      </c>
      <c r="J425" s="19" t="s">
        <v>612</v>
      </c>
      <c r="K425" s="21" t="s">
        <v>64</v>
      </c>
      <c r="L425" s="38"/>
      <c r="M425" s="21"/>
      <c r="N425" s="26"/>
      <c r="O425" s="38"/>
      <c r="P425" s="19" t="s">
        <v>49</v>
      </c>
      <c r="Q425" s="19" t="s">
        <v>518</v>
      </c>
      <c r="R425" s="38">
        <v>45794</v>
      </c>
      <c r="S425" s="19">
        <v>5</v>
      </c>
    </row>
    <row r="426" spans="1:26" ht="14.25" customHeight="1" x14ac:dyDescent="0.3">
      <c r="A426" s="17">
        <f t="shared" si="16"/>
        <v>425</v>
      </c>
      <c r="B426" s="30">
        <v>23985151</v>
      </c>
      <c r="C426" s="19" t="s">
        <v>597</v>
      </c>
      <c r="D426" s="18">
        <v>94638906</v>
      </c>
      <c r="E426" s="18">
        <v>78807318</v>
      </c>
      <c r="F426" s="18" t="s">
        <v>334</v>
      </c>
      <c r="G426" s="18" t="s">
        <v>335</v>
      </c>
      <c r="H426" s="18">
        <v>65</v>
      </c>
      <c r="I426" s="18">
        <v>10</v>
      </c>
      <c r="J426" s="19" t="s">
        <v>529</v>
      </c>
      <c r="K426" s="21" t="s">
        <v>64</v>
      </c>
      <c r="L426" s="38"/>
      <c r="M426" s="21"/>
      <c r="N426" s="26"/>
      <c r="O426" s="38"/>
      <c r="P426" s="19" t="s">
        <v>49</v>
      </c>
      <c r="Q426" s="19" t="s">
        <v>524</v>
      </c>
      <c r="R426" s="38">
        <v>45799</v>
      </c>
      <c r="S426" s="19">
        <v>5</v>
      </c>
    </row>
    <row r="427" spans="1:26" ht="14.25" customHeight="1" x14ac:dyDescent="0.3">
      <c r="A427" s="17">
        <f t="shared" si="16"/>
        <v>426</v>
      </c>
      <c r="B427" s="30">
        <v>42723697</v>
      </c>
      <c r="C427" s="19" t="s">
        <v>601</v>
      </c>
      <c r="D427" s="18">
        <v>94673770</v>
      </c>
      <c r="E427" s="18">
        <v>78831543</v>
      </c>
      <c r="F427" s="18" t="s">
        <v>333</v>
      </c>
      <c r="G427" s="18" t="s">
        <v>336</v>
      </c>
      <c r="H427" s="18">
        <v>150</v>
      </c>
      <c r="I427" s="18">
        <v>5</v>
      </c>
      <c r="J427" s="19" t="s">
        <v>373</v>
      </c>
      <c r="K427" s="21" t="s">
        <v>64</v>
      </c>
      <c r="L427" s="38"/>
      <c r="M427" s="21"/>
      <c r="N427" s="26"/>
      <c r="O427" s="38"/>
      <c r="P427" s="19" t="s">
        <v>49</v>
      </c>
      <c r="Q427" s="19" t="s">
        <v>524</v>
      </c>
      <c r="R427" s="38">
        <v>45799</v>
      </c>
      <c r="S427" s="19">
        <v>5</v>
      </c>
    </row>
    <row r="428" spans="1:26" ht="14.25" customHeight="1" x14ac:dyDescent="0.3">
      <c r="A428" s="17">
        <f t="shared" si="16"/>
        <v>427</v>
      </c>
      <c r="B428" s="30">
        <v>44241455</v>
      </c>
      <c r="C428" s="19" t="s">
        <v>606</v>
      </c>
      <c r="D428" s="18">
        <v>94734443</v>
      </c>
      <c r="E428" s="18">
        <v>78913111</v>
      </c>
      <c r="F428" s="18" t="s">
        <v>333</v>
      </c>
      <c r="G428" s="18" t="s">
        <v>339</v>
      </c>
      <c r="H428" s="18">
        <v>75</v>
      </c>
      <c r="I428" s="18">
        <v>8</v>
      </c>
      <c r="J428" s="19" t="s">
        <v>612</v>
      </c>
      <c r="K428" s="21" t="s">
        <v>64</v>
      </c>
      <c r="L428" s="38"/>
      <c r="M428" s="21"/>
      <c r="N428" s="26"/>
      <c r="O428" s="38"/>
      <c r="P428" s="19" t="s">
        <v>49</v>
      </c>
      <c r="Q428" s="19" t="s">
        <v>524</v>
      </c>
      <c r="R428" s="38">
        <v>45801</v>
      </c>
      <c r="S428" s="19">
        <v>5</v>
      </c>
    </row>
    <row r="429" spans="1:26" ht="14.25" customHeight="1" x14ac:dyDescent="0.3">
      <c r="A429" s="17">
        <f t="shared" si="16"/>
        <v>428</v>
      </c>
      <c r="B429" s="30">
        <v>10485093</v>
      </c>
      <c r="C429" s="19" t="s">
        <v>610</v>
      </c>
      <c r="D429" s="18">
        <v>94762670</v>
      </c>
      <c r="E429" s="18">
        <v>78949327</v>
      </c>
      <c r="F429" s="18" t="s">
        <v>333</v>
      </c>
      <c r="G429" s="18" t="s">
        <v>336</v>
      </c>
      <c r="H429" s="18">
        <v>150</v>
      </c>
      <c r="I429" s="18">
        <v>4</v>
      </c>
      <c r="J429" s="19" t="s">
        <v>612</v>
      </c>
      <c r="K429" s="21" t="s">
        <v>64</v>
      </c>
      <c r="L429" s="38"/>
      <c r="M429" s="21"/>
      <c r="N429" s="26"/>
      <c r="O429" s="38"/>
      <c r="P429" s="19" t="s">
        <v>49</v>
      </c>
      <c r="Q429" s="19" t="s">
        <v>51</v>
      </c>
      <c r="R429" s="38">
        <v>45803</v>
      </c>
      <c r="S429" s="19">
        <v>5</v>
      </c>
    </row>
    <row r="430" spans="1:26" ht="14.25" customHeight="1" x14ac:dyDescent="0.3">
      <c r="A430" s="17">
        <f t="shared" si="16"/>
        <v>429</v>
      </c>
      <c r="B430" s="30">
        <v>10702377396</v>
      </c>
      <c r="C430" s="19" t="s">
        <v>552</v>
      </c>
      <c r="D430" s="18">
        <v>94205626</v>
      </c>
      <c r="E430" s="18">
        <v>78476397</v>
      </c>
      <c r="F430" s="18" t="s">
        <v>333</v>
      </c>
      <c r="G430" s="18" t="s">
        <v>335</v>
      </c>
      <c r="H430" s="18">
        <v>65</v>
      </c>
      <c r="I430" s="18">
        <v>9</v>
      </c>
      <c r="J430" s="19" t="s">
        <v>369</v>
      </c>
      <c r="K430" s="21" t="s">
        <v>64</v>
      </c>
      <c r="L430" s="38"/>
      <c r="M430" s="21"/>
      <c r="N430" s="26"/>
      <c r="O430" s="38"/>
      <c r="P430" s="19" t="s">
        <v>49</v>
      </c>
      <c r="Q430" s="19" t="s">
        <v>58</v>
      </c>
      <c r="R430" s="38">
        <v>45793</v>
      </c>
      <c r="S430" s="19">
        <v>5</v>
      </c>
      <c r="T430" s="19" t="s">
        <v>0</v>
      </c>
      <c r="U430" s="18">
        <v>947198655</v>
      </c>
      <c r="V430" s="19"/>
      <c r="W430" s="18">
        <v>2025</v>
      </c>
      <c r="X430" s="18" t="s">
        <v>0</v>
      </c>
      <c r="Y430" s="45" t="s">
        <v>410</v>
      </c>
      <c r="Z430" s="46" t="s">
        <v>537</v>
      </c>
    </row>
    <row r="431" spans="1:26" ht="14.25" customHeight="1" x14ac:dyDescent="0.3">
      <c r="A431" s="17">
        <f t="shared" si="16"/>
        <v>430</v>
      </c>
      <c r="B431" s="30">
        <v>71096026</v>
      </c>
      <c r="C431" s="19" t="s">
        <v>593</v>
      </c>
      <c r="D431" s="18">
        <v>94582797</v>
      </c>
      <c r="E431" s="18">
        <v>78764692</v>
      </c>
      <c r="F431" s="18" t="s">
        <v>333</v>
      </c>
      <c r="G431" s="18" t="s">
        <v>335</v>
      </c>
      <c r="H431" s="18">
        <v>65</v>
      </c>
      <c r="I431" s="18">
        <v>1</v>
      </c>
      <c r="J431" s="19" t="s">
        <v>529</v>
      </c>
      <c r="K431" s="21" t="s">
        <v>64</v>
      </c>
      <c r="L431" s="38"/>
      <c r="M431" s="21"/>
      <c r="N431" s="26"/>
      <c r="O431" s="38"/>
      <c r="P431" s="19" t="s">
        <v>49</v>
      </c>
      <c r="Q431" s="19" t="s">
        <v>25</v>
      </c>
      <c r="R431" s="38">
        <v>45796</v>
      </c>
      <c r="S431" s="19">
        <v>5</v>
      </c>
      <c r="T431" s="19" t="s">
        <v>0</v>
      </c>
      <c r="U431" s="18">
        <v>923631662</v>
      </c>
      <c r="V431" s="19"/>
      <c r="W431" s="18">
        <v>2025</v>
      </c>
      <c r="X431" s="18" t="s">
        <v>0</v>
      </c>
      <c r="Y431" s="34" t="s">
        <v>395</v>
      </c>
      <c r="Z431" t="s">
        <v>537</v>
      </c>
    </row>
    <row r="432" spans="1:26" ht="14.25" customHeight="1" x14ac:dyDescent="0.3">
      <c r="A432" s="17">
        <f t="shared" si="16"/>
        <v>431</v>
      </c>
      <c r="B432" s="30">
        <v>10414662205</v>
      </c>
      <c r="C432" s="19" t="s">
        <v>587</v>
      </c>
      <c r="D432" s="18">
        <v>94604525</v>
      </c>
      <c r="E432" s="18">
        <v>94604525</v>
      </c>
      <c r="F432" s="18" t="s">
        <v>333</v>
      </c>
      <c r="G432" s="18" t="s">
        <v>336</v>
      </c>
      <c r="H432" s="18">
        <v>150</v>
      </c>
      <c r="I432" s="18">
        <v>8</v>
      </c>
      <c r="J432" s="19" t="s">
        <v>529</v>
      </c>
      <c r="K432" s="21" t="s">
        <v>64</v>
      </c>
      <c r="L432" s="38"/>
      <c r="M432" s="21"/>
      <c r="N432" s="26"/>
      <c r="O432" s="38"/>
      <c r="P432" s="19" t="s">
        <v>49</v>
      </c>
      <c r="Q432" s="19" t="s">
        <v>28</v>
      </c>
      <c r="R432" s="38">
        <v>45797</v>
      </c>
      <c r="S432" s="19">
        <v>5</v>
      </c>
      <c r="T432" s="19" t="s">
        <v>0</v>
      </c>
      <c r="U432" s="18">
        <v>970944003</v>
      </c>
      <c r="V432" s="19"/>
      <c r="W432" s="18">
        <v>2025</v>
      </c>
      <c r="X432" s="18" t="s">
        <v>0</v>
      </c>
      <c r="Y432" s="48" t="s">
        <v>400</v>
      </c>
      <c r="Z432" t="s">
        <v>537</v>
      </c>
    </row>
    <row r="433" spans="1:26" ht="14.25" customHeight="1" x14ac:dyDescent="0.3">
      <c r="A433" s="17">
        <f t="shared" si="16"/>
        <v>432</v>
      </c>
      <c r="B433" s="30">
        <v>44327512</v>
      </c>
      <c r="C433" s="19" t="s">
        <v>563</v>
      </c>
      <c r="D433" s="18">
        <v>94610077</v>
      </c>
      <c r="E433" s="18">
        <v>78782887</v>
      </c>
      <c r="F433" s="18" t="s">
        <v>334</v>
      </c>
      <c r="G433" s="18" t="s">
        <v>533</v>
      </c>
      <c r="H433" s="18">
        <v>185</v>
      </c>
      <c r="I433" s="18">
        <v>10</v>
      </c>
      <c r="J433" s="19" t="s">
        <v>626</v>
      </c>
      <c r="K433" s="21" t="s">
        <v>64</v>
      </c>
      <c r="L433" s="38"/>
      <c r="M433" s="21"/>
      <c r="N433" s="26"/>
      <c r="O433" s="38"/>
      <c r="P433" s="19" t="s">
        <v>49</v>
      </c>
      <c r="Q433" s="19" t="s">
        <v>28</v>
      </c>
      <c r="R433" s="38">
        <v>45797</v>
      </c>
      <c r="S433" s="19">
        <v>5</v>
      </c>
      <c r="T433" s="19" t="s">
        <v>0</v>
      </c>
      <c r="U433" s="18">
        <v>927236906</v>
      </c>
      <c r="V433" s="19"/>
      <c r="W433" s="18">
        <v>2025</v>
      </c>
      <c r="X433" s="18" t="s">
        <v>0</v>
      </c>
      <c r="Y433" s="34" t="s">
        <v>396</v>
      </c>
      <c r="Z433" s="42" t="s">
        <v>538</v>
      </c>
    </row>
    <row r="434" spans="1:26" ht="14.25" customHeight="1" x14ac:dyDescent="0.3">
      <c r="A434" s="17">
        <f t="shared" si="16"/>
        <v>433</v>
      </c>
      <c r="B434" s="30">
        <v>9648537</v>
      </c>
      <c r="C434" s="19" t="s">
        <v>620</v>
      </c>
      <c r="D434" s="18">
        <v>94893388</v>
      </c>
      <c r="E434" s="18">
        <v>79053012</v>
      </c>
      <c r="F434" s="18" t="s">
        <v>334</v>
      </c>
      <c r="G434" s="18" t="s">
        <v>336</v>
      </c>
      <c r="H434" s="18">
        <v>150</v>
      </c>
      <c r="I434" s="18">
        <v>9</v>
      </c>
      <c r="J434" s="19" t="s">
        <v>483</v>
      </c>
      <c r="K434" s="21" t="s">
        <v>64</v>
      </c>
      <c r="L434" s="38"/>
      <c r="M434" s="21"/>
      <c r="N434" s="26"/>
      <c r="O434" s="38"/>
      <c r="P434" s="19" t="s">
        <v>49</v>
      </c>
      <c r="Q434" s="19" t="s">
        <v>611</v>
      </c>
      <c r="R434" s="38">
        <v>45807</v>
      </c>
      <c r="S434" s="19">
        <v>5</v>
      </c>
      <c r="T434" s="19" t="s">
        <v>0</v>
      </c>
      <c r="U434" s="18">
        <v>989288404</v>
      </c>
      <c r="V434" s="19"/>
      <c r="W434" s="18">
        <v>2025</v>
      </c>
      <c r="X434" s="18" t="s">
        <v>0</v>
      </c>
      <c r="Y434" s="34" t="s">
        <v>397</v>
      </c>
      <c r="Z434" s="42" t="s">
        <v>538</v>
      </c>
    </row>
    <row r="435" spans="1:26" ht="14.25" customHeight="1" x14ac:dyDescent="0.3">
      <c r="A435" s="17">
        <f t="shared" si="16"/>
        <v>434</v>
      </c>
      <c r="B435" s="30">
        <v>10485093</v>
      </c>
      <c r="C435" s="19" t="s">
        <v>599</v>
      </c>
      <c r="D435" s="18">
        <v>94889121</v>
      </c>
      <c r="E435" s="18">
        <v>79050946</v>
      </c>
      <c r="F435" s="18" t="s">
        <v>334</v>
      </c>
      <c r="G435" s="18" t="s">
        <v>336</v>
      </c>
      <c r="H435" s="18">
        <v>150</v>
      </c>
      <c r="I435" s="18">
        <v>4</v>
      </c>
      <c r="J435" s="19" t="s">
        <v>373</v>
      </c>
      <c r="K435" s="21" t="s">
        <v>64</v>
      </c>
      <c r="L435" s="38"/>
      <c r="M435" s="21"/>
      <c r="N435" s="26"/>
      <c r="O435" s="38"/>
      <c r="P435" s="19" t="s">
        <v>49</v>
      </c>
      <c r="Q435" s="19" t="s">
        <v>51</v>
      </c>
      <c r="R435" s="38">
        <v>45807</v>
      </c>
      <c r="S435" s="19">
        <v>5</v>
      </c>
      <c r="T435" s="19" t="s">
        <v>0</v>
      </c>
      <c r="U435" s="18">
        <v>949054557</v>
      </c>
      <c r="V435" s="19"/>
      <c r="W435" s="18">
        <v>2025</v>
      </c>
      <c r="X435" s="18" t="s">
        <v>0</v>
      </c>
      <c r="Y435" s="49" t="s">
        <v>397</v>
      </c>
      <c r="Z435" t="s">
        <v>537</v>
      </c>
    </row>
    <row r="436" spans="1:26" ht="14.25" customHeight="1" x14ac:dyDescent="0.3">
      <c r="A436" s="17">
        <f t="shared" si="16"/>
        <v>435</v>
      </c>
      <c r="B436" s="30">
        <v>20014686</v>
      </c>
      <c r="C436" s="19" t="s">
        <v>623</v>
      </c>
      <c r="D436" s="18">
        <v>94911276</v>
      </c>
      <c r="E436" s="18">
        <v>79062448</v>
      </c>
      <c r="F436" s="18" t="s">
        <v>333</v>
      </c>
      <c r="G436" s="18" t="s">
        <v>335</v>
      </c>
      <c r="H436" s="18">
        <v>65</v>
      </c>
      <c r="I436" s="18">
        <v>7</v>
      </c>
      <c r="J436" s="19" t="s">
        <v>373</v>
      </c>
      <c r="K436" s="21" t="s">
        <v>64</v>
      </c>
      <c r="L436" s="38"/>
      <c r="M436" s="21"/>
      <c r="N436" s="26"/>
      <c r="O436" s="38"/>
      <c r="P436" s="19" t="s">
        <v>49</v>
      </c>
      <c r="Q436" s="19" t="s">
        <v>25</v>
      </c>
      <c r="R436" s="38">
        <v>45808</v>
      </c>
      <c r="S436" s="19">
        <v>5</v>
      </c>
      <c r="T436" s="19" t="s">
        <v>0</v>
      </c>
      <c r="U436" s="18">
        <v>995314268</v>
      </c>
      <c r="V436" s="19"/>
      <c r="W436" s="18">
        <v>2025</v>
      </c>
      <c r="X436" s="18" t="s">
        <v>0</v>
      </c>
      <c r="Y436" s="49" t="s">
        <v>397</v>
      </c>
      <c r="Z436" s="42" t="s">
        <v>538</v>
      </c>
    </row>
    <row r="437" spans="1:26" ht="14.25" customHeight="1" x14ac:dyDescent="0.3">
      <c r="A437" s="17">
        <f t="shared" si="16"/>
        <v>436</v>
      </c>
      <c r="B437" s="30">
        <v>77231255</v>
      </c>
      <c r="C437" s="19" t="s">
        <v>625</v>
      </c>
      <c r="D437" s="18">
        <v>94913136</v>
      </c>
      <c r="E437" s="18">
        <v>79063198</v>
      </c>
      <c r="F437" s="18" t="s">
        <v>333</v>
      </c>
      <c r="G437" s="18" t="s">
        <v>335</v>
      </c>
      <c r="H437" s="18">
        <v>65</v>
      </c>
      <c r="I437" s="18">
        <v>4</v>
      </c>
      <c r="J437" s="19" t="s">
        <v>626</v>
      </c>
      <c r="K437" s="21" t="s">
        <v>64</v>
      </c>
      <c r="L437" s="38"/>
      <c r="M437" s="21"/>
      <c r="N437" s="26"/>
      <c r="O437" s="38"/>
      <c r="P437" s="19" t="s">
        <v>49</v>
      </c>
      <c r="Q437" s="19" t="s">
        <v>518</v>
      </c>
      <c r="R437" s="38">
        <v>45808</v>
      </c>
      <c r="S437" s="19">
        <v>5</v>
      </c>
      <c r="T437" s="19" t="s">
        <v>0</v>
      </c>
      <c r="U437" s="18">
        <v>946228860</v>
      </c>
      <c r="V437" s="19"/>
      <c r="W437" s="18">
        <v>2025</v>
      </c>
      <c r="X437" s="18" t="s">
        <v>0</v>
      </c>
      <c r="Y437" s="49" t="s">
        <v>397</v>
      </c>
      <c r="Z437" s="42" t="s">
        <v>538</v>
      </c>
    </row>
    <row r="438" spans="1:26" ht="14.25" customHeight="1" x14ac:dyDescent="0.3">
      <c r="A438" s="17">
        <f t="shared" si="16"/>
        <v>437</v>
      </c>
      <c r="B438" s="30">
        <v>15683048</v>
      </c>
      <c r="C438" s="19" t="s">
        <v>627</v>
      </c>
      <c r="D438" s="18">
        <v>94961457</v>
      </c>
      <c r="E438" s="18">
        <v>79114457</v>
      </c>
      <c r="F438" s="18" t="s">
        <v>333</v>
      </c>
      <c r="G438" s="18" t="s">
        <v>335</v>
      </c>
      <c r="H438" s="18">
        <v>65</v>
      </c>
      <c r="I438" s="18">
        <v>5</v>
      </c>
      <c r="J438" s="19" t="s">
        <v>372</v>
      </c>
      <c r="K438" s="21" t="s">
        <v>64</v>
      </c>
      <c r="L438" s="38"/>
      <c r="M438" s="21"/>
      <c r="N438" s="26"/>
      <c r="O438" s="38"/>
      <c r="P438" s="19" t="s">
        <v>49</v>
      </c>
      <c r="Q438" s="19" t="s">
        <v>524</v>
      </c>
      <c r="R438" s="38">
        <v>45810</v>
      </c>
      <c r="S438" s="19">
        <v>6</v>
      </c>
      <c r="T438" s="19" t="s">
        <v>0</v>
      </c>
      <c r="U438" s="18">
        <v>982545382</v>
      </c>
      <c r="V438" s="19"/>
      <c r="W438" s="18">
        <v>2025</v>
      </c>
      <c r="X438" s="18" t="s">
        <v>0</v>
      </c>
      <c r="Y438" s="34" t="s">
        <v>397</v>
      </c>
      <c r="Z438" t="s">
        <v>537</v>
      </c>
    </row>
    <row r="439" spans="1:26" ht="14.25" customHeight="1" x14ac:dyDescent="0.3">
      <c r="A439" s="17">
        <f t="shared" si="16"/>
        <v>438</v>
      </c>
      <c r="B439" s="30">
        <v>16707182</v>
      </c>
      <c r="C439" s="23" t="s">
        <v>548</v>
      </c>
      <c r="D439" s="18">
        <v>94164521</v>
      </c>
      <c r="E439" s="18">
        <v>78443378</v>
      </c>
      <c r="F439" s="18" t="s">
        <v>333</v>
      </c>
      <c r="G439" s="18" t="s">
        <v>335</v>
      </c>
      <c r="H439" s="18">
        <v>65</v>
      </c>
      <c r="I439" s="18">
        <v>7</v>
      </c>
      <c r="J439" s="19" t="s">
        <v>630</v>
      </c>
      <c r="K439" s="21" t="s">
        <v>64</v>
      </c>
      <c r="L439" s="38"/>
      <c r="M439" s="21"/>
      <c r="N439" s="26"/>
      <c r="O439" s="38"/>
      <c r="P439" s="19" t="s">
        <v>49</v>
      </c>
      <c r="Q439" s="19" t="s">
        <v>54</v>
      </c>
      <c r="R439" s="38">
        <v>45787</v>
      </c>
      <c r="S439" s="19">
        <v>5</v>
      </c>
    </row>
    <row r="440" spans="1:26" ht="14.25" customHeight="1" x14ac:dyDescent="0.3">
      <c r="A440" s="17">
        <f t="shared" si="16"/>
        <v>439</v>
      </c>
      <c r="B440" s="30">
        <v>10323851218</v>
      </c>
      <c r="C440" s="19" t="s">
        <v>501</v>
      </c>
      <c r="D440" s="18">
        <v>93650467</v>
      </c>
      <c r="E440" s="18">
        <v>78714228</v>
      </c>
      <c r="F440" s="18" t="s">
        <v>333</v>
      </c>
      <c r="G440" s="18" t="s">
        <v>586</v>
      </c>
      <c r="H440" s="18">
        <v>150</v>
      </c>
      <c r="I440" s="18">
        <v>7</v>
      </c>
      <c r="J440" s="19" t="s">
        <v>475</v>
      </c>
      <c r="K440" s="21" t="s">
        <v>64</v>
      </c>
      <c r="L440" s="38"/>
      <c r="M440" s="21"/>
      <c r="N440" s="26"/>
      <c r="O440" s="38"/>
      <c r="P440" s="19" t="s">
        <v>49</v>
      </c>
      <c r="Q440" s="19" t="s">
        <v>28</v>
      </c>
      <c r="R440" s="38">
        <v>45793</v>
      </c>
      <c r="S440" s="19">
        <v>5</v>
      </c>
    </row>
    <row r="441" spans="1:26" ht="14.25" customHeight="1" x14ac:dyDescent="0.3">
      <c r="A441" s="17">
        <f t="shared" si="16"/>
        <v>440</v>
      </c>
      <c r="B441" s="30">
        <v>7464746</v>
      </c>
      <c r="C441" s="19" t="s">
        <v>613</v>
      </c>
      <c r="D441" s="18">
        <v>94829322</v>
      </c>
      <c r="E441" s="18">
        <v>79009984</v>
      </c>
      <c r="F441" s="18" t="s">
        <v>333</v>
      </c>
      <c r="G441" s="18" t="s">
        <v>336</v>
      </c>
      <c r="H441" s="18">
        <v>150</v>
      </c>
      <c r="I441" s="18">
        <v>4</v>
      </c>
      <c r="J441" s="19" t="s">
        <v>541</v>
      </c>
      <c r="K441" s="21" t="s">
        <v>64</v>
      </c>
      <c r="L441" s="38"/>
      <c r="M441" s="21"/>
      <c r="N441" s="26"/>
      <c r="O441" s="38"/>
      <c r="P441" s="19" t="s">
        <v>49</v>
      </c>
      <c r="Q441" s="19" t="s">
        <v>611</v>
      </c>
      <c r="R441" s="38">
        <v>45805</v>
      </c>
      <c r="S441" s="19">
        <v>5</v>
      </c>
    </row>
    <row r="442" spans="1:26" ht="14.25" customHeight="1" x14ac:dyDescent="0.3">
      <c r="A442" s="17">
        <f t="shared" si="16"/>
        <v>441</v>
      </c>
      <c r="B442" s="30">
        <v>43006338</v>
      </c>
      <c r="C442" s="19" t="s">
        <v>628</v>
      </c>
      <c r="D442" s="18">
        <v>94983706</v>
      </c>
      <c r="E442" s="18">
        <v>79137651</v>
      </c>
      <c r="F442" s="18" t="s">
        <v>333</v>
      </c>
      <c r="G442" s="18" t="s">
        <v>335</v>
      </c>
      <c r="H442" s="18">
        <v>65</v>
      </c>
      <c r="I442" s="18">
        <v>1</v>
      </c>
      <c r="J442" s="19" t="s">
        <v>541</v>
      </c>
      <c r="K442" s="21" t="s">
        <v>64</v>
      </c>
      <c r="L442" s="38"/>
      <c r="M442" s="21"/>
      <c r="N442" s="26"/>
      <c r="O442" s="38"/>
      <c r="P442" s="19" t="s">
        <v>49</v>
      </c>
      <c r="Q442" s="19" t="s">
        <v>28</v>
      </c>
      <c r="R442" s="38">
        <v>45811</v>
      </c>
      <c r="S442" s="19">
        <v>6</v>
      </c>
    </row>
    <row r="443" spans="1:26" ht="14.25" customHeight="1" x14ac:dyDescent="0.3">
      <c r="A443" s="17">
        <f t="shared" si="16"/>
        <v>442</v>
      </c>
      <c r="B443" s="30">
        <v>43359131</v>
      </c>
      <c r="C443" s="19" t="s">
        <v>629</v>
      </c>
      <c r="D443" s="18">
        <v>95013094</v>
      </c>
      <c r="E443" s="18">
        <v>79157558</v>
      </c>
      <c r="F443" s="18" t="s">
        <v>333</v>
      </c>
      <c r="G443" s="18" t="s">
        <v>533</v>
      </c>
      <c r="H443" s="18">
        <v>185</v>
      </c>
      <c r="I443" s="18">
        <v>6</v>
      </c>
      <c r="J443" s="19" t="s">
        <v>541</v>
      </c>
      <c r="K443" s="21" t="s">
        <v>64</v>
      </c>
      <c r="L443" s="38"/>
      <c r="M443" s="21"/>
      <c r="N443" s="26"/>
      <c r="O443" s="38"/>
      <c r="P443" s="19" t="s">
        <v>49</v>
      </c>
      <c r="Q443" s="19" t="s">
        <v>518</v>
      </c>
      <c r="R443" s="38">
        <v>45812</v>
      </c>
      <c r="S443" s="19">
        <v>6</v>
      </c>
    </row>
    <row r="444" spans="1:26" ht="14.25" customHeight="1" x14ac:dyDescent="0.3">
      <c r="A444" s="17">
        <f t="shared" si="16"/>
        <v>443</v>
      </c>
      <c r="B444" s="30">
        <v>6189677</v>
      </c>
      <c r="C444" s="19" t="s">
        <v>631</v>
      </c>
      <c r="D444" s="18">
        <v>95038911</v>
      </c>
      <c r="E444" s="18">
        <v>79175453</v>
      </c>
      <c r="F444" s="18" t="s">
        <v>334</v>
      </c>
      <c r="G444" s="18" t="s">
        <v>335</v>
      </c>
      <c r="H444" s="18">
        <v>65</v>
      </c>
      <c r="I444" s="18">
        <v>10</v>
      </c>
      <c r="J444" s="19" t="s">
        <v>541</v>
      </c>
      <c r="K444" s="21" t="s">
        <v>64</v>
      </c>
      <c r="L444" s="38"/>
      <c r="M444" s="21"/>
      <c r="N444" s="26"/>
      <c r="O444" s="38"/>
      <c r="P444" s="19" t="s">
        <v>49</v>
      </c>
      <c r="Q444" s="19" t="s">
        <v>51</v>
      </c>
      <c r="R444" s="38">
        <v>45813</v>
      </c>
      <c r="S444" s="19">
        <v>6</v>
      </c>
    </row>
    <row r="445" spans="1:26" ht="14.25" customHeight="1" x14ac:dyDescent="0.3">
      <c r="A445" s="17">
        <f t="shared" si="16"/>
        <v>444</v>
      </c>
      <c r="B445" s="30">
        <v>10763877</v>
      </c>
      <c r="C445" s="19" t="s">
        <v>595</v>
      </c>
      <c r="D445" s="18">
        <v>94625592</v>
      </c>
      <c r="E445" s="18">
        <v>78801326</v>
      </c>
      <c r="F445" s="18" t="s">
        <v>333</v>
      </c>
      <c r="G445" s="18" t="s">
        <v>336</v>
      </c>
      <c r="H445" s="18">
        <v>150</v>
      </c>
      <c r="I445" s="18">
        <v>10</v>
      </c>
      <c r="J445" s="19" t="s">
        <v>369</v>
      </c>
      <c r="K445" s="21" t="s">
        <v>64</v>
      </c>
      <c r="L445" s="38"/>
      <c r="M445" s="21"/>
      <c r="N445" s="26"/>
      <c r="O445" s="38"/>
      <c r="P445" s="19" t="s">
        <v>49</v>
      </c>
      <c r="Q445" s="19" t="s">
        <v>54</v>
      </c>
      <c r="R445" s="38">
        <v>45813</v>
      </c>
      <c r="S445" s="19">
        <v>6</v>
      </c>
    </row>
    <row r="446" spans="1:26" ht="14.25" customHeight="1" x14ac:dyDescent="0.3">
      <c r="A446" s="17">
        <f t="shared" si="16"/>
        <v>445</v>
      </c>
      <c r="B446" s="30">
        <v>45544721</v>
      </c>
      <c r="C446" s="19" t="s">
        <v>632</v>
      </c>
      <c r="D446" s="18">
        <v>95159713</v>
      </c>
      <c r="E446" s="18">
        <v>79277527</v>
      </c>
      <c r="F446" s="18" t="s">
        <v>333</v>
      </c>
      <c r="G446" s="23" t="s">
        <v>456</v>
      </c>
      <c r="H446" s="18">
        <v>65</v>
      </c>
      <c r="I446" s="18">
        <v>6</v>
      </c>
      <c r="J446" s="19" t="s">
        <v>634</v>
      </c>
      <c r="K446" s="21" t="s">
        <v>64</v>
      </c>
      <c r="L446" s="38"/>
      <c r="M446" s="21"/>
      <c r="N446" s="26"/>
      <c r="O446" s="38"/>
      <c r="P446" s="19" t="s">
        <v>49</v>
      </c>
      <c r="Q446" s="19" t="s">
        <v>51</v>
      </c>
      <c r="R446" s="38">
        <v>45818</v>
      </c>
      <c r="S446" s="19">
        <v>6</v>
      </c>
    </row>
    <row r="447" spans="1:26" ht="14.25" customHeight="1" x14ac:dyDescent="0.3">
      <c r="A447" s="17">
        <f t="shared" si="16"/>
        <v>446</v>
      </c>
      <c r="B447" s="30">
        <v>45646683</v>
      </c>
      <c r="C447" s="19" t="s">
        <v>605</v>
      </c>
      <c r="D447" s="18">
        <v>94691163</v>
      </c>
      <c r="E447" s="18">
        <v>78850443</v>
      </c>
      <c r="F447" s="18" t="s">
        <v>333</v>
      </c>
      <c r="G447" s="18" t="s">
        <v>336</v>
      </c>
      <c r="H447" s="18">
        <v>150</v>
      </c>
      <c r="I447" s="18">
        <v>5</v>
      </c>
      <c r="J447" s="19" t="s">
        <v>373</v>
      </c>
      <c r="K447" s="21" t="s">
        <v>64</v>
      </c>
      <c r="L447" s="38"/>
      <c r="M447" s="21"/>
      <c r="N447" s="26"/>
      <c r="O447" s="38"/>
      <c r="P447" s="19" t="s">
        <v>49</v>
      </c>
      <c r="Q447" s="19" t="s">
        <v>51</v>
      </c>
      <c r="R447" s="38">
        <v>45800</v>
      </c>
      <c r="S447" s="19">
        <v>5</v>
      </c>
    </row>
    <row r="448" spans="1:26" ht="14.25" customHeight="1" x14ac:dyDescent="0.3">
      <c r="A448" s="17">
        <f t="shared" si="16"/>
        <v>447</v>
      </c>
      <c r="B448" s="30">
        <v>3843499</v>
      </c>
      <c r="C448" s="19" t="s">
        <v>607</v>
      </c>
      <c r="D448" s="18">
        <v>94704226</v>
      </c>
      <c r="E448" s="18">
        <v>78854666</v>
      </c>
      <c r="F448" s="18" t="s">
        <v>333</v>
      </c>
      <c r="G448" s="18" t="s">
        <v>338</v>
      </c>
      <c r="H448" s="18">
        <v>160</v>
      </c>
      <c r="I448" s="18">
        <v>8</v>
      </c>
      <c r="J448" s="19" t="s">
        <v>604</v>
      </c>
      <c r="K448" s="21" t="s">
        <v>64</v>
      </c>
      <c r="L448" s="38"/>
      <c r="M448" s="21"/>
      <c r="N448" s="26"/>
      <c r="O448" s="38"/>
      <c r="P448" s="19" t="s">
        <v>49</v>
      </c>
      <c r="Q448" s="19" t="s">
        <v>54</v>
      </c>
      <c r="R448" s="38">
        <v>45800</v>
      </c>
      <c r="S448" s="19">
        <v>5</v>
      </c>
    </row>
    <row r="449" spans="1:19" ht="14.25" customHeight="1" x14ac:dyDescent="0.3">
      <c r="A449" s="17">
        <f t="shared" si="16"/>
        <v>448</v>
      </c>
      <c r="B449" s="30">
        <v>47470066</v>
      </c>
      <c r="C449" s="23" t="s">
        <v>621</v>
      </c>
      <c r="D449" s="18">
        <v>94882847</v>
      </c>
      <c r="E449" s="18">
        <v>79048081</v>
      </c>
      <c r="F449" s="18" t="s">
        <v>333</v>
      </c>
      <c r="G449" s="18" t="s">
        <v>335</v>
      </c>
      <c r="H449" s="18">
        <v>65</v>
      </c>
      <c r="I449" s="18">
        <v>7</v>
      </c>
      <c r="J449" s="19" t="s">
        <v>529</v>
      </c>
      <c r="K449" s="21" t="s">
        <v>64</v>
      </c>
      <c r="L449" s="38"/>
      <c r="M449" s="21"/>
      <c r="N449" s="26"/>
      <c r="O449" s="38"/>
      <c r="P449" s="19" t="s">
        <v>49</v>
      </c>
      <c r="Q449" s="19" t="s">
        <v>424</v>
      </c>
      <c r="R449" s="38">
        <v>45807</v>
      </c>
      <c r="S449" s="19">
        <v>5</v>
      </c>
    </row>
    <row r="450" spans="1:19" ht="14.25" customHeight="1" x14ac:dyDescent="0.3">
      <c r="A450" s="17">
        <f t="shared" si="16"/>
        <v>449</v>
      </c>
      <c r="B450" s="30">
        <v>10323851218</v>
      </c>
      <c r="C450" s="19" t="s">
        <v>501</v>
      </c>
      <c r="D450" s="18">
        <v>93650467</v>
      </c>
      <c r="E450" s="18">
        <v>78714228</v>
      </c>
      <c r="F450" s="18" t="s">
        <v>333</v>
      </c>
      <c r="G450" s="18" t="s">
        <v>586</v>
      </c>
      <c r="H450" s="18">
        <v>150</v>
      </c>
      <c r="I450" s="18">
        <v>7</v>
      </c>
      <c r="J450" s="19" t="s">
        <v>529</v>
      </c>
      <c r="K450" s="21" t="s">
        <v>64</v>
      </c>
      <c r="L450" s="38"/>
      <c r="M450" s="21"/>
      <c r="N450" s="26"/>
      <c r="O450" s="38"/>
      <c r="P450" s="19" t="s">
        <v>49</v>
      </c>
      <c r="Q450" s="19" t="s">
        <v>28</v>
      </c>
      <c r="R450" s="38">
        <v>45813</v>
      </c>
      <c r="S450" s="19">
        <v>5</v>
      </c>
    </row>
    <row r="451" spans="1:19" ht="14.25" customHeight="1" x14ac:dyDescent="0.3">
      <c r="A451" s="17">
        <f t="shared" si="16"/>
        <v>450</v>
      </c>
      <c r="B451" s="30">
        <v>7460338</v>
      </c>
      <c r="C451" s="19" t="s">
        <v>633</v>
      </c>
      <c r="D451" s="18">
        <v>95163858</v>
      </c>
      <c r="E451" s="18">
        <v>79279878</v>
      </c>
      <c r="F451" s="18" t="s">
        <v>333</v>
      </c>
      <c r="G451" s="18" t="s">
        <v>338</v>
      </c>
      <c r="H451" s="18">
        <v>160</v>
      </c>
      <c r="I451" s="18">
        <v>8</v>
      </c>
      <c r="J451" s="19" t="s">
        <v>373</v>
      </c>
      <c r="K451" s="21" t="s">
        <v>64</v>
      </c>
      <c r="L451" s="38"/>
      <c r="M451" s="21"/>
      <c r="N451" s="26"/>
      <c r="O451" s="38"/>
      <c r="P451" s="19" t="s">
        <v>49</v>
      </c>
      <c r="Q451" s="19" t="s">
        <v>28</v>
      </c>
      <c r="R451" s="38">
        <v>45818</v>
      </c>
      <c r="S451" s="19">
        <v>6</v>
      </c>
    </row>
    <row r="452" spans="1:19" ht="14.25" customHeight="1" x14ac:dyDescent="0.3">
      <c r="A452" s="17">
        <f t="shared" ref="A452:A516" si="17">A451+1</f>
        <v>451</v>
      </c>
      <c r="B452" s="30">
        <v>73714084</v>
      </c>
      <c r="C452" s="19" t="s">
        <v>638</v>
      </c>
      <c r="D452" s="18">
        <v>95186871</v>
      </c>
      <c r="E452" s="18">
        <v>79298592</v>
      </c>
      <c r="F452" s="18" t="s">
        <v>334</v>
      </c>
      <c r="G452" s="18" t="s">
        <v>336</v>
      </c>
      <c r="H452" s="18">
        <v>150</v>
      </c>
      <c r="I452" s="18">
        <v>2</v>
      </c>
      <c r="J452" s="19" t="s">
        <v>626</v>
      </c>
      <c r="K452" s="21" t="s">
        <v>64</v>
      </c>
      <c r="L452" s="38"/>
      <c r="M452" s="21"/>
      <c r="N452" s="26"/>
      <c r="O452" s="38"/>
      <c r="P452" s="19" t="s">
        <v>49</v>
      </c>
      <c r="Q452" s="19" t="s">
        <v>518</v>
      </c>
      <c r="R452" s="38">
        <v>45819</v>
      </c>
      <c r="S452" s="19">
        <v>6</v>
      </c>
    </row>
    <row r="453" spans="1:19" ht="14.25" customHeight="1" x14ac:dyDescent="0.3">
      <c r="A453" s="17">
        <f t="shared" si="17"/>
        <v>452</v>
      </c>
      <c r="B453" s="30">
        <v>16471218</v>
      </c>
      <c r="C453" s="19" t="s">
        <v>639</v>
      </c>
      <c r="D453" s="18">
        <v>95187197</v>
      </c>
      <c r="E453" s="18">
        <v>79298681</v>
      </c>
      <c r="F453" s="18" t="s">
        <v>333</v>
      </c>
      <c r="G453" s="18" t="s">
        <v>335</v>
      </c>
      <c r="H453" s="18">
        <v>65</v>
      </c>
      <c r="I453" s="18">
        <v>6</v>
      </c>
      <c r="J453" s="19" t="s">
        <v>529</v>
      </c>
      <c r="K453" s="21" t="s">
        <v>64</v>
      </c>
      <c r="L453" s="38"/>
      <c r="M453" s="21"/>
      <c r="N453" s="26"/>
      <c r="O453" s="38"/>
      <c r="P453" s="19" t="s">
        <v>49</v>
      </c>
      <c r="Q453" s="19" t="s">
        <v>518</v>
      </c>
      <c r="R453" s="38">
        <v>45819</v>
      </c>
      <c r="S453" s="19">
        <v>6</v>
      </c>
    </row>
    <row r="454" spans="1:19" ht="14.25" customHeight="1" x14ac:dyDescent="0.3">
      <c r="A454" s="17">
        <f t="shared" si="17"/>
        <v>453</v>
      </c>
      <c r="B454" s="30">
        <v>75789260</v>
      </c>
      <c r="C454" s="19" t="s">
        <v>640</v>
      </c>
      <c r="D454" s="18">
        <v>95194687</v>
      </c>
      <c r="E454" s="18">
        <v>79301480</v>
      </c>
      <c r="F454" s="18" t="s">
        <v>333</v>
      </c>
      <c r="G454" s="18" t="s">
        <v>339</v>
      </c>
      <c r="H454" s="18">
        <v>75</v>
      </c>
      <c r="I454" s="18">
        <v>4</v>
      </c>
      <c r="J454" s="19" t="s">
        <v>373</v>
      </c>
      <c r="K454" s="21" t="s">
        <v>64</v>
      </c>
      <c r="L454" s="38"/>
      <c r="M454" s="21"/>
      <c r="N454" s="26"/>
      <c r="O454" s="38"/>
      <c r="P454" s="19" t="s">
        <v>49</v>
      </c>
      <c r="Q454" s="19" t="s">
        <v>54</v>
      </c>
      <c r="R454" s="38">
        <v>45819</v>
      </c>
      <c r="S454" s="19">
        <v>6</v>
      </c>
    </row>
    <row r="455" spans="1:19" ht="14.25" customHeight="1" x14ac:dyDescent="0.3">
      <c r="A455" s="17">
        <f t="shared" si="17"/>
        <v>454</v>
      </c>
      <c r="B455" s="30">
        <v>16471218</v>
      </c>
      <c r="C455" s="19" t="s">
        <v>639</v>
      </c>
      <c r="D455" s="18">
        <v>95187197</v>
      </c>
      <c r="E455" s="18">
        <v>79298681</v>
      </c>
      <c r="F455" s="18" t="s">
        <v>333</v>
      </c>
      <c r="G455" s="18" t="s">
        <v>335</v>
      </c>
      <c r="H455" s="18">
        <v>65</v>
      </c>
      <c r="I455" s="18">
        <v>6</v>
      </c>
      <c r="J455" s="19" t="s">
        <v>478</v>
      </c>
      <c r="K455" s="21" t="s">
        <v>64</v>
      </c>
      <c r="L455" s="38"/>
      <c r="M455" s="21"/>
      <c r="N455" s="26"/>
      <c r="O455" s="38"/>
      <c r="P455" s="19" t="s">
        <v>49</v>
      </c>
      <c r="Q455" s="19" t="s">
        <v>518</v>
      </c>
      <c r="R455" s="38">
        <v>45820</v>
      </c>
      <c r="S455" s="19">
        <v>6</v>
      </c>
    </row>
    <row r="456" spans="1:19" ht="14.25" customHeight="1" x14ac:dyDescent="0.3">
      <c r="A456" s="17">
        <f t="shared" si="17"/>
        <v>455</v>
      </c>
      <c r="B456" s="30">
        <v>29659233</v>
      </c>
      <c r="C456" s="19" t="s">
        <v>643</v>
      </c>
      <c r="D456" s="18">
        <v>95229179</v>
      </c>
      <c r="E456" s="18">
        <v>79326726</v>
      </c>
      <c r="F456" s="18" t="s">
        <v>333</v>
      </c>
      <c r="G456" s="18" t="s">
        <v>335</v>
      </c>
      <c r="H456" s="18">
        <v>65</v>
      </c>
      <c r="I456" s="18">
        <v>8</v>
      </c>
      <c r="J456" s="19" t="s">
        <v>373</v>
      </c>
      <c r="K456" s="21" t="s">
        <v>64</v>
      </c>
      <c r="L456" s="38"/>
      <c r="M456" s="21"/>
      <c r="N456" s="26"/>
      <c r="O456" s="38"/>
      <c r="P456" s="19" t="s">
        <v>49</v>
      </c>
      <c r="Q456" s="19" t="s">
        <v>611</v>
      </c>
      <c r="R456" s="38">
        <v>45820</v>
      </c>
      <c r="S456" s="19">
        <v>6</v>
      </c>
    </row>
    <row r="457" spans="1:19" ht="14.25" customHeight="1" x14ac:dyDescent="0.3">
      <c r="A457" s="17">
        <f t="shared" si="17"/>
        <v>456</v>
      </c>
      <c r="B457" s="30">
        <v>10485093</v>
      </c>
      <c r="C457" s="19" t="s">
        <v>599</v>
      </c>
      <c r="D457" s="18">
        <v>94975279</v>
      </c>
      <c r="E457" s="18">
        <v>79133677</v>
      </c>
      <c r="F457" s="18" t="s">
        <v>334</v>
      </c>
      <c r="G457" s="18" t="s">
        <v>336</v>
      </c>
      <c r="H457" s="18">
        <v>150</v>
      </c>
      <c r="I457" s="18">
        <v>4</v>
      </c>
      <c r="J457" s="19" t="s">
        <v>529</v>
      </c>
      <c r="K457" s="21" t="s">
        <v>64</v>
      </c>
      <c r="L457" s="38"/>
      <c r="M457" s="21"/>
      <c r="N457" s="26"/>
      <c r="O457" s="38"/>
      <c r="P457" s="19" t="s">
        <v>49</v>
      </c>
      <c r="Q457" s="19" t="s">
        <v>51</v>
      </c>
      <c r="R457" s="38">
        <v>45811</v>
      </c>
      <c r="S457" s="19">
        <v>6</v>
      </c>
    </row>
    <row r="458" spans="1:19" ht="14.25" customHeight="1" x14ac:dyDescent="0.3">
      <c r="A458" s="17">
        <f t="shared" si="17"/>
        <v>457</v>
      </c>
      <c r="B458" s="30">
        <v>10038434999</v>
      </c>
      <c r="C458" s="19" t="s">
        <v>607</v>
      </c>
      <c r="D458" s="18">
        <v>94704226</v>
      </c>
      <c r="E458" s="18">
        <v>78854666</v>
      </c>
      <c r="F458" s="18" t="s">
        <v>333</v>
      </c>
      <c r="G458" s="18" t="s">
        <v>338</v>
      </c>
      <c r="H458" s="18">
        <v>160</v>
      </c>
      <c r="I458" s="18">
        <v>8</v>
      </c>
      <c r="J458" s="19" t="s">
        <v>373</v>
      </c>
      <c r="K458" s="21" t="s">
        <v>64</v>
      </c>
      <c r="L458" s="38"/>
      <c r="M458" s="21"/>
      <c r="N458" s="26"/>
      <c r="O458" s="38"/>
      <c r="P458" s="19" t="s">
        <v>49</v>
      </c>
      <c r="Q458" s="19" t="s">
        <v>54</v>
      </c>
      <c r="R458" s="38">
        <v>45813</v>
      </c>
      <c r="S458" s="19">
        <v>6</v>
      </c>
    </row>
    <row r="459" spans="1:19" ht="14.25" customHeight="1" x14ac:dyDescent="0.3">
      <c r="A459" s="17">
        <f t="shared" si="17"/>
        <v>458</v>
      </c>
      <c r="B459" s="30">
        <v>21462881</v>
      </c>
      <c r="C459" s="19" t="s">
        <v>636</v>
      </c>
      <c r="D459" s="18">
        <v>95174677</v>
      </c>
      <c r="E459" s="18">
        <v>79285644</v>
      </c>
      <c r="F459" s="18" t="s">
        <v>333</v>
      </c>
      <c r="G459" s="18" t="s">
        <v>335</v>
      </c>
      <c r="H459" s="18">
        <v>65</v>
      </c>
      <c r="I459" s="18">
        <v>8</v>
      </c>
      <c r="J459" s="19" t="s">
        <v>475</v>
      </c>
      <c r="K459" s="21" t="s">
        <v>64</v>
      </c>
      <c r="L459" s="38"/>
      <c r="M459" s="21"/>
      <c r="N459" s="26"/>
      <c r="O459" s="38"/>
      <c r="P459" s="19" t="s">
        <v>49</v>
      </c>
      <c r="Q459" s="19" t="s">
        <v>524</v>
      </c>
      <c r="R459" s="38">
        <v>45818</v>
      </c>
      <c r="S459" s="19">
        <v>6</v>
      </c>
    </row>
    <row r="460" spans="1:19" ht="14.25" customHeight="1" x14ac:dyDescent="0.3">
      <c r="A460" s="17">
        <f t="shared" si="17"/>
        <v>459</v>
      </c>
      <c r="B460" s="30">
        <v>8943773</v>
      </c>
      <c r="C460" s="19" t="s">
        <v>637</v>
      </c>
      <c r="D460" s="18">
        <v>95174241</v>
      </c>
      <c r="E460" s="18">
        <v>79285540</v>
      </c>
      <c r="F460" s="18" t="s">
        <v>334</v>
      </c>
      <c r="G460" s="18" t="s">
        <v>336</v>
      </c>
      <c r="H460" s="18">
        <v>150</v>
      </c>
      <c r="I460" s="18">
        <v>7</v>
      </c>
      <c r="J460" s="19" t="s">
        <v>373</v>
      </c>
      <c r="K460" s="21" t="s">
        <v>64</v>
      </c>
      <c r="L460" s="38"/>
      <c r="M460" s="21"/>
      <c r="N460" s="26"/>
      <c r="O460" s="38"/>
      <c r="P460" s="19" t="s">
        <v>49</v>
      </c>
      <c r="Q460" s="19" t="s">
        <v>54</v>
      </c>
      <c r="R460" s="38">
        <v>45818</v>
      </c>
      <c r="S460" s="19">
        <v>6</v>
      </c>
    </row>
    <row r="461" spans="1:19" ht="14.25" customHeight="1" x14ac:dyDescent="0.3">
      <c r="A461" s="17">
        <f t="shared" si="17"/>
        <v>460</v>
      </c>
      <c r="B461" s="30">
        <v>47006122</v>
      </c>
      <c r="C461" s="19" t="s">
        <v>642</v>
      </c>
      <c r="D461" s="18">
        <v>95206987</v>
      </c>
      <c r="E461" s="18">
        <v>79309377</v>
      </c>
      <c r="F461" s="18" t="s">
        <v>333</v>
      </c>
      <c r="G461" s="18" t="s">
        <v>635</v>
      </c>
      <c r="H461" s="18">
        <v>160</v>
      </c>
      <c r="I461" s="18">
        <v>10</v>
      </c>
      <c r="J461" s="19" t="s">
        <v>373</v>
      </c>
      <c r="K461" s="21" t="s">
        <v>64</v>
      </c>
      <c r="L461" s="38"/>
      <c r="M461" s="21"/>
      <c r="N461" s="26"/>
      <c r="O461" s="38"/>
      <c r="P461" s="19" t="s">
        <v>49</v>
      </c>
      <c r="Q461" s="19" t="s">
        <v>524</v>
      </c>
      <c r="R461" s="38">
        <v>45819</v>
      </c>
      <c r="S461" s="19">
        <v>6</v>
      </c>
    </row>
    <row r="462" spans="1:19" ht="14.25" customHeight="1" x14ac:dyDescent="0.3">
      <c r="A462" s="17">
        <f t="shared" si="17"/>
        <v>461</v>
      </c>
      <c r="B462" s="30">
        <v>47470066</v>
      </c>
      <c r="C462" s="19" t="s">
        <v>649</v>
      </c>
      <c r="D462" s="18">
        <v>95273555</v>
      </c>
      <c r="E462" s="18">
        <v>79356106</v>
      </c>
      <c r="F462" s="18" t="s">
        <v>333</v>
      </c>
      <c r="G462" s="18" t="s">
        <v>335</v>
      </c>
      <c r="H462" s="18">
        <v>65</v>
      </c>
      <c r="I462" s="18">
        <v>7</v>
      </c>
      <c r="J462" s="19" t="s">
        <v>373</v>
      </c>
      <c r="K462" s="21" t="s">
        <v>64</v>
      </c>
      <c r="L462" s="38"/>
      <c r="M462" s="21"/>
      <c r="N462" s="26"/>
      <c r="O462" s="38"/>
      <c r="P462" s="19" t="s">
        <v>49</v>
      </c>
      <c r="Q462" s="19" t="s">
        <v>28</v>
      </c>
      <c r="R462" s="38">
        <v>45822</v>
      </c>
      <c r="S462" s="19">
        <v>6</v>
      </c>
    </row>
    <row r="463" spans="1:19" ht="14.25" customHeight="1" x14ac:dyDescent="0.3">
      <c r="A463" s="17">
        <f t="shared" si="17"/>
        <v>462</v>
      </c>
      <c r="B463" s="30">
        <v>10763877</v>
      </c>
      <c r="C463" s="19" t="s">
        <v>595</v>
      </c>
      <c r="D463" s="18">
        <v>94625592</v>
      </c>
      <c r="E463" s="18">
        <v>78801326</v>
      </c>
      <c r="F463" s="18" t="s">
        <v>333</v>
      </c>
      <c r="G463" s="18" t="s">
        <v>336</v>
      </c>
      <c r="H463" s="18">
        <v>150</v>
      </c>
      <c r="I463" s="18">
        <v>10</v>
      </c>
      <c r="J463" s="19" t="s">
        <v>373</v>
      </c>
      <c r="K463" s="21" t="s">
        <v>64</v>
      </c>
      <c r="L463" s="38"/>
      <c r="M463" s="21"/>
      <c r="N463" s="26"/>
      <c r="O463" s="38"/>
      <c r="P463" s="19" t="s">
        <v>49</v>
      </c>
      <c r="Q463" s="19" t="s">
        <v>54</v>
      </c>
      <c r="R463" s="38">
        <v>45798</v>
      </c>
      <c r="S463" s="19">
        <v>5</v>
      </c>
    </row>
    <row r="464" spans="1:19" ht="14.25" customHeight="1" x14ac:dyDescent="0.3">
      <c r="A464" s="17">
        <f t="shared" si="17"/>
        <v>463</v>
      </c>
      <c r="B464" s="30">
        <v>6728367</v>
      </c>
      <c r="C464" s="19" t="s">
        <v>622</v>
      </c>
      <c r="D464" s="18">
        <v>94907938</v>
      </c>
      <c r="E464" s="18">
        <v>79060925</v>
      </c>
      <c r="F464" s="18" t="s">
        <v>334</v>
      </c>
      <c r="G464" s="18" t="s">
        <v>336</v>
      </c>
      <c r="H464" s="18">
        <v>150</v>
      </c>
      <c r="I464" s="18">
        <v>7</v>
      </c>
      <c r="J464" s="19" t="s">
        <v>373</v>
      </c>
      <c r="K464" s="21" t="s">
        <v>64</v>
      </c>
      <c r="L464" s="38"/>
      <c r="M464" s="21"/>
      <c r="N464" s="26"/>
      <c r="O464" s="38"/>
      <c r="P464" s="19" t="s">
        <v>49</v>
      </c>
      <c r="Q464" s="19" t="s">
        <v>611</v>
      </c>
      <c r="R464" s="38">
        <v>45808</v>
      </c>
      <c r="S464" s="19">
        <v>5</v>
      </c>
    </row>
    <row r="465" spans="1:19" ht="14.25" customHeight="1" x14ac:dyDescent="0.3">
      <c r="A465" s="17">
        <f t="shared" si="17"/>
        <v>464</v>
      </c>
      <c r="B465" s="30">
        <v>10323851218</v>
      </c>
      <c r="C465" s="19" t="s">
        <v>501</v>
      </c>
      <c r="D465" s="18">
        <v>95242431</v>
      </c>
      <c r="E465" s="18">
        <v>79341470</v>
      </c>
      <c r="F465" s="18" t="s">
        <v>333</v>
      </c>
      <c r="G465" s="23" t="s">
        <v>586</v>
      </c>
      <c r="H465" s="18">
        <v>150</v>
      </c>
      <c r="I465" s="18">
        <v>7</v>
      </c>
      <c r="J465" s="19" t="s">
        <v>475</v>
      </c>
      <c r="K465" s="21" t="s">
        <v>64</v>
      </c>
      <c r="L465" s="38"/>
      <c r="M465" s="21"/>
      <c r="N465" s="26"/>
      <c r="O465" s="38"/>
      <c r="P465" s="19" t="s">
        <v>49</v>
      </c>
      <c r="Q465" s="19" t="s">
        <v>28</v>
      </c>
      <c r="R465" s="38">
        <v>45821</v>
      </c>
      <c r="S465" s="19">
        <v>6</v>
      </c>
    </row>
    <row r="466" spans="1:19" ht="14.25" customHeight="1" x14ac:dyDescent="0.3">
      <c r="A466" s="17">
        <f t="shared" si="17"/>
        <v>465</v>
      </c>
      <c r="B466" s="30">
        <v>20516335395</v>
      </c>
      <c r="C466" s="19" t="s">
        <v>651</v>
      </c>
      <c r="D466" s="18">
        <v>95281008</v>
      </c>
      <c r="E466" s="18">
        <v>79358154</v>
      </c>
      <c r="F466" s="18" t="s">
        <v>334</v>
      </c>
      <c r="G466" s="23" t="s">
        <v>389</v>
      </c>
      <c r="H466" s="18">
        <v>70</v>
      </c>
      <c r="I466" s="18">
        <v>2</v>
      </c>
      <c r="J466" s="19" t="s">
        <v>475</v>
      </c>
      <c r="K466" s="21" t="s">
        <v>64</v>
      </c>
      <c r="L466" s="38"/>
      <c r="M466" s="21"/>
      <c r="N466" s="26"/>
      <c r="O466" s="38"/>
      <c r="P466" s="19" t="s">
        <v>49</v>
      </c>
      <c r="Q466" s="19" t="s">
        <v>54</v>
      </c>
      <c r="R466" s="38">
        <v>45822</v>
      </c>
      <c r="S466" s="19">
        <v>6</v>
      </c>
    </row>
    <row r="467" spans="1:19" ht="14.25" customHeight="1" x14ac:dyDescent="0.3">
      <c r="A467" s="17">
        <f t="shared" si="17"/>
        <v>466</v>
      </c>
      <c r="B467" s="30">
        <v>10200162299</v>
      </c>
      <c r="C467" s="19" t="s">
        <v>653</v>
      </c>
      <c r="D467" s="18">
        <v>95358710</v>
      </c>
      <c r="E467" s="18">
        <v>79423502</v>
      </c>
      <c r="F467" s="18" t="s">
        <v>334</v>
      </c>
      <c r="G467" s="23" t="s">
        <v>349</v>
      </c>
      <c r="H467" s="18">
        <v>65</v>
      </c>
      <c r="I467" s="18">
        <v>8</v>
      </c>
      <c r="J467" s="19" t="s">
        <v>604</v>
      </c>
      <c r="K467" s="21" t="s">
        <v>64</v>
      </c>
      <c r="L467" s="38"/>
      <c r="M467" s="21"/>
      <c r="N467" s="26"/>
      <c r="O467" s="38"/>
      <c r="P467" s="19" t="s">
        <v>49</v>
      </c>
      <c r="Q467" s="19" t="s">
        <v>51</v>
      </c>
      <c r="R467" s="38">
        <v>45825</v>
      </c>
      <c r="S467" s="19">
        <v>6</v>
      </c>
    </row>
    <row r="468" spans="1:19" ht="14.25" customHeight="1" x14ac:dyDescent="0.3">
      <c r="A468" s="17">
        <f t="shared" si="17"/>
        <v>467</v>
      </c>
      <c r="B468" s="30">
        <v>18046537</v>
      </c>
      <c r="C468" s="19" t="s">
        <v>644</v>
      </c>
      <c r="D468" s="18">
        <v>95247021</v>
      </c>
      <c r="E468" s="18">
        <v>79343240</v>
      </c>
      <c r="F468" s="18" t="s">
        <v>333</v>
      </c>
      <c r="G468" s="18" t="s">
        <v>335</v>
      </c>
      <c r="H468" s="18">
        <v>65</v>
      </c>
      <c r="I468" s="18">
        <v>4</v>
      </c>
      <c r="J468" s="19" t="s">
        <v>372</v>
      </c>
      <c r="K468" s="21" t="s">
        <v>64</v>
      </c>
      <c r="L468" s="38"/>
      <c r="M468" s="21"/>
      <c r="N468" s="26"/>
      <c r="O468" s="38"/>
      <c r="P468" s="19" t="s">
        <v>49</v>
      </c>
      <c r="Q468" s="19" t="s">
        <v>524</v>
      </c>
      <c r="R468" s="38">
        <v>45821</v>
      </c>
      <c r="S468" s="19">
        <v>6</v>
      </c>
    </row>
    <row r="469" spans="1:19" ht="14.25" customHeight="1" x14ac:dyDescent="0.3">
      <c r="A469" s="17">
        <f t="shared" si="17"/>
        <v>468</v>
      </c>
      <c r="B469" s="30">
        <v>16619675</v>
      </c>
      <c r="C469" s="19" t="s">
        <v>646</v>
      </c>
      <c r="D469" s="18">
        <v>95259045</v>
      </c>
      <c r="E469" s="18">
        <v>79348377</v>
      </c>
      <c r="F469" s="18" t="s">
        <v>333</v>
      </c>
      <c r="G469" s="18" t="s">
        <v>335</v>
      </c>
      <c r="H469" s="18">
        <v>65</v>
      </c>
      <c r="I469" s="18">
        <v>10</v>
      </c>
      <c r="J469" s="19" t="s">
        <v>654</v>
      </c>
      <c r="K469" s="21" t="s">
        <v>64</v>
      </c>
      <c r="L469" s="38"/>
      <c r="M469" s="21"/>
      <c r="N469" s="26"/>
      <c r="O469" s="38"/>
      <c r="P469" s="19" t="s">
        <v>49</v>
      </c>
      <c r="Q469" s="19" t="s">
        <v>518</v>
      </c>
      <c r="R469" s="38">
        <v>45821</v>
      </c>
      <c r="S469" s="19">
        <v>6</v>
      </c>
    </row>
    <row r="470" spans="1:19" ht="14.25" customHeight="1" x14ac:dyDescent="0.3">
      <c r="A470" s="17">
        <f t="shared" si="17"/>
        <v>469</v>
      </c>
      <c r="B470" s="30">
        <v>21462881</v>
      </c>
      <c r="C470" s="19" t="s">
        <v>636</v>
      </c>
      <c r="D470" s="18">
        <v>95331774</v>
      </c>
      <c r="E470" s="18">
        <v>79401526</v>
      </c>
      <c r="F470" s="18" t="s">
        <v>333</v>
      </c>
      <c r="G470" s="18" t="s">
        <v>336</v>
      </c>
      <c r="H470" s="18">
        <v>150</v>
      </c>
      <c r="I470" s="18">
        <v>8</v>
      </c>
      <c r="J470" s="19" t="s">
        <v>373</v>
      </c>
      <c r="K470" s="21" t="s">
        <v>64</v>
      </c>
      <c r="L470" s="38"/>
      <c r="M470" s="21"/>
      <c r="N470" s="26"/>
      <c r="O470" s="38"/>
      <c r="P470" s="19" t="s">
        <v>49</v>
      </c>
      <c r="Q470" s="19" t="s">
        <v>524</v>
      </c>
      <c r="R470" s="38">
        <v>45824</v>
      </c>
      <c r="S470" s="19">
        <v>6</v>
      </c>
    </row>
    <row r="471" spans="1:19" ht="14.25" customHeight="1" x14ac:dyDescent="0.3">
      <c r="A471" s="17">
        <f t="shared" si="17"/>
        <v>470</v>
      </c>
      <c r="B471" s="30">
        <v>74863154</v>
      </c>
      <c r="C471" s="19" t="s">
        <v>656</v>
      </c>
      <c r="D471" s="18">
        <v>95394071</v>
      </c>
      <c r="E471" s="18">
        <v>79452227</v>
      </c>
      <c r="F471" s="18" t="s">
        <v>333</v>
      </c>
      <c r="G471" s="18" t="s">
        <v>335</v>
      </c>
      <c r="H471" s="18">
        <v>65</v>
      </c>
      <c r="I471" s="18">
        <v>5</v>
      </c>
      <c r="J471" s="19" t="s">
        <v>372</v>
      </c>
      <c r="K471" s="21" t="s">
        <v>64</v>
      </c>
      <c r="L471" s="38"/>
      <c r="M471" s="21"/>
      <c r="N471" s="26"/>
      <c r="O471" s="38"/>
      <c r="P471" s="19" t="s">
        <v>49</v>
      </c>
      <c r="Q471" s="19" t="s">
        <v>58</v>
      </c>
      <c r="R471" s="38">
        <v>45826</v>
      </c>
      <c r="S471" s="19">
        <v>6</v>
      </c>
    </row>
    <row r="472" spans="1:19" ht="14.25" customHeight="1" x14ac:dyDescent="0.3">
      <c r="A472" s="17">
        <f t="shared" si="17"/>
        <v>471</v>
      </c>
      <c r="B472" s="30">
        <v>21462881</v>
      </c>
      <c r="C472" s="19" t="s">
        <v>636</v>
      </c>
      <c r="D472" s="18">
        <v>95405031</v>
      </c>
      <c r="E472" s="18">
        <v>79460389</v>
      </c>
      <c r="F472" s="18" t="s">
        <v>333</v>
      </c>
      <c r="G472" s="18" t="s">
        <v>635</v>
      </c>
      <c r="H472" s="18">
        <v>160</v>
      </c>
      <c r="I472" s="18">
        <v>8</v>
      </c>
      <c r="J472" s="19" t="s">
        <v>475</v>
      </c>
      <c r="K472" s="21" t="s">
        <v>64</v>
      </c>
      <c r="L472" s="38"/>
      <c r="M472" s="21"/>
      <c r="N472" s="26"/>
      <c r="O472" s="38"/>
      <c r="P472" s="19" t="s">
        <v>49</v>
      </c>
      <c r="Q472" s="19" t="s">
        <v>524</v>
      </c>
      <c r="R472" s="38">
        <v>45827</v>
      </c>
      <c r="S472" s="19">
        <v>6</v>
      </c>
    </row>
    <row r="473" spans="1:19" ht="14.25" customHeight="1" x14ac:dyDescent="0.3">
      <c r="A473" s="17">
        <f t="shared" si="17"/>
        <v>472</v>
      </c>
      <c r="B473" s="30">
        <v>10387991</v>
      </c>
      <c r="C473" s="19" t="s">
        <v>658</v>
      </c>
      <c r="D473" s="18">
        <v>95422620</v>
      </c>
      <c r="E473" s="18">
        <v>79468712</v>
      </c>
      <c r="F473" s="18" t="s">
        <v>333</v>
      </c>
      <c r="G473" s="18" t="s">
        <v>336</v>
      </c>
      <c r="H473" s="18">
        <v>150</v>
      </c>
      <c r="I473" s="18">
        <v>8</v>
      </c>
      <c r="J473" s="19" t="s">
        <v>373</v>
      </c>
      <c r="K473" s="21" t="s">
        <v>64</v>
      </c>
      <c r="L473" s="38"/>
      <c r="M473" s="21"/>
      <c r="N473" s="26"/>
      <c r="O473" s="38"/>
      <c r="P473" s="19" t="s">
        <v>49</v>
      </c>
      <c r="Q473" s="19" t="s">
        <v>611</v>
      </c>
      <c r="R473" s="38">
        <v>45827</v>
      </c>
      <c r="S473" s="19">
        <v>6</v>
      </c>
    </row>
    <row r="474" spans="1:19" ht="14.25" customHeight="1" x14ac:dyDescent="0.3">
      <c r="A474" s="17">
        <f t="shared" si="17"/>
        <v>473</v>
      </c>
      <c r="B474" s="30">
        <v>40718316</v>
      </c>
      <c r="C474" s="19" t="s">
        <v>659</v>
      </c>
      <c r="D474" s="18">
        <v>95433421</v>
      </c>
      <c r="E474" s="18">
        <v>79483900</v>
      </c>
      <c r="F474" s="18" t="s">
        <v>333</v>
      </c>
      <c r="G474" s="18" t="s">
        <v>635</v>
      </c>
      <c r="H474" s="18">
        <v>160</v>
      </c>
      <c r="I474" s="18">
        <v>10</v>
      </c>
      <c r="J474" s="19" t="s">
        <v>541</v>
      </c>
      <c r="K474" s="21" t="s">
        <v>64</v>
      </c>
      <c r="L474" s="38"/>
      <c r="M474" s="21"/>
      <c r="N474" s="26"/>
      <c r="O474" s="38"/>
      <c r="P474" s="19" t="s">
        <v>49</v>
      </c>
      <c r="Q474" s="19" t="s">
        <v>58</v>
      </c>
      <c r="R474" s="38">
        <v>45828</v>
      </c>
      <c r="S474" s="19">
        <v>6</v>
      </c>
    </row>
    <row r="475" spans="1:19" ht="14.25" customHeight="1" x14ac:dyDescent="0.3">
      <c r="A475" s="17">
        <f t="shared" si="17"/>
        <v>474</v>
      </c>
      <c r="B475" s="30">
        <v>44707506</v>
      </c>
      <c r="C475" s="19" t="s">
        <v>645</v>
      </c>
      <c r="D475" s="18">
        <v>95248530</v>
      </c>
      <c r="E475" s="18">
        <v>79343809</v>
      </c>
      <c r="F475" s="18" t="s">
        <v>334</v>
      </c>
      <c r="G475" s="18" t="s">
        <v>335</v>
      </c>
      <c r="H475" s="18">
        <v>65</v>
      </c>
      <c r="I475" s="18">
        <v>1</v>
      </c>
      <c r="J475" s="19" t="s">
        <v>373</v>
      </c>
      <c r="K475" s="21" t="s">
        <v>64</v>
      </c>
      <c r="L475" s="38"/>
      <c r="M475" s="21"/>
      <c r="N475" s="26"/>
      <c r="O475" s="38"/>
      <c r="P475" s="19" t="s">
        <v>49</v>
      </c>
      <c r="Q475" s="19" t="s">
        <v>611</v>
      </c>
      <c r="R475" s="38">
        <v>45821</v>
      </c>
      <c r="S475" s="19">
        <v>6</v>
      </c>
    </row>
    <row r="476" spans="1:19" ht="14.25" customHeight="1" x14ac:dyDescent="0.3">
      <c r="A476" s="17">
        <f t="shared" si="17"/>
        <v>475</v>
      </c>
      <c r="B476" s="30">
        <v>62610406</v>
      </c>
      <c r="C476" s="19" t="s">
        <v>647</v>
      </c>
      <c r="D476" s="18">
        <v>95265678</v>
      </c>
      <c r="E476" s="18">
        <v>79351099</v>
      </c>
      <c r="F476" s="18" t="s">
        <v>333</v>
      </c>
      <c r="G476" s="18" t="s">
        <v>635</v>
      </c>
      <c r="H476" s="18">
        <v>160</v>
      </c>
      <c r="I476" s="18">
        <v>5</v>
      </c>
      <c r="J476" s="19" t="s">
        <v>529</v>
      </c>
      <c r="K476" s="21" t="s">
        <v>64</v>
      </c>
      <c r="L476" s="38"/>
      <c r="M476" s="21"/>
      <c r="N476" s="26"/>
      <c r="O476" s="38"/>
      <c r="P476" s="19" t="s">
        <v>49</v>
      </c>
      <c r="Q476" s="19" t="s">
        <v>28</v>
      </c>
      <c r="R476" s="38">
        <v>45821</v>
      </c>
      <c r="S476" s="19">
        <v>6</v>
      </c>
    </row>
    <row r="477" spans="1:19" ht="14.25" customHeight="1" x14ac:dyDescent="0.3">
      <c r="A477" s="17">
        <f t="shared" si="17"/>
        <v>476</v>
      </c>
      <c r="B477" s="30">
        <v>10753426634</v>
      </c>
      <c r="C477" s="19" t="s">
        <v>648</v>
      </c>
      <c r="D477" s="18">
        <v>95266710</v>
      </c>
      <c r="E477" s="18">
        <v>79351451</v>
      </c>
      <c r="F477" s="18" t="s">
        <v>333</v>
      </c>
      <c r="G477" s="18" t="s">
        <v>635</v>
      </c>
      <c r="H477" s="18">
        <v>160</v>
      </c>
      <c r="I477" s="18">
        <v>10</v>
      </c>
      <c r="J477" s="19" t="s">
        <v>529</v>
      </c>
      <c r="K477" s="21" t="s">
        <v>64</v>
      </c>
      <c r="L477" s="38"/>
      <c r="M477" s="21"/>
      <c r="N477" s="26"/>
      <c r="O477" s="38"/>
      <c r="P477" s="19" t="s">
        <v>49</v>
      </c>
      <c r="Q477" s="19" t="s">
        <v>25</v>
      </c>
      <c r="R477" s="38">
        <v>45821</v>
      </c>
      <c r="S477" s="19">
        <v>6</v>
      </c>
    </row>
    <row r="478" spans="1:19" ht="14.25" customHeight="1" x14ac:dyDescent="0.3">
      <c r="A478" s="17">
        <f t="shared" si="17"/>
        <v>477</v>
      </c>
      <c r="B478" s="30">
        <v>44564523</v>
      </c>
      <c r="C478" s="19" t="s">
        <v>650</v>
      </c>
      <c r="D478" s="18">
        <v>95275221</v>
      </c>
      <c r="E478" s="18">
        <v>79356510</v>
      </c>
      <c r="F478" s="18" t="s">
        <v>333</v>
      </c>
      <c r="G478" s="18" t="s">
        <v>335</v>
      </c>
      <c r="H478" s="18">
        <v>65</v>
      </c>
      <c r="I478" s="18">
        <v>5</v>
      </c>
      <c r="J478" s="19" t="s">
        <v>373</v>
      </c>
      <c r="K478" s="21" t="s">
        <v>64</v>
      </c>
      <c r="L478" s="38"/>
      <c r="M478" s="21"/>
      <c r="N478" s="26"/>
      <c r="O478" s="38"/>
      <c r="P478" s="19" t="s">
        <v>49</v>
      </c>
      <c r="Q478" s="19" t="s">
        <v>51</v>
      </c>
      <c r="R478" s="38">
        <v>45822</v>
      </c>
      <c r="S478" s="19">
        <v>6</v>
      </c>
    </row>
    <row r="479" spans="1:19" ht="14.25" customHeight="1" x14ac:dyDescent="0.3">
      <c r="A479" s="17">
        <f t="shared" si="17"/>
        <v>478</v>
      </c>
      <c r="B479" s="30">
        <v>41501923</v>
      </c>
      <c r="C479" s="19" t="s">
        <v>652</v>
      </c>
      <c r="D479" s="18">
        <v>95293096</v>
      </c>
      <c r="E479" s="18">
        <v>79361693</v>
      </c>
      <c r="F479" s="18" t="s">
        <v>334</v>
      </c>
      <c r="G479" s="18" t="s">
        <v>335</v>
      </c>
      <c r="H479" s="18">
        <v>65</v>
      </c>
      <c r="I479" s="18">
        <v>3</v>
      </c>
      <c r="J479" s="19" t="s">
        <v>663</v>
      </c>
      <c r="K479" s="21" t="s">
        <v>64</v>
      </c>
      <c r="L479" s="38"/>
      <c r="M479" s="21"/>
      <c r="N479" s="26"/>
      <c r="O479" s="38"/>
      <c r="P479" s="19" t="s">
        <v>49</v>
      </c>
      <c r="Q479" s="19" t="s">
        <v>518</v>
      </c>
      <c r="R479" s="38">
        <v>45822</v>
      </c>
      <c r="S479" s="19">
        <v>6</v>
      </c>
    </row>
    <row r="480" spans="1:19" ht="14.25" customHeight="1" x14ac:dyDescent="0.3">
      <c r="A480" s="17">
        <f t="shared" si="17"/>
        <v>479</v>
      </c>
      <c r="B480" s="30">
        <v>47470066</v>
      </c>
      <c r="C480" s="19" t="s">
        <v>649</v>
      </c>
      <c r="D480" s="18">
        <v>95351415</v>
      </c>
      <c r="E480" s="18">
        <v>79419933</v>
      </c>
      <c r="F480" s="18" t="s">
        <v>333</v>
      </c>
      <c r="G480" s="18" t="s">
        <v>335</v>
      </c>
      <c r="H480" s="18">
        <v>65</v>
      </c>
      <c r="I480" s="18">
        <v>7</v>
      </c>
      <c r="J480" s="19" t="s">
        <v>373</v>
      </c>
      <c r="K480" s="21" t="s">
        <v>64</v>
      </c>
      <c r="L480" s="38"/>
      <c r="M480" s="21"/>
      <c r="N480" s="26"/>
      <c r="O480" s="38"/>
      <c r="P480" s="19" t="s">
        <v>49</v>
      </c>
      <c r="Q480" s="19" t="s">
        <v>28</v>
      </c>
      <c r="R480" s="38">
        <v>45825</v>
      </c>
      <c r="S480" s="19">
        <v>6</v>
      </c>
    </row>
    <row r="481" spans="1:19" ht="14.25" customHeight="1" x14ac:dyDescent="0.3">
      <c r="A481" s="17">
        <f t="shared" si="17"/>
        <v>480</v>
      </c>
      <c r="B481" s="30">
        <v>6597841</v>
      </c>
      <c r="C481" s="19" t="s">
        <v>657</v>
      </c>
      <c r="D481" s="18">
        <v>95395197</v>
      </c>
      <c r="E481" s="18">
        <v>79452783</v>
      </c>
      <c r="F481" s="18" t="s">
        <v>334</v>
      </c>
      <c r="G481" s="18" t="s">
        <v>339</v>
      </c>
      <c r="H481" s="18">
        <v>75</v>
      </c>
      <c r="I481" s="18">
        <v>4</v>
      </c>
      <c r="J481" s="19" t="s">
        <v>529</v>
      </c>
      <c r="K481" s="21" t="s">
        <v>64</v>
      </c>
      <c r="L481" s="38"/>
      <c r="M481" s="21"/>
      <c r="N481" s="26"/>
      <c r="O481" s="38"/>
      <c r="P481" s="19" t="s">
        <v>49</v>
      </c>
      <c r="Q481" s="19" t="s">
        <v>524</v>
      </c>
      <c r="R481" s="38">
        <v>45826</v>
      </c>
      <c r="S481" s="19">
        <v>6</v>
      </c>
    </row>
    <row r="482" spans="1:19" ht="14.25" customHeight="1" x14ac:dyDescent="0.3">
      <c r="A482" s="17">
        <f t="shared" si="17"/>
        <v>481</v>
      </c>
      <c r="B482" s="30">
        <v>29659233</v>
      </c>
      <c r="C482" s="19" t="s">
        <v>643</v>
      </c>
      <c r="D482" s="18">
        <v>95408007</v>
      </c>
      <c r="E482" s="18">
        <v>79461626</v>
      </c>
      <c r="F482" s="18" t="s">
        <v>333</v>
      </c>
      <c r="G482" s="18" t="s">
        <v>335</v>
      </c>
      <c r="H482" s="18">
        <v>65</v>
      </c>
      <c r="I482" s="18">
        <v>8</v>
      </c>
      <c r="J482" s="19" t="s">
        <v>541</v>
      </c>
      <c r="K482" s="21" t="s">
        <v>64</v>
      </c>
      <c r="L482" s="38"/>
      <c r="M482" s="21"/>
      <c r="N482" s="26"/>
      <c r="O482" s="38"/>
      <c r="P482" s="19" t="s">
        <v>49</v>
      </c>
      <c r="Q482" s="19" t="s">
        <v>611</v>
      </c>
      <c r="R482" s="38">
        <v>45827</v>
      </c>
      <c r="S482" s="19">
        <v>6</v>
      </c>
    </row>
    <row r="483" spans="1:19" ht="14.25" customHeight="1" x14ac:dyDescent="0.3">
      <c r="A483" s="17">
        <f t="shared" si="17"/>
        <v>482</v>
      </c>
      <c r="B483" s="30">
        <v>10167305712</v>
      </c>
      <c r="C483" s="19" t="s">
        <v>660</v>
      </c>
      <c r="D483" s="18">
        <v>95446997</v>
      </c>
      <c r="E483" s="18">
        <v>79490101</v>
      </c>
      <c r="F483" s="18" t="s">
        <v>334</v>
      </c>
      <c r="G483" s="18" t="s">
        <v>335</v>
      </c>
      <c r="H483" s="18">
        <v>65</v>
      </c>
      <c r="I483" s="18">
        <v>10</v>
      </c>
      <c r="J483" s="19" t="s">
        <v>529</v>
      </c>
      <c r="K483" s="21" t="s">
        <v>64</v>
      </c>
      <c r="L483" s="38"/>
      <c r="M483" s="21"/>
      <c r="N483" s="26"/>
      <c r="O483" s="38"/>
      <c r="P483" s="19" t="s">
        <v>49</v>
      </c>
      <c r="Q483" s="19" t="s">
        <v>25</v>
      </c>
      <c r="R483" s="38">
        <v>45828</v>
      </c>
      <c r="S483" s="19">
        <v>6</v>
      </c>
    </row>
    <row r="484" spans="1:19" ht="14.25" customHeight="1" x14ac:dyDescent="0.3">
      <c r="A484" s="17">
        <f t="shared" si="17"/>
        <v>483</v>
      </c>
      <c r="B484" s="30">
        <v>17448062</v>
      </c>
      <c r="C484" s="19" t="s">
        <v>661</v>
      </c>
      <c r="D484" s="18">
        <v>95503632</v>
      </c>
      <c r="E484" s="18">
        <v>79525020</v>
      </c>
      <c r="F484" s="18" t="s">
        <v>333</v>
      </c>
      <c r="G484" s="18" t="s">
        <v>335</v>
      </c>
      <c r="H484" s="18">
        <v>65</v>
      </c>
      <c r="I484" s="18">
        <v>6</v>
      </c>
      <c r="J484" s="19" t="s">
        <v>373</v>
      </c>
      <c r="K484" s="21" t="s">
        <v>64</v>
      </c>
      <c r="L484" s="38"/>
      <c r="M484" s="21"/>
      <c r="N484" s="26"/>
      <c r="O484" s="38"/>
      <c r="P484" s="19" t="s">
        <v>49</v>
      </c>
      <c r="Q484" s="19" t="s">
        <v>51</v>
      </c>
      <c r="R484" s="38">
        <v>45831</v>
      </c>
      <c r="S484" s="19">
        <v>6</v>
      </c>
    </row>
    <row r="485" spans="1:19" ht="14.25" customHeight="1" x14ac:dyDescent="0.3">
      <c r="A485" s="17">
        <f t="shared" si="17"/>
        <v>484</v>
      </c>
      <c r="B485" s="30">
        <v>7960228</v>
      </c>
      <c r="C485" s="19" t="s">
        <v>664</v>
      </c>
      <c r="D485" s="18">
        <v>95541169</v>
      </c>
      <c r="E485" s="18">
        <v>79561133</v>
      </c>
      <c r="F485" s="18" t="s">
        <v>334</v>
      </c>
      <c r="G485" s="18" t="s">
        <v>336</v>
      </c>
      <c r="H485" s="18">
        <v>150</v>
      </c>
      <c r="I485" s="18">
        <v>6</v>
      </c>
      <c r="J485" s="19" t="s">
        <v>541</v>
      </c>
      <c r="K485" s="21" t="s">
        <v>64</v>
      </c>
      <c r="L485" s="38"/>
      <c r="M485" s="21"/>
      <c r="N485" s="26"/>
      <c r="O485" s="38"/>
      <c r="P485" s="19" t="s">
        <v>49</v>
      </c>
      <c r="Q485" s="19" t="s">
        <v>518</v>
      </c>
      <c r="R485" s="38">
        <v>45832</v>
      </c>
      <c r="S485" s="19">
        <v>6</v>
      </c>
    </row>
    <row r="486" spans="1:19" ht="14.25" customHeight="1" x14ac:dyDescent="0.3">
      <c r="A486" s="17">
        <f t="shared" si="17"/>
        <v>485</v>
      </c>
      <c r="B486" s="30">
        <v>10434219669</v>
      </c>
      <c r="C486" s="19" t="s">
        <v>666</v>
      </c>
      <c r="D486" s="18">
        <v>95592986</v>
      </c>
      <c r="E486" s="18">
        <v>79604827</v>
      </c>
      <c r="F486" s="18" t="s">
        <v>333</v>
      </c>
      <c r="G486" s="23" t="s">
        <v>586</v>
      </c>
      <c r="H486" s="18">
        <v>150</v>
      </c>
      <c r="I486" s="18">
        <v>4</v>
      </c>
      <c r="J486" s="19" t="s">
        <v>372</v>
      </c>
      <c r="K486" s="21" t="s">
        <v>64</v>
      </c>
      <c r="L486" s="38"/>
      <c r="M486" s="21"/>
      <c r="N486" s="26"/>
      <c r="O486" s="38"/>
      <c r="P486" s="19" t="s">
        <v>49</v>
      </c>
      <c r="Q486" s="19" t="s">
        <v>58</v>
      </c>
      <c r="R486" s="38">
        <v>45834</v>
      </c>
      <c r="S486" s="19">
        <v>6</v>
      </c>
    </row>
    <row r="487" spans="1:19" ht="14.25" customHeight="1" x14ac:dyDescent="0.3">
      <c r="A487" s="17">
        <f t="shared" si="17"/>
        <v>486</v>
      </c>
      <c r="B487" s="30">
        <v>10753426634</v>
      </c>
      <c r="C487" s="19" t="s">
        <v>648</v>
      </c>
      <c r="D487" s="18">
        <v>95548644</v>
      </c>
      <c r="E487" s="18">
        <v>79565937</v>
      </c>
      <c r="F487" s="18" t="s">
        <v>334</v>
      </c>
      <c r="G487" s="23" t="s">
        <v>665</v>
      </c>
      <c r="H487" s="18">
        <v>160</v>
      </c>
      <c r="I487" s="18">
        <v>10</v>
      </c>
      <c r="J487" s="19" t="s">
        <v>663</v>
      </c>
      <c r="K487" s="21" t="s">
        <v>64</v>
      </c>
      <c r="L487" s="38"/>
      <c r="M487" s="21"/>
      <c r="N487" s="26"/>
      <c r="O487" s="38"/>
      <c r="P487" s="19" t="s">
        <v>49</v>
      </c>
      <c r="Q487" s="19" t="s">
        <v>25</v>
      </c>
      <c r="R487" s="38">
        <v>45832</v>
      </c>
      <c r="S487" s="19">
        <v>6</v>
      </c>
    </row>
    <row r="488" spans="1:19" ht="14.25" customHeight="1" x14ac:dyDescent="0.3">
      <c r="A488" s="17">
        <f t="shared" si="17"/>
        <v>487</v>
      </c>
      <c r="B488" s="30">
        <v>10708583532</v>
      </c>
      <c r="C488" s="19" t="s">
        <v>669</v>
      </c>
      <c r="D488" s="18">
        <v>95625392</v>
      </c>
      <c r="E488" s="18">
        <v>79632016</v>
      </c>
      <c r="F488" s="18" t="s">
        <v>334</v>
      </c>
      <c r="G488" s="18" t="s">
        <v>670</v>
      </c>
      <c r="H488" s="18">
        <v>150</v>
      </c>
      <c r="I488" s="18">
        <v>8</v>
      </c>
      <c r="J488" s="19" t="s">
        <v>541</v>
      </c>
      <c r="K488" s="21" t="s">
        <v>64</v>
      </c>
      <c r="L488" s="38"/>
      <c r="M488" s="21"/>
      <c r="N488" s="26"/>
      <c r="O488" s="38"/>
      <c r="P488" s="19" t="s">
        <v>49</v>
      </c>
      <c r="Q488" s="19" t="s">
        <v>518</v>
      </c>
      <c r="R488" s="38">
        <v>45835</v>
      </c>
      <c r="S488" s="19">
        <v>6</v>
      </c>
    </row>
    <row r="489" spans="1:19" ht="14.25" customHeight="1" x14ac:dyDescent="0.3">
      <c r="A489" s="17">
        <f t="shared" si="17"/>
        <v>488</v>
      </c>
      <c r="B489" s="30">
        <v>10167114267</v>
      </c>
      <c r="C489" s="19" t="s">
        <v>667</v>
      </c>
      <c r="D489">
        <v>95598111</v>
      </c>
      <c r="E489" s="18">
        <v>79606831</v>
      </c>
      <c r="F489" s="18" t="s">
        <v>333</v>
      </c>
      <c r="G489" s="18" t="s">
        <v>335</v>
      </c>
      <c r="H489" s="18">
        <v>65</v>
      </c>
      <c r="I489" s="18">
        <v>2</v>
      </c>
      <c r="J489" s="19" t="s">
        <v>529</v>
      </c>
      <c r="K489" s="21" t="s">
        <v>64</v>
      </c>
      <c r="L489" s="38"/>
      <c r="M489" s="21"/>
      <c r="N489" s="26"/>
      <c r="O489" s="38"/>
      <c r="P489" s="19" t="s">
        <v>49</v>
      </c>
      <c r="Q489" s="19" t="s">
        <v>58</v>
      </c>
      <c r="R489" s="38">
        <v>45834</v>
      </c>
      <c r="S489" s="19">
        <v>6</v>
      </c>
    </row>
    <row r="490" spans="1:19" ht="14.25" customHeight="1" x14ac:dyDescent="0.3">
      <c r="A490" s="17">
        <f t="shared" si="17"/>
        <v>489</v>
      </c>
      <c r="B490" s="30">
        <v>18006378</v>
      </c>
      <c r="C490" s="19" t="s">
        <v>672</v>
      </c>
      <c r="D490" s="18">
        <v>95636837</v>
      </c>
      <c r="E490" s="18">
        <v>79638067</v>
      </c>
      <c r="F490" s="18" t="s">
        <v>333</v>
      </c>
      <c r="G490" s="18" t="s">
        <v>336</v>
      </c>
      <c r="H490" s="18">
        <v>150</v>
      </c>
      <c r="I490" s="18">
        <v>6</v>
      </c>
      <c r="J490" s="19" t="s">
        <v>529</v>
      </c>
      <c r="K490" s="21" t="s">
        <v>64</v>
      </c>
      <c r="L490" s="38"/>
      <c r="M490" s="21"/>
      <c r="N490" s="26"/>
      <c r="O490" s="38"/>
      <c r="P490" s="19" t="s">
        <v>49</v>
      </c>
      <c r="Q490" s="19" t="s">
        <v>671</v>
      </c>
      <c r="R490" s="38">
        <v>45835</v>
      </c>
      <c r="S490" s="19">
        <v>6</v>
      </c>
    </row>
    <row r="491" spans="1:19" ht="14.25" customHeight="1" x14ac:dyDescent="0.3">
      <c r="A491" s="17">
        <f t="shared" si="17"/>
        <v>490</v>
      </c>
      <c r="B491" s="30">
        <v>47630536</v>
      </c>
      <c r="C491" s="19" t="s">
        <v>673</v>
      </c>
      <c r="D491" s="18">
        <v>95731064</v>
      </c>
      <c r="E491" s="18">
        <v>79754173</v>
      </c>
      <c r="F491" s="18" t="s">
        <v>333</v>
      </c>
      <c r="G491" s="18" t="s">
        <v>335</v>
      </c>
      <c r="H491" s="18">
        <v>65</v>
      </c>
      <c r="I491" s="18">
        <v>1</v>
      </c>
      <c r="J491" s="19" t="s">
        <v>529</v>
      </c>
      <c r="K491" s="21" t="s">
        <v>64</v>
      </c>
      <c r="L491" s="38"/>
      <c r="M491" s="21"/>
      <c r="N491" s="26"/>
      <c r="O491" s="38"/>
      <c r="P491" s="19" t="s">
        <v>49</v>
      </c>
      <c r="Q491" s="19" t="s">
        <v>54</v>
      </c>
      <c r="R491" s="38">
        <v>45839</v>
      </c>
      <c r="S491" s="19">
        <v>7</v>
      </c>
    </row>
    <row r="492" spans="1:19" ht="14.25" customHeight="1" x14ac:dyDescent="0.3">
      <c r="A492" s="17">
        <f t="shared" si="17"/>
        <v>491</v>
      </c>
      <c r="B492" s="30">
        <v>77799048</v>
      </c>
      <c r="C492" s="19" t="s">
        <v>675</v>
      </c>
      <c r="D492" s="18">
        <v>95782834</v>
      </c>
      <c r="E492" s="18">
        <v>79837190</v>
      </c>
      <c r="F492" s="18" t="s">
        <v>333</v>
      </c>
      <c r="G492" s="18" t="s">
        <v>335</v>
      </c>
      <c r="H492" s="18">
        <v>65</v>
      </c>
      <c r="I492" s="18">
        <v>3</v>
      </c>
      <c r="J492" s="19" t="s">
        <v>626</v>
      </c>
      <c r="K492" s="21" t="s">
        <v>64</v>
      </c>
      <c r="L492" s="38"/>
      <c r="M492" s="21"/>
      <c r="N492" s="26"/>
      <c r="O492" s="38"/>
      <c r="P492" s="19" t="s">
        <v>49</v>
      </c>
      <c r="Q492" s="19" t="s">
        <v>524</v>
      </c>
      <c r="R492" s="38">
        <v>45841</v>
      </c>
      <c r="S492" s="19">
        <v>7</v>
      </c>
    </row>
    <row r="493" spans="1:19" ht="14.25" customHeight="1" x14ac:dyDescent="0.3">
      <c r="A493" s="17">
        <f t="shared" si="17"/>
        <v>492</v>
      </c>
      <c r="B493" s="30">
        <v>7960228</v>
      </c>
      <c r="C493" s="19" t="s">
        <v>664</v>
      </c>
      <c r="D493" s="18">
        <v>95541169</v>
      </c>
      <c r="E493" s="18">
        <v>79561133</v>
      </c>
      <c r="F493" s="18" t="s">
        <v>334</v>
      </c>
      <c r="G493" s="18" t="s">
        <v>336</v>
      </c>
      <c r="H493" s="18">
        <v>150</v>
      </c>
      <c r="I493" s="18">
        <v>6</v>
      </c>
      <c r="J493" s="19" t="s">
        <v>626</v>
      </c>
      <c r="K493" s="21" t="s">
        <v>64</v>
      </c>
      <c r="L493" s="38"/>
      <c r="M493" s="21"/>
      <c r="N493" s="26"/>
      <c r="O493" s="38"/>
      <c r="P493" s="19" t="s">
        <v>49</v>
      </c>
      <c r="Q493" s="19" t="s">
        <v>518</v>
      </c>
      <c r="R493" s="38">
        <v>45841</v>
      </c>
      <c r="S493" s="19">
        <v>6</v>
      </c>
    </row>
    <row r="494" spans="1:19" ht="14.25" customHeight="1" x14ac:dyDescent="0.3">
      <c r="A494" s="17">
        <f t="shared" si="17"/>
        <v>493</v>
      </c>
      <c r="B494" s="30">
        <v>75328590</v>
      </c>
      <c r="C494" s="19" t="s">
        <v>679</v>
      </c>
      <c r="D494" s="18">
        <v>95829219</v>
      </c>
      <c r="E494" s="18">
        <v>79895824</v>
      </c>
      <c r="F494" s="18" t="s">
        <v>333</v>
      </c>
      <c r="G494" s="18" t="s">
        <v>335</v>
      </c>
      <c r="H494" s="18">
        <v>65</v>
      </c>
      <c r="I494" s="18">
        <v>5</v>
      </c>
      <c r="J494" s="19" t="s">
        <v>681</v>
      </c>
      <c r="K494" s="21" t="s">
        <v>64</v>
      </c>
      <c r="L494" s="38"/>
      <c r="M494" s="21"/>
      <c r="N494" s="26"/>
      <c r="O494" s="38"/>
      <c r="P494" s="19" t="s">
        <v>49</v>
      </c>
      <c r="Q494" s="19" t="s">
        <v>58</v>
      </c>
      <c r="R494" s="38">
        <v>45843</v>
      </c>
      <c r="S494" s="19">
        <v>7</v>
      </c>
    </row>
    <row r="495" spans="1:19" ht="14.25" customHeight="1" x14ac:dyDescent="0.3">
      <c r="A495" s="17">
        <f t="shared" si="17"/>
        <v>494</v>
      </c>
      <c r="B495" s="30">
        <v>43718315</v>
      </c>
      <c r="C495" s="19" t="s">
        <v>655</v>
      </c>
      <c r="D495" s="18">
        <v>95388402</v>
      </c>
      <c r="E495" s="18">
        <v>79449533</v>
      </c>
      <c r="F495" s="18" t="s">
        <v>333</v>
      </c>
      <c r="G495" s="18" t="s">
        <v>335</v>
      </c>
      <c r="H495" s="18">
        <v>65</v>
      </c>
      <c r="I495" s="18">
        <v>2</v>
      </c>
      <c r="J495" s="19" t="s">
        <v>529</v>
      </c>
      <c r="K495" s="21" t="s">
        <v>64</v>
      </c>
      <c r="L495" s="38"/>
      <c r="M495" s="21"/>
      <c r="N495" s="26"/>
      <c r="O495" s="38"/>
      <c r="P495" s="19" t="s">
        <v>49</v>
      </c>
      <c r="Q495" s="19" t="s">
        <v>524</v>
      </c>
      <c r="R495" s="38">
        <v>45826</v>
      </c>
      <c r="S495" s="19">
        <v>6</v>
      </c>
    </row>
    <row r="496" spans="1:19" ht="14.25" customHeight="1" x14ac:dyDescent="0.3">
      <c r="A496" s="17">
        <f t="shared" si="17"/>
        <v>495</v>
      </c>
      <c r="B496" s="30">
        <v>18161542</v>
      </c>
      <c r="C496" s="19" t="s">
        <v>668</v>
      </c>
      <c r="D496" s="18">
        <v>95609460</v>
      </c>
      <c r="E496" s="18">
        <v>79611578</v>
      </c>
      <c r="F496" s="18" t="s">
        <v>333</v>
      </c>
      <c r="G496" s="18" t="s">
        <v>338</v>
      </c>
      <c r="H496" s="18">
        <v>160</v>
      </c>
      <c r="I496" s="18">
        <v>8</v>
      </c>
      <c r="J496" s="19" t="s">
        <v>541</v>
      </c>
      <c r="K496" s="21" t="s">
        <v>64</v>
      </c>
      <c r="L496" s="38"/>
      <c r="M496" s="21"/>
      <c r="N496" s="26"/>
      <c r="O496" s="38"/>
      <c r="P496" s="19" t="s">
        <v>49</v>
      </c>
      <c r="Q496" s="19" t="s">
        <v>524</v>
      </c>
      <c r="R496" s="38">
        <v>45834</v>
      </c>
      <c r="S496" s="19">
        <v>6</v>
      </c>
    </row>
    <row r="497" spans="1:19" ht="14.25" customHeight="1" x14ac:dyDescent="0.3">
      <c r="A497" s="17">
        <f t="shared" si="17"/>
        <v>496</v>
      </c>
      <c r="B497" s="30">
        <v>22485108</v>
      </c>
      <c r="C497" s="19" t="s">
        <v>674</v>
      </c>
      <c r="D497" s="18">
        <v>95747223</v>
      </c>
      <c r="E497" s="18">
        <v>79792185</v>
      </c>
      <c r="F497" s="18" t="s">
        <v>334</v>
      </c>
      <c r="G497" s="18" t="s">
        <v>339</v>
      </c>
      <c r="H497" s="18">
        <v>75</v>
      </c>
      <c r="I497" s="18">
        <v>8</v>
      </c>
      <c r="J497" s="19"/>
      <c r="K497" s="21" t="s">
        <v>64</v>
      </c>
      <c r="L497" s="38"/>
      <c r="M497" s="21"/>
      <c r="N497" s="26"/>
      <c r="O497" s="38"/>
      <c r="P497" s="19" t="s">
        <v>49</v>
      </c>
      <c r="Q497" s="19" t="s">
        <v>611</v>
      </c>
      <c r="R497" s="38">
        <v>45840</v>
      </c>
      <c r="S497" s="19">
        <v>7</v>
      </c>
    </row>
    <row r="498" spans="1:19" ht="14.25" customHeight="1" x14ac:dyDescent="0.3">
      <c r="A498" s="17">
        <f t="shared" si="17"/>
        <v>497</v>
      </c>
      <c r="B498" s="30">
        <v>22485108</v>
      </c>
      <c r="C498" s="19" t="s">
        <v>674</v>
      </c>
      <c r="D498" s="18">
        <v>95747223</v>
      </c>
      <c r="E498" s="18">
        <v>79792185</v>
      </c>
      <c r="F498" s="18" t="s">
        <v>334</v>
      </c>
      <c r="G498" s="18" t="s">
        <v>338</v>
      </c>
      <c r="H498" s="18">
        <v>160</v>
      </c>
      <c r="I498" s="18">
        <v>8</v>
      </c>
      <c r="J498" s="19" t="s">
        <v>373</v>
      </c>
      <c r="K498" s="21" t="s">
        <v>64</v>
      </c>
      <c r="L498" s="38"/>
      <c r="M498" s="21"/>
      <c r="N498" s="26"/>
      <c r="O498" s="38"/>
      <c r="P498" s="19" t="s">
        <v>49</v>
      </c>
      <c r="Q498" s="19" t="s">
        <v>611</v>
      </c>
      <c r="R498" s="38">
        <v>45845</v>
      </c>
      <c r="S498" s="19">
        <v>7</v>
      </c>
    </row>
    <row r="499" spans="1:19" ht="14.25" customHeight="1" x14ac:dyDescent="0.3">
      <c r="A499" s="17">
        <f t="shared" si="17"/>
        <v>498</v>
      </c>
      <c r="B499" s="30">
        <v>7258907</v>
      </c>
      <c r="C499" s="19" t="s">
        <v>682</v>
      </c>
      <c r="D499" s="18">
        <v>95886294</v>
      </c>
      <c r="E499" s="18">
        <v>79937463</v>
      </c>
      <c r="F499" s="18" t="s">
        <v>333</v>
      </c>
      <c r="G499" s="18" t="s">
        <v>336</v>
      </c>
      <c r="H499" s="18">
        <v>150</v>
      </c>
      <c r="I499" s="18">
        <v>8</v>
      </c>
      <c r="J499" s="19" t="s">
        <v>684</v>
      </c>
      <c r="K499" s="21" t="s">
        <v>64</v>
      </c>
      <c r="L499" s="38"/>
      <c r="M499" s="21"/>
      <c r="N499" s="26"/>
      <c r="O499" s="38"/>
      <c r="P499" s="19" t="s">
        <v>49</v>
      </c>
      <c r="Q499" s="19" t="s">
        <v>671</v>
      </c>
      <c r="R499" s="38">
        <v>45845</v>
      </c>
      <c r="S499" s="19">
        <v>7</v>
      </c>
    </row>
    <row r="500" spans="1:19" ht="14.25" customHeight="1" x14ac:dyDescent="0.3">
      <c r="A500" s="17">
        <f t="shared" si="17"/>
        <v>499</v>
      </c>
      <c r="B500" s="30">
        <v>40967837</v>
      </c>
      <c r="C500" s="19" t="s">
        <v>677</v>
      </c>
      <c r="D500" s="18">
        <v>95781352</v>
      </c>
      <c r="E500" s="18">
        <v>79836577</v>
      </c>
      <c r="F500" s="18" t="s">
        <v>334</v>
      </c>
      <c r="G500" s="18" t="s">
        <v>335</v>
      </c>
      <c r="H500" s="18">
        <v>65</v>
      </c>
      <c r="I500" s="18">
        <v>1</v>
      </c>
      <c r="J500" s="19" t="s">
        <v>529</v>
      </c>
      <c r="K500" s="21" t="s">
        <v>64</v>
      </c>
      <c r="L500" s="38"/>
      <c r="M500" s="21"/>
      <c r="N500" s="26"/>
      <c r="O500" s="38"/>
      <c r="P500" s="19" t="s">
        <v>49</v>
      </c>
      <c r="Q500" s="19" t="s">
        <v>28</v>
      </c>
      <c r="R500" s="38">
        <v>45841</v>
      </c>
      <c r="S500" s="19">
        <v>7</v>
      </c>
    </row>
    <row r="501" spans="1:19" ht="14.25" customHeight="1" x14ac:dyDescent="0.3">
      <c r="A501" s="17">
        <f t="shared" si="17"/>
        <v>500</v>
      </c>
      <c r="B501" s="30">
        <v>60969050</v>
      </c>
      <c r="C501" s="19" t="s">
        <v>678</v>
      </c>
      <c r="D501" s="18">
        <v>95803250</v>
      </c>
      <c r="E501" s="18">
        <v>79881513</v>
      </c>
      <c r="F501" s="18" t="s">
        <v>333</v>
      </c>
      <c r="G501" s="18" t="s">
        <v>335</v>
      </c>
      <c r="H501" s="18">
        <v>65</v>
      </c>
      <c r="I501" s="18">
        <v>2</v>
      </c>
      <c r="J501" s="19" t="s">
        <v>529</v>
      </c>
      <c r="K501" s="21" t="s">
        <v>64</v>
      </c>
      <c r="L501" s="38"/>
      <c r="M501" s="21"/>
      <c r="N501" s="26"/>
      <c r="O501" s="38"/>
      <c r="P501" s="19" t="s">
        <v>49</v>
      </c>
      <c r="Q501" s="19" t="s">
        <v>662</v>
      </c>
      <c r="R501" s="38">
        <v>45842</v>
      </c>
      <c r="S501" s="19">
        <v>7</v>
      </c>
    </row>
    <row r="502" spans="1:19" ht="14.25" customHeight="1" x14ac:dyDescent="0.3">
      <c r="A502" s="17">
        <f t="shared" si="17"/>
        <v>501</v>
      </c>
      <c r="B502" s="30">
        <v>42332429</v>
      </c>
      <c r="C502" s="19" t="s">
        <v>683</v>
      </c>
      <c r="D502" s="18">
        <v>95907256</v>
      </c>
      <c r="E502" s="18">
        <v>79961447</v>
      </c>
      <c r="F502" s="18" t="s">
        <v>333</v>
      </c>
      <c r="G502" s="18" t="s">
        <v>339</v>
      </c>
      <c r="H502" s="18">
        <v>75</v>
      </c>
      <c r="I502" s="18">
        <v>5</v>
      </c>
      <c r="J502" s="19" t="s">
        <v>373</v>
      </c>
      <c r="K502" s="21" t="s">
        <v>64</v>
      </c>
      <c r="L502" s="38"/>
      <c r="M502" s="21"/>
      <c r="N502" s="26"/>
      <c r="O502" s="38"/>
      <c r="P502" s="19" t="s">
        <v>49</v>
      </c>
      <c r="Q502" s="19" t="s">
        <v>662</v>
      </c>
      <c r="R502" s="38">
        <v>45846</v>
      </c>
      <c r="S502" s="19">
        <v>7</v>
      </c>
    </row>
    <row r="503" spans="1:19" ht="14.25" customHeight="1" x14ac:dyDescent="0.3">
      <c r="A503" s="17">
        <f t="shared" si="17"/>
        <v>502</v>
      </c>
      <c r="B503" s="30">
        <v>43718315</v>
      </c>
      <c r="C503" s="19" t="s">
        <v>655</v>
      </c>
      <c r="D503" s="18">
        <v>95388402</v>
      </c>
      <c r="E503" s="18">
        <v>79449533</v>
      </c>
      <c r="F503" s="18" t="s">
        <v>333</v>
      </c>
      <c r="G503" s="18" t="s">
        <v>335</v>
      </c>
      <c r="H503" s="18">
        <v>65</v>
      </c>
      <c r="I503" s="18">
        <v>2</v>
      </c>
      <c r="J503" s="19" t="s">
        <v>373</v>
      </c>
      <c r="K503" s="21" t="s">
        <v>64</v>
      </c>
      <c r="L503" s="38"/>
      <c r="M503" s="21"/>
      <c r="N503" s="26"/>
      <c r="O503" s="38"/>
      <c r="P503" s="19" t="s">
        <v>49</v>
      </c>
      <c r="Q503" s="19" t="s">
        <v>524</v>
      </c>
      <c r="R503" s="38">
        <v>45847</v>
      </c>
      <c r="S503" s="19">
        <v>7</v>
      </c>
    </row>
    <row r="504" spans="1:19" ht="14.25" customHeight="1" x14ac:dyDescent="0.3">
      <c r="A504" s="17">
        <f t="shared" si="17"/>
        <v>503</v>
      </c>
      <c r="B504" s="30">
        <v>10740659991</v>
      </c>
      <c r="C504" s="19" t="s">
        <v>689</v>
      </c>
      <c r="D504" s="18">
        <v>95946367</v>
      </c>
      <c r="E504" s="18">
        <v>79988725</v>
      </c>
      <c r="F504" s="18" t="s">
        <v>333</v>
      </c>
      <c r="G504" s="18" t="s">
        <v>342</v>
      </c>
      <c r="H504" s="18">
        <v>65</v>
      </c>
      <c r="I504" s="18">
        <v>5</v>
      </c>
      <c r="J504" s="19" t="s">
        <v>612</v>
      </c>
      <c r="K504" s="21" t="s">
        <v>64</v>
      </c>
      <c r="L504" s="38"/>
      <c r="M504" s="21"/>
      <c r="N504" s="26"/>
      <c r="O504" s="38"/>
      <c r="P504" s="19" t="s">
        <v>49</v>
      </c>
      <c r="Q504" s="19" t="s">
        <v>524</v>
      </c>
      <c r="R504" s="38">
        <v>45847</v>
      </c>
      <c r="S504" s="19">
        <v>7</v>
      </c>
    </row>
    <row r="505" spans="1:19" ht="14.25" customHeight="1" x14ac:dyDescent="0.3">
      <c r="A505" s="17">
        <f t="shared" si="17"/>
        <v>504</v>
      </c>
      <c r="B505" s="30">
        <v>60969050</v>
      </c>
      <c r="C505" s="19" t="s">
        <v>678</v>
      </c>
      <c r="D505" s="18">
        <v>95803250</v>
      </c>
      <c r="E505" s="18">
        <v>79881513</v>
      </c>
      <c r="F505" s="18" t="s">
        <v>333</v>
      </c>
      <c r="G505" s="18" t="s">
        <v>335</v>
      </c>
      <c r="H505" s="18">
        <v>65</v>
      </c>
      <c r="I505" s="18">
        <v>2</v>
      </c>
      <c r="J505" s="19" t="s">
        <v>529</v>
      </c>
      <c r="K505" s="21" t="s">
        <v>64</v>
      </c>
      <c r="L505" s="38"/>
      <c r="M505" s="21"/>
      <c r="N505" s="26"/>
      <c r="O505" s="38"/>
      <c r="P505" s="19" t="s">
        <v>49</v>
      </c>
      <c r="Q505" s="19" t="s">
        <v>662</v>
      </c>
      <c r="R505" s="38">
        <v>45848</v>
      </c>
      <c r="S505" s="19">
        <v>7</v>
      </c>
    </row>
    <row r="506" spans="1:19" ht="14.25" customHeight="1" x14ac:dyDescent="0.3">
      <c r="A506" s="17">
        <f t="shared" si="17"/>
        <v>505</v>
      </c>
      <c r="B506" s="30">
        <v>10435372258</v>
      </c>
      <c r="C506" s="19" t="s">
        <v>688</v>
      </c>
      <c r="D506" s="18">
        <v>95945723</v>
      </c>
      <c r="E506" s="18">
        <v>79988430</v>
      </c>
      <c r="F506" s="18" t="s">
        <v>333</v>
      </c>
      <c r="G506" s="18" t="s">
        <v>342</v>
      </c>
      <c r="H506" s="18">
        <f>IFERROR(VLOOKUP(G506, OBSERVACIÓN!F$2:G$151, 2, 0), " ")</f>
        <v>65</v>
      </c>
      <c r="I506" s="18">
        <v>6</v>
      </c>
      <c r="J506" s="19" t="s">
        <v>483</v>
      </c>
      <c r="K506" s="21" t="s">
        <v>64</v>
      </c>
      <c r="L506" s="38"/>
      <c r="M506" s="21"/>
      <c r="N506" s="26"/>
      <c r="O506" s="38"/>
      <c r="P506" s="19" t="s">
        <v>49</v>
      </c>
      <c r="Q506" s="19" t="s">
        <v>25</v>
      </c>
      <c r="R506" s="38">
        <v>45847</v>
      </c>
      <c r="S506" s="19">
        <f>IF(ISNUMBER(R506)=TRUE, MONTH(R506), " ")</f>
        <v>7</v>
      </c>
    </row>
    <row r="507" spans="1:19" ht="14.25" customHeight="1" x14ac:dyDescent="0.3">
      <c r="A507" s="17">
        <f t="shared" si="17"/>
        <v>506</v>
      </c>
      <c r="B507" s="30">
        <v>22485108</v>
      </c>
      <c r="C507" s="19" t="s">
        <v>674</v>
      </c>
      <c r="D507" s="18">
        <v>95921876</v>
      </c>
      <c r="E507" s="18">
        <v>79979115</v>
      </c>
      <c r="F507" s="18" t="s">
        <v>334</v>
      </c>
      <c r="G507" s="18" t="s">
        <v>338</v>
      </c>
      <c r="H507" s="18">
        <v>160</v>
      </c>
      <c r="I507" s="18">
        <v>8</v>
      </c>
      <c r="J507" s="19" t="s">
        <v>529</v>
      </c>
      <c r="K507" s="21" t="s">
        <v>64</v>
      </c>
      <c r="L507" s="38"/>
      <c r="M507" s="21"/>
      <c r="N507" s="26"/>
      <c r="O507" s="38"/>
      <c r="P507" s="19" t="s">
        <v>49</v>
      </c>
      <c r="Q507" s="19" t="s">
        <v>611</v>
      </c>
      <c r="R507" s="38">
        <v>45847</v>
      </c>
      <c r="S507" s="20">
        <v>7</v>
      </c>
    </row>
    <row r="508" spans="1:19" ht="14.25" customHeight="1" x14ac:dyDescent="0.3">
      <c r="A508" s="17">
        <f t="shared" si="17"/>
        <v>507</v>
      </c>
      <c r="B508" s="30">
        <v>7353327</v>
      </c>
      <c r="C508" s="19" t="s">
        <v>690</v>
      </c>
      <c r="D508" s="18">
        <v>95960689</v>
      </c>
      <c r="E508" s="18">
        <v>79997912</v>
      </c>
      <c r="F508" s="18" t="s">
        <v>333</v>
      </c>
      <c r="G508" s="18" t="s">
        <v>336</v>
      </c>
      <c r="H508" s="18">
        <v>150</v>
      </c>
      <c r="I508" s="18">
        <v>5</v>
      </c>
      <c r="J508" s="19" t="s">
        <v>529</v>
      </c>
      <c r="K508" s="21" t="s">
        <v>64</v>
      </c>
      <c r="L508" s="38"/>
      <c r="M508" s="21"/>
      <c r="N508" s="26"/>
      <c r="O508" s="38"/>
      <c r="P508" s="19" t="s">
        <v>49</v>
      </c>
      <c r="Q508" s="19" t="s">
        <v>518</v>
      </c>
      <c r="R508" s="38">
        <v>45848</v>
      </c>
      <c r="S508" s="20">
        <v>7</v>
      </c>
    </row>
    <row r="509" spans="1:19" ht="14.25" customHeight="1" x14ac:dyDescent="0.3">
      <c r="A509" s="17">
        <f t="shared" si="17"/>
        <v>508</v>
      </c>
      <c r="B509" s="30">
        <v>76732250</v>
      </c>
      <c r="C509" s="19" t="s">
        <v>693</v>
      </c>
      <c r="D509" s="18">
        <v>96009264</v>
      </c>
      <c r="E509" s="18">
        <v>80037345</v>
      </c>
      <c r="F509" s="18" t="s">
        <v>333</v>
      </c>
      <c r="G509" s="18" t="s">
        <v>335</v>
      </c>
      <c r="H509" s="18">
        <v>65</v>
      </c>
      <c r="I509" s="18">
        <v>1</v>
      </c>
      <c r="J509" s="19" t="s">
        <v>541</v>
      </c>
      <c r="K509" s="21" t="s">
        <v>64</v>
      </c>
      <c r="L509" s="38"/>
      <c r="M509" s="21"/>
      <c r="N509" s="26"/>
      <c r="O509" s="38"/>
      <c r="P509" s="19" t="s">
        <v>49</v>
      </c>
      <c r="Q509" s="19" t="s">
        <v>691</v>
      </c>
      <c r="R509" s="38">
        <v>45849</v>
      </c>
      <c r="S509" s="20">
        <v>7</v>
      </c>
    </row>
    <row r="510" spans="1:19" ht="14.25" customHeight="1" x14ac:dyDescent="0.3">
      <c r="A510" s="17">
        <f t="shared" si="17"/>
        <v>509</v>
      </c>
      <c r="B510" s="30">
        <v>17804644</v>
      </c>
      <c r="C510" s="19" t="s">
        <v>694</v>
      </c>
      <c r="D510" s="18">
        <v>96068411</v>
      </c>
      <c r="E510" s="18">
        <v>80078346</v>
      </c>
      <c r="F510" s="18" t="s">
        <v>334</v>
      </c>
      <c r="G510" s="18" t="s">
        <v>338</v>
      </c>
      <c r="H510" s="18">
        <v>160</v>
      </c>
      <c r="I510" s="18">
        <v>6</v>
      </c>
      <c r="J510" s="19" t="s">
        <v>475</v>
      </c>
      <c r="K510" s="21" t="s">
        <v>64</v>
      </c>
      <c r="L510" s="38"/>
      <c r="M510" s="21"/>
      <c r="N510" s="26"/>
      <c r="O510" s="38"/>
      <c r="P510" s="19" t="s">
        <v>49</v>
      </c>
      <c r="Q510" s="19" t="s">
        <v>51</v>
      </c>
      <c r="R510" s="38">
        <v>45852</v>
      </c>
      <c r="S510" s="20">
        <v>7</v>
      </c>
    </row>
    <row r="511" spans="1:19" ht="14.25" customHeight="1" x14ac:dyDescent="0.3">
      <c r="A511" s="17">
        <f t="shared" si="17"/>
        <v>510</v>
      </c>
      <c r="B511" s="30">
        <v>10409633299</v>
      </c>
      <c r="C511" s="19" t="s">
        <v>696</v>
      </c>
      <c r="D511" s="18">
        <v>96073478</v>
      </c>
      <c r="E511" s="18">
        <v>80081067</v>
      </c>
      <c r="F511" s="18" t="s">
        <v>333</v>
      </c>
      <c r="G511" s="18" t="s">
        <v>338</v>
      </c>
      <c r="H511" s="18">
        <v>160</v>
      </c>
      <c r="I511" s="18">
        <v>10</v>
      </c>
      <c r="J511" s="19" t="s">
        <v>483</v>
      </c>
      <c r="K511" s="21" t="s">
        <v>64</v>
      </c>
      <c r="L511" s="38"/>
      <c r="M511" s="21"/>
      <c r="N511" s="26"/>
      <c r="O511" s="38"/>
      <c r="P511" s="19" t="s">
        <v>49</v>
      </c>
      <c r="Q511" s="19" t="s">
        <v>611</v>
      </c>
      <c r="R511" s="38">
        <v>45852</v>
      </c>
      <c r="S511" s="20">
        <v>7</v>
      </c>
    </row>
    <row r="512" spans="1:19" ht="14.25" customHeight="1" x14ac:dyDescent="0.3">
      <c r="A512" s="17">
        <f t="shared" si="17"/>
        <v>511</v>
      </c>
      <c r="B512" s="30">
        <v>17913817</v>
      </c>
      <c r="C512" s="19" t="s">
        <v>702</v>
      </c>
      <c r="D512" s="18">
        <v>96117067</v>
      </c>
      <c r="E512" s="18">
        <v>80110322</v>
      </c>
      <c r="F512" s="18" t="s">
        <v>334</v>
      </c>
      <c r="G512" s="18" t="s">
        <v>336</v>
      </c>
      <c r="H512" s="18">
        <v>150</v>
      </c>
      <c r="I512" s="18">
        <v>4</v>
      </c>
      <c r="J512" s="19" t="s">
        <v>372</v>
      </c>
      <c r="K512" s="21" t="s">
        <v>64</v>
      </c>
      <c r="L512" s="38"/>
      <c r="M512" s="21"/>
      <c r="N512" s="26"/>
      <c r="O512" s="38"/>
      <c r="P512" s="19" t="s">
        <v>49</v>
      </c>
      <c r="Q512" s="19" t="s">
        <v>25</v>
      </c>
      <c r="R512" s="38">
        <v>45853</v>
      </c>
      <c r="S512" s="20">
        <v>7</v>
      </c>
    </row>
    <row r="513" spans="1:19" ht="14.25" customHeight="1" x14ac:dyDescent="0.3">
      <c r="A513" s="17">
        <f t="shared" si="17"/>
        <v>512</v>
      </c>
      <c r="B513" s="30">
        <v>8619749</v>
      </c>
      <c r="C513" s="19" t="s">
        <v>703</v>
      </c>
      <c r="D513" s="18">
        <v>96131605</v>
      </c>
      <c r="E513" s="18">
        <v>80145565</v>
      </c>
      <c r="F513" s="18" t="s">
        <v>333</v>
      </c>
      <c r="G513" s="18" t="s">
        <v>336</v>
      </c>
      <c r="H513" s="18">
        <v>150</v>
      </c>
      <c r="I513" s="18">
        <v>8</v>
      </c>
      <c r="J513" s="19" t="s">
        <v>634</v>
      </c>
      <c r="K513" s="21" t="s">
        <v>64</v>
      </c>
      <c r="L513" s="38"/>
      <c r="M513" s="21"/>
      <c r="N513" s="26"/>
      <c r="O513" s="38"/>
      <c r="P513" s="19" t="s">
        <v>49</v>
      </c>
      <c r="Q513" s="19" t="s">
        <v>51</v>
      </c>
      <c r="R513" s="38">
        <v>45854</v>
      </c>
      <c r="S513" s="20">
        <v>7</v>
      </c>
    </row>
    <row r="514" spans="1:19" ht="14.25" customHeight="1" x14ac:dyDescent="0.3">
      <c r="A514" s="17">
        <f t="shared" si="17"/>
        <v>513</v>
      </c>
      <c r="B514" s="30">
        <v>2891900</v>
      </c>
      <c r="C514" s="19" t="s">
        <v>676</v>
      </c>
      <c r="D514" s="18">
        <v>95782040</v>
      </c>
      <c r="E514" s="18">
        <v>79836952</v>
      </c>
      <c r="F514" s="18" t="s">
        <v>334</v>
      </c>
      <c r="G514" s="18" t="s">
        <v>336</v>
      </c>
      <c r="H514" s="18">
        <v>150</v>
      </c>
      <c r="I514" s="18">
        <v>7</v>
      </c>
      <c r="J514" s="19"/>
      <c r="K514" s="21" t="s">
        <v>64</v>
      </c>
      <c r="L514" s="38"/>
      <c r="M514" s="21"/>
      <c r="N514" s="26"/>
      <c r="O514" s="38"/>
      <c r="P514" s="19" t="s">
        <v>49</v>
      </c>
      <c r="Q514" s="19" t="s">
        <v>662</v>
      </c>
      <c r="R514" s="38">
        <v>45841</v>
      </c>
      <c r="S514" s="20">
        <v>7</v>
      </c>
    </row>
    <row r="515" spans="1:19" ht="14.25" customHeight="1" x14ac:dyDescent="0.3">
      <c r="A515" s="17">
        <f t="shared" si="17"/>
        <v>514</v>
      </c>
      <c r="B515" s="30">
        <v>18006378</v>
      </c>
      <c r="C515" s="19" t="s">
        <v>672</v>
      </c>
      <c r="D515" s="18">
        <v>95930941</v>
      </c>
      <c r="E515" s="18">
        <v>79980252</v>
      </c>
      <c r="F515" s="18" t="s">
        <v>334</v>
      </c>
      <c r="G515" s="18" t="s">
        <v>336</v>
      </c>
      <c r="H515" s="18">
        <v>150</v>
      </c>
      <c r="I515" s="18">
        <v>6</v>
      </c>
      <c r="J515" s="19" t="s">
        <v>529</v>
      </c>
      <c r="K515" s="21" t="s">
        <v>64</v>
      </c>
      <c r="L515" s="38"/>
      <c r="M515" s="21"/>
      <c r="N515" s="26"/>
      <c r="O515" s="38"/>
      <c r="P515" s="19" t="s">
        <v>49</v>
      </c>
      <c r="Q515" s="19" t="s">
        <v>671</v>
      </c>
      <c r="R515" s="38">
        <v>45847</v>
      </c>
      <c r="S515" s="20">
        <v>7</v>
      </c>
    </row>
    <row r="516" spans="1:19" ht="14.25" customHeight="1" x14ac:dyDescent="0.3">
      <c r="A516" s="17">
        <f t="shared" si="17"/>
        <v>515</v>
      </c>
      <c r="B516" s="30">
        <v>45984624</v>
      </c>
      <c r="C516" s="19" t="s">
        <v>685</v>
      </c>
      <c r="D516" s="18">
        <v>95938852</v>
      </c>
      <c r="E516" s="18">
        <v>79984045</v>
      </c>
      <c r="F516" s="18" t="s">
        <v>333</v>
      </c>
      <c r="G516" s="18" t="s">
        <v>336</v>
      </c>
      <c r="H516" s="18">
        <v>150</v>
      </c>
      <c r="I516" s="18">
        <v>4</v>
      </c>
      <c r="J516" s="19" t="s">
        <v>626</v>
      </c>
      <c r="K516" s="21" t="s">
        <v>64</v>
      </c>
      <c r="L516" s="38"/>
      <c r="M516" s="21"/>
      <c r="N516" s="26"/>
      <c r="O516" s="38"/>
      <c r="P516" s="19" t="s">
        <v>49</v>
      </c>
      <c r="Q516" s="19" t="s">
        <v>51</v>
      </c>
      <c r="R516" s="38">
        <v>45847</v>
      </c>
      <c r="S516" s="20">
        <v>7</v>
      </c>
    </row>
    <row r="517" spans="1:19" ht="14.25" customHeight="1" x14ac:dyDescent="0.3">
      <c r="A517" s="17">
        <f t="shared" ref="A517:A579" si="18">A516+1</f>
        <v>516</v>
      </c>
      <c r="B517" s="30">
        <v>60519991</v>
      </c>
      <c r="C517" s="19" t="s">
        <v>695</v>
      </c>
      <c r="D517" s="18">
        <v>96081088</v>
      </c>
      <c r="E517" s="18">
        <v>80085137</v>
      </c>
      <c r="F517" s="18" t="s">
        <v>333</v>
      </c>
      <c r="G517" s="18" t="s">
        <v>335</v>
      </c>
      <c r="H517" s="18">
        <v>65</v>
      </c>
      <c r="I517" s="18">
        <v>3</v>
      </c>
      <c r="J517" s="19" t="s">
        <v>475</v>
      </c>
      <c r="K517" s="21" t="s">
        <v>64</v>
      </c>
      <c r="L517" s="38"/>
      <c r="M517" s="21"/>
      <c r="N517" s="26"/>
      <c r="O517" s="38"/>
      <c r="P517" s="19" t="s">
        <v>49</v>
      </c>
      <c r="Q517" s="19" t="s">
        <v>611</v>
      </c>
      <c r="R517" s="38">
        <v>45852</v>
      </c>
      <c r="S517" s="20">
        <v>7</v>
      </c>
    </row>
    <row r="518" spans="1:19" ht="14.25" customHeight="1" x14ac:dyDescent="0.3">
      <c r="A518" s="17">
        <f t="shared" si="18"/>
        <v>517</v>
      </c>
      <c r="B518" s="30">
        <v>8278068</v>
      </c>
      <c r="C518" s="19" t="s">
        <v>697</v>
      </c>
      <c r="D518" s="18">
        <v>96097084</v>
      </c>
      <c r="E518" s="18">
        <v>80101104</v>
      </c>
      <c r="F518" s="18" t="s">
        <v>333</v>
      </c>
      <c r="G518" s="18" t="s">
        <v>338</v>
      </c>
      <c r="H518" s="18">
        <v>160</v>
      </c>
      <c r="I518" s="18">
        <v>7</v>
      </c>
      <c r="J518" s="19" t="s">
        <v>626</v>
      </c>
      <c r="K518" s="21" t="s">
        <v>64</v>
      </c>
      <c r="L518" s="38"/>
      <c r="M518" s="21"/>
      <c r="N518" s="26"/>
      <c r="O518" s="38"/>
      <c r="P518" s="19" t="s">
        <v>49</v>
      </c>
      <c r="Q518" s="19" t="s">
        <v>671</v>
      </c>
      <c r="R518" s="38">
        <v>45853</v>
      </c>
      <c r="S518" s="20">
        <v>7</v>
      </c>
    </row>
    <row r="519" spans="1:19" ht="14.25" customHeight="1" x14ac:dyDescent="0.3">
      <c r="A519" s="17">
        <f t="shared" si="18"/>
        <v>518</v>
      </c>
      <c r="B519" s="30">
        <v>10432298294</v>
      </c>
      <c r="C519" s="19" t="s">
        <v>698</v>
      </c>
      <c r="D519" s="18">
        <v>96098238</v>
      </c>
      <c r="E519" s="18">
        <v>80101549</v>
      </c>
      <c r="F519" s="18" t="s">
        <v>334</v>
      </c>
      <c r="G519" s="18" t="s">
        <v>336</v>
      </c>
      <c r="H519" s="18">
        <v>150</v>
      </c>
      <c r="I519" s="18">
        <v>10</v>
      </c>
      <c r="J519" s="19"/>
      <c r="K519" s="21" t="s">
        <v>64</v>
      </c>
      <c r="L519" s="38"/>
      <c r="M519" s="21"/>
      <c r="N519" s="26"/>
      <c r="O519" s="38"/>
      <c r="P519" s="19" t="s">
        <v>49</v>
      </c>
      <c r="Q519" s="19" t="s">
        <v>691</v>
      </c>
      <c r="R519" s="38">
        <v>45853</v>
      </c>
      <c r="S519" s="20">
        <v>7</v>
      </c>
    </row>
    <row r="520" spans="1:19" ht="14.25" customHeight="1" x14ac:dyDescent="0.3">
      <c r="A520" s="17">
        <f t="shared" si="18"/>
        <v>519</v>
      </c>
      <c r="B520" s="30">
        <v>43516271</v>
      </c>
      <c r="C520" s="19" t="s">
        <v>705</v>
      </c>
      <c r="D520" s="18">
        <v>96156565</v>
      </c>
      <c r="E520" s="18">
        <v>80163627</v>
      </c>
      <c r="F520" s="18" t="s">
        <v>333</v>
      </c>
      <c r="G520" s="23" t="s">
        <v>699</v>
      </c>
      <c r="H520" s="18">
        <v>155</v>
      </c>
      <c r="I520" s="18">
        <v>7</v>
      </c>
      <c r="J520" s="19"/>
      <c r="K520" s="21" t="s">
        <v>64</v>
      </c>
      <c r="L520" s="38"/>
      <c r="M520" s="21"/>
      <c r="N520" s="26"/>
      <c r="O520" s="38"/>
      <c r="P520" s="19" t="s">
        <v>49</v>
      </c>
      <c r="Q520" s="19" t="s">
        <v>611</v>
      </c>
      <c r="R520" s="38">
        <v>45855</v>
      </c>
      <c r="S520" s="20">
        <v>7</v>
      </c>
    </row>
    <row r="521" spans="1:19" ht="14.25" customHeight="1" x14ac:dyDescent="0.3">
      <c r="A521" s="17">
        <f t="shared" si="18"/>
        <v>520</v>
      </c>
      <c r="B521" s="30">
        <v>46537525</v>
      </c>
      <c r="C521" s="19" t="s">
        <v>707</v>
      </c>
      <c r="D521" s="18">
        <v>96167734</v>
      </c>
      <c r="E521" s="18">
        <v>80167865</v>
      </c>
      <c r="F521" s="18" t="s">
        <v>333</v>
      </c>
      <c r="G521" s="18" t="s">
        <v>336</v>
      </c>
      <c r="H521" s="18">
        <v>150</v>
      </c>
      <c r="I521" s="18">
        <v>4</v>
      </c>
      <c r="J521" s="19" t="s">
        <v>475</v>
      </c>
      <c r="K521" s="21" t="s">
        <v>64</v>
      </c>
      <c r="L521" s="38"/>
      <c r="M521" s="21"/>
      <c r="N521" s="26"/>
      <c r="O521" s="38"/>
      <c r="P521" s="19" t="s">
        <v>49</v>
      </c>
      <c r="Q521" s="19" t="s">
        <v>691</v>
      </c>
      <c r="R521" s="38">
        <v>45855</v>
      </c>
      <c r="S521" s="20">
        <v>7</v>
      </c>
    </row>
    <row r="522" spans="1:19" ht="14.25" customHeight="1" x14ac:dyDescent="0.3">
      <c r="A522" s="17">
        <f t="shared" si="18"/>
        <v>521</v>
      </c>
      <c r="B522" s="30">
        <v>75653332</v>
      </c>
      <c r="C522" s="19" t="s">
        <v>709</v>
      </c>
      <c r="D522" s="18">
        <v>96194505</v>
      </c>
      <c r="E522" s="18">
        <v>80194368</v>
      </c>
      <c r="F522" s="18" t="s">
        <v>333</v>
      </c>
      <c r="G522" s="18" t="s">
        <v>335</v>
      </c>
      <c r="H522" s="18">
        <v>65</v>
      </c>
      <c r="I522" s="18">
        <v>1</v>
      </c>
      <c r="J522" s="19" t="s">
        <v>626</v>
      </c>
      <c r="K522" s="21" t="s">
        <v>64</v>
      </c>
      <c r="L522" s="38"/>
      <c r="M522" s="21"/>
      <c r="N522" s="26"/>
      <c r="O522" s="38"/>
      <c r="P522" s="19" t="s">
        <v>49</v>
      </c>
      <c r="Q522" s="19" t="s">
        <v>518</v>
      </c>
      <c r="R522" s="38">
        <v>45856</v>
      </c>
      <c r="S522" s="20">
        <v>7</v>
      </c>
    </row>
    <row r="523" spans="1:19" ht="14.25" customHeight="1" x14ac:dyDescent="0.3">
      <c r="A523" s="17">
        <f t="shared" si="18"/>
        <v>522</v>
      </c>
      <c r="B523" s="30">
        <v>10004365</v>
      </c>
      <c r="C523" s="19" t="s">
        <v>710</v>
      </c>
      <c r="D523" s="18">
        <v>96232021</v>
      </c>
      <c r="E523" s="18">
        <v>80212025</v>
      </c>
      <c r="F523" s="18" t="s">
        <v>333</v>
      </c>
      <c r="G523" s="18" t="s">
        <v>336</v>
      </c>
      <c r="H523" s="18">
        <v>150</v>
      </c>
      <c r="I523" s="18">
        <v>8</v>
      </c>
      <c r="J523" s="19" t="s">
        <v>372</v>
      </c>
      <c r="K523" s="21" t="s">
        <v>64</v>
      </c>
      <c r="L523" s="38"/>
      <c r="M523" s="21"/>
      <c r="N523" s="26"/>
      <c r="O523" s="38"/>
      <c r="P523" s="19" t="s">
        <v>49</v>
      </c>
      <c r="Q523" s="19" t="s">
        <v>25</v>
      </c>
      <c r="R523" s="38">
        <v>45857</v>
      </c>
      <c r="S523" s="20">
        <v>7</v>
      </c>
    </row>
    <row r="524" spans="1:19" ht="14.25" customHeight="1" x14ac:dyDescent="0.3">
      <c r="A524" s="17">
        <f t="shared" si="18"/>
        <v>523</v>
      </c>
      <c r="B524" s="30">
        <v>46480391</v>
      </c>
      <c r="C524" s="19" t="s">
        <v>686</v>
      </c>
      <c r="D524" s="18">
        <v>95939505</v>
      </c>
      <c r="E524" s="18">
        <v>79984323</v>
      </c>
      <c r="F524" s="18" t="s">
        <v>333</v>
      </c>
      <c r="G524" s="18" t="s">
        <v>336</v>
      </c>
      <c r="H524" s="18">
        <v>150</v>
      </c>
      <c r="I524" s="18">
        <v>7</v>
      </c>
      <c r="J524" s="19" t="s">
        <v>529</v>
      </c>
      <c r="K524" s="21" t="s">
        <v>64</v>
      </c>
      <c r="L524" s="38"/>
      <c r="M524" s="21"/>
      <c r="N524" s="26"/>
      <c r="O524" s="38"/>
      <c r="P524" s="19" t="s">
        <v>49</v>
      </c>
      <c r="Q524" s="19" t="s">
        <v>687</v>
      </c>
      <c r="R524" s="38">
        <v>45847</v>
      </c>
      <c r="S524" s="20">
        <v>7</v>
      </c>
    </row>
    <row r="525" spans="1:19" ht="14.25" customHeight="1" x14ac:dyDescent="0.3">
      <c r="A525" s="17">
        <f t="shared" si="18"/>
        <v>524</v>
      </c>
      <c r="B525" s="30">
        <v>21293147</v>
      </c>
      <c r="C525" s="19" t="s">
        <v>692</v>
      </c>
      <c r="D525" s="18">
        <v>95997207</v>
      </c>
      <c r="E525" s="18">
        <v>80030565</v>
      </c>
      <c r="F525" s="18" t="s">
        <v>333</v>
      </c>
      <c r="G525" s="18" t="s">
        <v>336</v>
      </c>
      <c r="H525" s="18">
        <v>150</v>
      </c>
      <c r="I525" s="18">
        <v>9</v>
      </c>
      <c r="J525" s="19" t="s">
        <v>529</v>
      </c>
      <c r="K525" s="21" t="s">
        <v>64</v>
      </c>
      <c r="L525" s="38"/>
      <c r="M525" s="21"/>
      <c r="N525" s="26"/>
      <c r="O525" s="38"/>
      <c r="P525" s="19" t="s">
        <v>49</v>
      </c>
      <c r="Q525" s="19" t="s">
        <v>28</v>
      </c>
      <c r="R525" s="38">
        <v>45849</v>
      </c>
      <c r="S525" s="20">
        <v>7</v>
      </c>
    </row>
    <row r="526" spans="1:19" ht="14.25" customHeight="1" x14ac:dyDescent="0.3">
      <c r="A526" s="17">
        <f t="shared" si="18"/>
        <v>525</v>
      </c>
      <c r="B526" s="30">
        <v>10200405418</v>
      </c>
      <c r="C526" s="19" t="s">
        <v>700</v>
      </c>
      <c r="D526" s="18">
        <v>96107860</v>
      </c>
      <c r="E526" s="18">
        <v>80106311</v>
      </c>
      <c r="F526" s="18" t="s">
        <v>334</v>
      </c>
      <c r="G526" s="18" t="s">
        <v>389</v>
      </c>
      <c r="H526" s="18">
        <v>70</v>
      </c>
      <c r="I526" s="18">
        <v>3</v>
      </c>
      <c r="J526" s="19" t="s">
        <v>529</v>
      </c>
      <c r="K526" s="21" t="s">
        <v>64</v>
      </c>
      <c r="L526" s="38"/>
      <c r="M526" s="21"/>
      <c r="N526" s="26"/>
      <c r="O526" s="38"/>
      <c r="P526" s="19" t="s">
        <v>49</v>
      </c>
      <c r="Q526" s="19" t="s">
        <v>54</v>
      </c>
      <c r="R526" s="38">
        <v>45853</v>
      </c>
      <c r="S526" s="20">
        <v>7</v>
      </c>
    </row>
    <row r="527" spans="1:19" ht="14.25" customHeight="1" x14ac:dyDescent="0.3">
      <c r="A527" s="17">
        <f t="shared" si="18"/>
        <v>526</v>
      </c>
      <c r="B527" s="30">
        <v>10464803918</v>
      </c>
      <c r="C527" s="19" t="s">
        <v>686</v>
      </c>
      <c r="D527" s="18">
        <v>95939505</v>
      </c>
      <c r="E527" s="18">
        <v>79984323</v>
      </c>
      <c r="F527" s="18" t="s">
        <v>333</v>
      </c>
      <c r="G527" s="18" t="s">
        <v>704</v>
      </c>
      <c r="H527" s="18">
        <v>150</v>
      </c>
      <c r="I527" s="18">
        <v>7</v>
      </c>
      <c r="J527" s="19" t="s">
        <v>529</v>
      </c>
      <c r="K527" s="21" t="s">
        <v>64</v>
      </c>
      <c r="L527" s="38"/>
      <c r="M527" s="21"/>
      <c r="N527" s="26"/>
      <c r="O527" s="38"/>
      <c r="P527" s="19" t="s">
        <v>49</v>
      </c>
      <c r="Q527" s="19" t="s">
        <v>687</v>
      </c>
      <c r="R527" s="38">
        <v>45854</v>
      </c>
      <c r="S527" s="20">
        <v>7</v>
      </c>
    </row>
    <row r="528" spans="1:19" ht="14.25" customHeight="1" x14ac:dyDescent="0.3">
      <c r="A528" s="17">
        <f t="shared" si="18"/>
        <v>527</v>
      </c>
      <c r="B528" s="30">
        <v>72296921</v>
      </c>
      <c r="C528" s="19" t="s">
        <v>706</v>
      </c>
      <c r="D528" s="18">
        <v>96173041</v>
      </c>
      <c r="E528" s="18">
        <v>80171703</v>
      </c>
      <c r="F528" s="18" t="s">
        <v>333</v>
      </c>
      <c r="G528" s="18" t="s">
        <v>336</v>
      </c>
      <c r="H528" s="18">
        <v>150</v>
      </c>
      <c r="I528" s="18">
        <v>5</v>
      </c>
      <c r="J528" s="19" t="s">
        <v>373</v>
      </c>
      <c r="K528" s="21" t="s">
        <v>64</v>
      </c>
      <c r="L528" s="38"/>
      <c r="M528" s="21"/>
      <c r="N528" s="26"/>
      <c r="O528" s="38"/>
      <c r="P528" s="19" t="s">
        <v>49</v>
      </c>
      <c r="Q528" s="19" t="s">
        <v>687</v>
      </c>
      <c r="R528" s="38">
        <v>45855</v>
      </c>
      <c r="S528" s="20">
        <v>7</v>
      </c>
    </row>
    <row r="529" spans="1:19" ht="14.25" customHeight="1" x14ac:dyDescent="0.3">
      <c r="A529" s="17">
        <f t="shared" si="18"/>
        <v>528</v>
      </c>
      <c r="B529" s="30">
        <v>46537525</v>
      </c>
      <c r="C529" s="19" t="s">
        <v>707</v>
      </c>
      <c r="D529" s="18">
        <v>96167734</v>
      </c>
      <c r="E529" s="18">
        <v>80205722</v>
      </c>
      <c r="F529" s="18" t="s">
        <v>333</v>
      </c>
      <c r="G529" s="18" t="s">
        <v>336</v>
      </c>
      <c r="H529" s="18">
        <v>150</v>
      </c>
      <c r="I529" s="18">
        <v>4</v>
      </c>
      <c r="J529" s="19" t="s">
        <v>373</v>
      </c>
      <c r="K529" s="21" t="s">
        <v>64</v>
      </c>
      <c r="L529" s="38"/>
      <c r="M529" s="21"/>
      <c r="N529" s="26"/>
      <c r="O529" s="38"/>
      <c r="P529" s="19" t="s">
        <v>49</v>
      </c>
      <c r="Q529" s="19" t="s">
        <v>691</v>
      </c>
      <c r="R529" s="38">
        <v>45857</v>
      </c>
      <c r="S529" s="20">
        <v>7</v>
      </c>
    </row>
    <row r="530" spans="1:19" ht="14.25" customHeight="1" x14ac:dyDescent="0.3">
      <c r="A530" s="17">
        <f t="shared" si="18"/>
        <v>529</v>
      </c>
      <c r="B530" s="30">
        <v>40337644</v>
      </c>
      <c r="C530" s="19" t="s">
        <v>712</v>
      </c>
      <c r="D530" s="18">
        <v>96261131</v>
      </c>
      <c r="E530" s="18">
        <v>80240793</v>
      </c>
      <c r="F530" s="18" t="s">
        <v>333</v>
      </c>
      <c r="G530" s="23" t="s">
        <v>680</v>
      </c>
      <c r="H530" s="18">
        <v>165</v>
      </c>
      <c r="I530" s="18">
        <v>8</v>
      </c>
      <c r="J530" s="19" t="s">
        <v>416</v>
      </c>
      <c r="K530" s="21" t="s">
        <v>64</v>
      </c>
      <c r="L530" s="38"/>
      <c r="M530" s="21"/>
      <c r="N530" s="26"/>
      <c r="O530" s="38"/>
      <c r="P530" s="19" t="s">
        <v>49</v>
      </c>
      <c r="Q530" s="19" t="s">
        <v>687</v>
      </c>
      <c r="R530" s="38">
        <v>45859</v>
      </c>
      <c r="S530" s="20">
        <v>7</v>
      </c>
    </row>
    <row r="531" spans="1:19" ht="14.25" customHeight="1" x14ac:dyDescent="0.3">
      <c r="A531" s="17">
        <f t="shared" si="18"/>
        <v>530</v>
      </c>
      <c r="B531" s="30">
        <v>17167486843</v>
      </c>
      <c r="C531" s="19" t="s">
        <v>715</v>
      </c>
      <c r="D531" s="18">
        <v>96305808</v>
      </c>
      <c r="E531" s="18">
        <v>80264562</v>
      </c>
      <c r="F531" s="18" t="s">
        <v>333</v>
      </c>
      <c r="G531" s="18" t="s">
        <v>343</v>
      </c>
      <c r="H531" s="18">
        <v>70</v>
      </c>
      <c r="I531" s="18">
        <v>7</v>
      </c>
      <c r="J531" s="19" t="s">
        <v>541</v>
      </c>
      <c r="K531" s="21" t="s">
        <v>64</v>
      </c>
      <c r="L531" s="38"/>
      <c r="M531" s="21"/>
      <c r="N531" s="26"/>
      <c r="O531" s="38"/>
      <c r="P531" s="19" t="s">
        <v>49</v>
      </c>
      <c r="Q531" s="19" t="s">
        <v>691</v>
      </c>
      <c r="R531" s="38">
        <v>45860</v>
      </c>
      <c r="S531" s="20">
        <v>7</v>
      </c>
    </row>
    <row r="532" spans="1:19" ht="14.25" customHeight="1" x14ac:dyDescent="0.3">
      <c r="A532" s="17">
        <f t="shared" si="18"/>
        <v>531</v>
      </c>
      <c r="B532" s="30">
        <v>21293147</v>
      </c>
      <c r="C532" s="19" t="s">
        <v>692</v>
      </c>
      <c r="D532" s="18">
        <v>96316034</v>
      </c>
      <c r="E532" s="18">
        <v>80269898</v>
      </c>
      <c r="F532" s="18" t="s">
        <v>333</v>
      </c>
      <c r="G532" s="18" t="s">
        <v>336</v>
      </c>
      <c r="H532" s="18">
        <v>150</v>
      </c>
      <c r="I532" s="18">
        <v>9</v>
      </c>
      <c r="J532" s="19" t="s">
        <v>373</v>
      </c>
      <c r="K532" s="21" t="s">
        <v>64</v>
      </c>
      <c r="L532" s="38"/>
      <c r="M532" s="21"/>
      <c r="N532" s="26"/>
      <c r="O532" s="38"/>
      <c r="P532" s="19" t="s">
        <v>49</v>
      </c>
      <c r="Q532" s="19" t="s">
        <v>28</v>
      </c>
      <c r="R532" s="38">
        <v>45861</v>
      </c>
      <c r="S532" s="20">
        <v>7</v>
      </c>
    </row>
    <row r="533" spans="1:19" ht="14.25" customHeight="1" x14ac:dyDescent="0.3">
      <c r="A533" s="17">
        <f t="shared" si="18"/>
        <v>532</v>
      </c>
      <c r="B533" s="30">
        <v>72147623</v>
      </c>
      <c r="C533" s="23" t="s">
        <v>716</v>
      </c>
      <c r="D533" s="18">
        <v>96348692</v>
      </c>
      <c r="E533" s="18">
        <v>80304498</v>
      </c>
      <c r="F533" s="18" t="s">
        <v>334</v>
      </c>
      <c r="G533" s="18" t="s">
        <v>338</v>
      </c>
      <c r="H533" s="18">
        <v>160</v>
      </c>
      <c r="I533" s="18"/>
      <c r="J533" s="19" t="s">
        <v>372</v>
      </c>
      <c r="K533" s="21" t="s">
        <v>64</v>
      </c>
      <c r="L533" s="38"/>
      <c r="M533" s="21"/>
      <c r="N533" s="26"/>
      <c r="O533" s="38"/>
      <c r="P533" s="19" t="s">
        <v>49</v>
      </c>
      <c r="Q533" s="19" t="s">
        <v>58</v>
      </c>
      <c r="R533" s="38">
        <v>45862</v>
      </c>
      <c r="S533" s="20">
        <v>7</v>
      </c>
    </row>
    <row r="534" spans="1:19" ht="14.25" customHeight="1" x14ac:dyDescent="0.3">
      <c r="A534" s="17">
        <f t="shared" si="18"/>
        <v>533</v>
      </c>
      <c r="B534" s="30">
        <v>47723169</v>
      </c>
      <c r="C534" s="19" t="s">
        <v>708</v>
      </c>
      <c r="D534" s="18">
        <v>96186549</v>
      </c>
      <c r="E534" s="18">
        <v>80190550</v>
      </c>
      <c r="F534" s="18" t="s">
        <v>333</v>
      </c>
      <c r="G534" s="18" t="s">
        <v>335</v>
      </c>
      <c r="H534" s="18">
        <v>65</v>
      </c>
      <c r="I534" s="18">
        <v>9</v>
      </c>
      <c r="J534" s="19" t="s">
        <v>529</v>
      </c>
      <c r="K534" s="21" t="s">
        <v>64</v>
      </c>
      <c r="L534" s="38"/>
      <c r="M534" s="21"/>
      <c r="N534" s="26"/>
      <c r="O534" s="38"/>
      <c r="P534" s="19" t="s">
        <v>49</v>
      </c>
      <c r="Q534" s="19" t="s">
        <v>51</v>
      </c>
      <c r="R534" s="38">
        <v>45856</v>
      </c>
      <c r="S534" s="20">
        <v>7</v>
      </c>
    </row>
    <row r="535" spans="1:19" ht="14.25" customHeight="1" x14ac:dyDescent="0.3">
      <c r="A535" s="17">
        <f t="shared" si="18"/>
        <v>534</v>
      </c>
      <c r="B535" s="30">
        <v>7836106</v>
      </c>
      <c r="C535" s="19" t="s">
        <v>711</v>
      </c>
      <c r="D535" s="18">
        <v>96263853</v>
      </c>
      <c r="E535" s="18">
        <v>80242216</v>
      </c>
      <c r="F535" s="18" t="s">
        <v>333</v>
      </c>
      <c r="G535" s="18" t="s">
        <v>339</v>
      </c>
      <c r="H535" s="18">
        <v>75</v>
      </c>
      <c r="I535" s="18">
        <v>5</v>
      </c>
      <c r="J535" s="19" t="s">
        <v>626</v>
      </c>
      <c r="K535" s="21" t="s">
        <v>64</v>
      </c>
      <c r="L535" s="38"/>
      <c r="M535" s="21"/>
      <c r="N535" s="26"/>
      <c r="O535" s="38"/>
      <c r="P535" s="19" t="s">
        <v>49</v>
      </c>
      <c r="Q535" s="19" t="s">
        <v>58</v>
      </c>
      <c r="R535" s="38">
        <v>45859</v>
      </c>
      <c r="S535" s="20">
        <v>7</v>
      </c>
    </row>
    <row r="536" spans="1:19" ht="14.25" customHeight="1" x14ac:dyDescent="0.3">
      <c r="A536" s="17">
        <f t="shared" si="18"/>
        <v>535</v>
      </c>
      <c r="B536" s="30">
        <v>10404025193</v>
      </c>
      <c r="C536" s="19" t="s">
        <v>713</v>
      </c>
      <c r="D536" s="18">
        <v>96300070</v>
      </c>
      <c r="E536" s="18">
        <v>80262448</v>
      </c>
      <c r="F536" s="18" t="s">
        <v>333</v>
      </c>
      <c r="G536" s="18" t="s">
        <v>336</v>
      </c>
      <c r="H536" s="18">
        <v>150</v>
      </c>
      <c r="I536" s="18">
        <v>8</v>
      </c>
      <c r="J536" s="19" t="s">
        <v>373</v>
      </c>
      <c r="K536" s="21" t="s">
        <v>64</v>
      </c>
      <c r="L536" s="38"/>
      <c r="M536" s="21"/>
      <c r="N536" s="26"/>
      <c r="O536" s="38"/>
      <c r="P536" s="19" t="s">
        <v>49</v>
      </c>
      <c r="Q536" s="19" t="s">
        <v>54</v>
      </c>
      <c r="R536" s="38">
        <v>45860</v>
      </c>
      <c r="S536" s="20">
        <v>7</v>
      </c>
    </row>
    <row r="537" spans="1:19" ht="14.25" customHeight="1" x14ac:dyDescent="0.3">
      <c r="A537" s="17">
        <f t="shared" si="18"/>
        <v>536</v>
      </c>
      <c r="B537" s="30">
        <v>45317632</v>
      </c>
      <c r="C537" s="19" t="s">
        <v>717</v>
      </c>
      <c r="D537" s="18">
        <v>96365773</v>
      </c>
      <c r="E537" s="18">
        <v>80325455</v>
      </c>
      <c r="F537" s="18" t="s">
        <v>333</v>
      </c>
      <c r="G537" s="18" t="s">
        <v>338</v>
      </c>
      <c r="H537" s="18">
        <v>160</v>
      </c>
      <c r="I537" s="18">
        <v>10</v>
      </c>
      <c r="J537" s="19" t="s">
        <v>529</v>
      </c>
      <c r="K537" s="21" t="s">
        <v>64</v>
      </c>
      <c r="L537" s="38"/>
      <c r="M537" s="21"/>
      <c r="N537" s="26"/>
      <c r="O537" s="38"/>
      <c r="P537" s="19" t="s">
        <v>49</v>
      </c>
      <c r="Q537" s="19" t="s">
        <v>51</v>
      </c>
      <c r="R537" s="38">
        <v>45863</v>
      </c>
      <c r="S537" s="20">
        <v>7</v>
      </c>
    </row>
    <row r="538" spans="1:19" ht="14.25" customHeight="1" x14ac:dyDescent="0.3">
      <c r="A538" s="17">
        <f t="shared" si="18"/>
        <v>537</v>
      </c>
      <c r="B538" s="30">
        <v>74094040</v>
      </c>
      <c r="C538" s="19" t="s">
        <v>721</v>
      </c>
      <c r="D538" s="18">
        <v>96448178</v>
      </c>
      <c r="E538" s="18">
        <v>80363191</v>
      </c>
      <c r="F538" s="18" t="s">
        <v>333</v>
      </c>
      <c r="G538" s="18" t="s">
        <v>336</v>
      </c>
      <c r="H538" s="18">
        <v>150</v>
      </c>
      <c r="I538" s="18">
        <v>8</v>
      </c>
      <c r="J538" s="19" t="s">
        <v>529</v>
      </c>
      <c r="K538" s="21" t="s">
        <v>64</v>
      </c>
      <c r="L538" s="38"/>
      <c r="M538" s="21"/>
      <c r="N538" s="26"/>
      <c r="O538" s="38"/>
      <c r="P538" s="19" t="s">
        <v>49</v>
      </c>
      <c r="Q538" s="19" t="s">
        <v>524</v>
      </c>
      <c r="R538" s="38">
        <v>45867</v>
      </c>
      <c r="S538" s="20">
        <v>7</v>
      </c>
    </row>
    <row r="539" spans="1:19" ht="14.25" customHeight="1" x14ac:dyDescent="0.3">
      <c r="A539" s="17">
        <f t="shared" si="18"/>
        <v>538</v>
      </c>
      <c r="B539" s="30">
        <v>27679046</v>
      </c>
      <c r="C539" s="19" t="s">
        <v>723</v>
      </c>
      <c r="D539" s="18">
        <v>96477788</v>
      </c>
      <c r="E539">
        <v>80400796</v>
      </c>
      <c r="F539" s="18" t="s">
        <v>333</v>
      </c>
      <c r="G539" s="18" t="s">
        <v>335</v>
      </c>
      <c r="H539" s="18">
        <v>65</v>
      </c>
      <c r="I539" s="18">
        <v>5</v>
      </c>
      <c r="J539" s="19" t="s">
        <v>373</v>
      </c>
      <c r="K539" s="21" t="s">
        <v>64</v>
      </c>
      <c r="L539" s="38"/>
      <c r="M539" s="21"/>
      <c r="N539" s="26"/>
      <c r="O539" s="38"/>
      <c r="P539" s="19" t="s">
        <v>49</v>
      </c>
      <c r="Q539" s="19" t="s">
        <v>54</v>
      </c>
      <c r="R539" s="38">
        <v>45868</v>
      </c>
      <c r="S539" s="20">
        <v>7</v>
      </c>
    </row>
    <row r="540" spans="1:19" ht="14.25" customHeight="1" x14ac:dyDescent="0.3">
      <c r="A540" s="17">
        <f t="shared" si="18"/>
        <v>539</v>
      </c>
      <c r="B540" s="30">
        <v>60832838</v>
      </c>
      <c r="C540" s="19" t="s">
        <v>714</v>
      </c>
      <c r="D540" s="18">
        <v>96301296</v>
      </c>
      <c r="E540" s="18">
        <v>80262915</v>
      </c>
      <c r="F540" s="18" t="s">
        <v>333</v>
      </c>
      <c r="G540" s="18" t="s">
        <v>339</v>
      </c>
      <c r="H540" s="18">
        <v>75</v>
      </c>
      <c r="I540" s="18">
        <v>5</v>
      </c>
      <c r="J540" s="19"/>
      <c r="K540" s="21" t="s">
        <v>64</v>
      </c>
      <c r="L540" s="38"/>
      <c r="M540" s="21"/>
      <c r="N540" s="26"/>
      <c r="O540" s="38"/>
      <c r="P540" s="19" t="s">
        <v>49</v>
      </c>
      <c r="Q540" s="19" t="s">
        <v>25</v>
      </c>
      <c r="R540" s="38">
        <v>45860</v>
      </c>
      <c r="S540" s="20">
        <v>7</v>
      </c>
    </row>
    <row r="541" spans="1:19" ht="14.25" customHeight="1" x14ac:dyDescent="0.3">
      <c r="A541" s="17">
        <f t="shared" si="18"/>
        <v>540</v>
      </c>
      <c r="B541" s="30">
        <v>45620825</v>
      </c>
      <c r="C541" s="19" t="s">
        <v>75</v>
      </c>
      <c r="D541" s="18">
        <v>96561994</v>
      </c>
      <c r="E541" s="18">
        <v>80482086</v>
      </c>
      <c r="F541" s="18" t="s">
        <v>333</v>
      </c>
      <c r="G541" s="18" t="s">
        <v>724</v>
      </c>
      <c r="H541" s="18">
        <v>90</v>
      </c>
      <c r="I541" s="18">
        <v>7</v>
      </c>
      <c r="J541" s="19" t="s">
        <v>373</v>
      </c>
      <c r="K541" s="21" t="s">
        <v>64</v>
      </c>
      <c r="L541" s="38"/>
      <c r="M541" s="21"/>
      <c r="N541" s="26"/>
      <c r="O541" s="38"/>
      <c r="P541" s="19" t="s">
        <v>49</v>
      </c>
      <c r="Q541" s="19" t="s">
        <v>58</v>
      </c>
      <c r="R541" s="38">
        <v>45871</v>
      </c>
      <c r="S541" s="20">
        <v>8</v>
      </c>
    </row>
    <row r="542" spans="1:19" ht="14.25" customHeight="1" x14ac:dyDescent="0.3">
      <c r="A542" s="17">
        <f t="shared" si="18"/>
        <v>541</v>
      </c>
      <c r="B542" s="30">
        <v>45620825</v>
      </c>
      <c r="C542" s="19" t="s">
        <v>75</v>
      </c>
      <c r="D542" s="18">
        <v>96561994</v>
      </c>
      <c r="E542" s="18">
        <v>80482086</v>
      </c>
      <c r="F542" s="18" t="s">
        <v>333</v>
      </c>
      <c r="G542" s="23" t="s">
        <v>724</v>
      </c>
      <c r="H542" s="18">
        <v>90</v>
      </c>
      <c r="I542" s="18">
        <v>7</v>
      </c>
      <c r="J542" s="19" t="s">
        <v>373</v>
      </c>
      <c r="K542" s="21" t="s">
        <v>64</v>
      </c>
      <c r="L542" s="38"/>
      <c r="M542" s="21"/>
      <c r="N542" s="26"/>
      <c r="O542" s="38"/>
      <c r="P542" s="19" t="s">
        <v>49</v>
      </c>
      <c r="Q542" s="19" t="s">
        <v>58</v>
      </c>
      <c r="R542" s="38">
        <v>45873</v>
      </c>
      <c r="S542" s="20">
        <v>8</v>
      </c>
    </row>
    <row r="543" spans="1:19" ht="14.25" customHeight="1" x14ac:dyDescent="0.3">
      <c r="A543" s="17">
        <f t="shared" si="18"/>
        <v>542</v>
      </c>
      <c r="B543" s="30">
        <v>16503138</v>
      </c>
      <c r="C543" s="19" t="s">
        <v>727</v>
      </c>
      <c r="D543" s="18">
        <v>96597568</v>
      </c>
      <c r="E543" s="18">
        <v>80519559</v>
      </c>
      <c r="F543" s="18" t="s">
        <v>333</v>
      </c>
      <c r="G543" s="18" t="s">
        <v>336</v>
      </c>
      <c r="H543" s="18">
        <v>150</v>
      </c>
      <c r="I543" s="18">
        <v>7</v>
      </c>
      <c r="J543" s="19"/>
      <c r="K543" s="21" t="s">
        <v>64</v>
      </c>
      <c r="L543" s="38"/>
      <c r="M543" s="21"/>
      <c r="N543" s="26"/>
      <c r="O543" s="38"/>
      <c r="P543" s="19" t="s">
        <v>49</v>
      </c>
      <c r="Q543" s="19" t="s">
        <v>524</v>
      </c>
      <c r="R543" s="38">
        <v>45873</v>
      </c>
      <c r="S543" s="20">
        <v>8</v>
      </c>
    </row>
    <row r="544" spans="1:19" ht="14.25" customHeight="1" x14ac:dyDescent="0.3">
      <c r="A544" s="17">
        <f t="shared" si="18"/>
        <v>543</v>
      </c>
      <c r="B544" s="30">
        <v>40179556</v>
      </c>
      <c r="C544" s="19" t="s">
        <v>726</v>
      </c>
      <c r="D544" s="18">
        <v>96588796</v>
      </c>
      <c r="E544" s="18">
        <v>80514106</v>
      </c>
      <c r="F544" s="18" t="s">
        <v>333</v>
      </c>
      <c r="G544" s="18" t="s">
        <v>338</v>
      </c>
      <c r="H544" s="18">
        <v>160</v>
      </c>
      <c r="I544" s="18">
        <v>7</v>
      </c>
      <c r="J544" s="19" t="s">
        <v>373</v>
      </c>
      <c r="K544" s="21" t="s">
        <v>64</v>
      </c>
      <c r="L544" s="38"/>
      <c r="M544" s="21"/>
      <c r="N544" s="26"/>
      <c r="O544" s="38"/>
      <c r="P544" s="19" t="s">
        <v>49</v>
      </c>
      <c r="Q544" s="19" t="s">
        <v>51</v>
      </c>
      <c r="R544" s="38">
        <v>45873</v>
      </c>
      <c r="S544" s="20">
        <v>8</v>
      </c>
    </row>
    <row r="545" spans="1:19" ht="14.25" customHeight="1" x14ac:dyDescent="0.3">
      <c r="A545" s="17">
        <f t="shared" si="18"/>
        <v>544</v>
      </c>
      <c r="B545" s="30">
        <v>48035260</v>
      </c>
      <c r="C545" s="19" t="s">
        <v>728</v>
      </c>
      <c r="D545" s="18">
        <v>96598918</v>
      </c>
      <c r="E545" s="18">
        <v>80520567</v>
      </c>
      <c r="F545" s="18" t="s">
        <v>333</v>
      </c>
      <c r="G545" s="18" t="s">
        <v>335</v>
      </c>
      <c r="H545" s="18">
        <v>65</v>
      </c>
      <c r="I545" s="18">
        <v>4</v>
      </c>
      <c r="J545" s="19" t="s">
        <v>602</v>
      </c>
      <c r="K545" s="21" t="s">
        <v>64</v>
      </c>
      <c r="L545" s="38"/>
      <c r="M545" s="21"/>
      <c r="N545" s="26"/>
      <c r="O545" s="38"/>
      <c r="P545" s="19" t="s">
        <v>49</v>
      </c>
      <c r="Q545" s="19" t="s">
        <v>518</v>
      </c>
      <c r="R545" s="38">
        <v>45873</v>
      </c>
      <c r="S545" s="20">
        <v>8</v>
      </c>
    </row>
    <row r="546" spans="1:19" ht="14.25" customHeight="1" x14ac:dyDescent="0.3">
      <c r="A546" s="17">
        <f t="shared" si="18"/>
        <v>545</v>
      </c>
      <c r="B546" s="23">
        <v>10180451485</v>
      </c>
      <c r="C546" s="19" t="s">
        <v>729</v>
      </c>
      <c r="D546" s="18">
        <v>96603422</v>
      </c>
      <c r="E546" s="18">
        <v>80522907</v>
      </c>
      <c r="F546" s="18" t="s">
        <v>333</v>
      </c>
      <c r="G546" s="18" t="s">
        <v>336</v>
      </c>
      <c r="H546" s="18">
        <v>150</v>
      </c>
      <c r="I546" s="18">
        <v>5</v>
      </c>
      <c r="J546" s="19" t="s">
        <v>529</v>
      </c>
      <c r="K546" s="21" t="s">
        <v>64</v>
      </c>
      <c r="L546" s="38"/>
      <c r="M546" s="21"/>
      <c r="N546" s="26"/>
      <c r="O546" s="38"/>
      <c r="P546" s="19" t="s">
        <v>49</v>
      </c>
      <c r="Q546" s="19" t="s">
        <v>58</v>
      </c>
      <c r="R546" s="38">
        <v>45873</v>
      </c>
      <c r="S546" s="20">
        <v>8</v>
      </c>
    </row>
    <row r="547" spans="1:19" ht="14.25" customHeight="1" x14ac:dyDescent="0.3">
      <c r="A547" s="17">
        <f t="shared" si="18"/>
        <v>546</v>
      </c>
      <c r="B547" s="30">
        <v>76419144</v>
      </c>
      <c r="C547" s="19" t="s">
        <v>730</v>
      </c>
      <c r="D547" s="18">
        <v>96627169</v>
      </c>
      <c r="E547" s="18">
        <v>80538272</v>
      </c>
      <c r="F547" s="18" t="s">
        <v>333</v>
      </c>
      <c r="G547" s="18" t="s">
        <v>414</v>
      </c>
      <c r="H547" s="18">
        <v>80</v>
      </c>
      <c r="I547" s="18">
        <v>4</v>
      </c>
      <c r="J547" s="19" t="s">
        <v>373</v>
      </c>
      <c r="K547" s="21" t="s">
        <v>64</v>
      </c>
      <c r="L547" s="38"/>
      <c r="M547" s="21"/>
      <c r="N547" s="26"/>
      <c r="O547" s="38"/>
      <c r="P547" s="19" t="s">
        <v>49</v>
      </c>
      <c r="Q547" s="19" t="s">
        <v>518</v>
      </c>
      <c r="R547" s="38">
        <v>45874</v>
      </c>
      <c r="S547" s="20">
        <v>8</v>
      </c>
    </row>
    <row r="548" spans="1:19" ht="14.25" customHeight="1" x14ac:dyDescent="0.3">
      <c r="A548" s="17">
        <f t="shared" si="18"/>
        <v>547</v>
      </c>
      <c r="B548" s="30" t="s">
        <v>731</v>
      </c>
      <c r="C548" s="19" t="s">
        <v>718</v>
      </c>
      <c r="D548" s="18">
        <v>96627651</v>
      </c>
      <c r="E548" s="18">
        <v>80538479</v>
      </c>
      <c r="F548" s="18" t="s">
        <v>333</v>
      </c>
      <c r="G548" s="18" t="s">
        <v>343</v>
      </c>
      <c r="H548" s="18">
        <v>70</v>
      </c>
      <c r="I548" s="18">
        <v>1</v>
      </c>
      <c r="J548" s="19" t="s">
        <v>604</v>
      </c>
      <c r="K548" s="21" t="s">
        <v>64</v>
      </c>
      <c r="L548" s="38"/>
      <c r="M548" s="21"/>
      <c r="N548" s="26"/>
      <c r="O548" s="38"/>
      <c r="P548" s="19" t="s">
        <v>49</v>
      </c>
      <c r="Q548" s="19" t="s">
        <v>691</v>
      </c>
      <c r="R548" s="38">
        <v>45874</v>
      </c>
      <c r="S548" s="20">
        <v>8</v>
      </c>
    </row>
    <row r="549" spans="1:19" ht="14.25" customHeight="1" x14ac:dyDescent="0.3">
      <c r="A549" s="17">
        <f t="shared" si="18"/>
        <v>548</v>
      </c>
      <c r="B549" s="30">
        <v>19571153</v>
      </c>
      <c r="C549" s="19" t="s">
        <v>720</v>
      </c>
      <c r="D549" s="18">
        <v>96447612</v>
      </c>
      <c r="E549" s="18">
        <v>80363032</v>
      </c>
      <c r="F549" s="18" t="s">
        <v>333</v>
      </c>
      <c r="G549" s="18" t="s">
        <v>335</v>
      </c>
      <c r="H549" s="18">
        <v>65</v>
      </c>
      <c r="I549" s="18">
        <v>8</v>
      </c>
      <c r="J549" s="19" t="s">
        <v>373</v>
      </c>
      <c r="K549" s="21" t="s">
        <v>64</v>
      </c>
      <c r="L549" s="38"/>
      <c r="M549" s="21"/>
      <c r="N549" s="26"/>
      <c r="O549" s="38"/>
      <c r="P549" s="19" t="s">
        <v>49</v>
      </c>
      <c r="Q549" s="19" t="s">
        <v>518</v>
      </c>
      <c r="R549" s="38">
        <v>45867</v>
      </c>
      <c r="S549" s="20">
        <v>7</v>
      </c>
    </row>
    <row r="550" spans="1:19" ht="14.25" customHeight="1" x14ac:dyDescent="0.3">
      <c r="A550" s="17">
        <f t="shared" si="18"/>
        <v>549</v>
      </c>
      <c r="B550" s="30">
        <v>19691468</v>
      </c>
      <c r="C550" s="19" t="s">
        <v>722</v>
      </c>
      <c r="D550" s="18">
        <v>96469828</v>
      </c>
      <c r="E550" s="18">
        <v>80395067</v>
      </c>
      <c r="F550" s="18" t="s">
        <v>333</v>
      </c>
      <c r="G550" s="18" t="s">
        <v>335</v>
      </c>
      <c r="H550" s="18">
        <v>65</v>
      </c>
      <c r="I550" s="18">
        <v>7</v>
      </c>
      <c r="J550" s="19" t="s">
        <v>483</v>
      </c>
      <c r="K550" s="21" t="s">
        <v>64</v>
      </c>
      <c r="L550" s="38"/>
      <c r="M550" s="21"/>
      <c r="N550" s="26"/>
      <c r="O550" s="38"/>
      <c r="P550" s="19" t="s">
        <v>49</v>
      </c>
      <c r="Q550" s="19" t="s">
        <v>687</v>
      </c>
      <c r="R550" s="38">
        <v>45868</v>
      </c>
      <c r="S550" s="20">
        <v>7</v>
      </c>
    </row>
    <row r="551" spans="1:19" ht="14.25" customHeight="1" x14ac:dyDescent="0.3">
      <c r="A551" s="17">
        <f t="shared" si="18"/>
        <v>550</v>
      </c>
      <c r="B551" s="30">
        <v>73856948</v>
      </c>
      <c r="C551" s="19" t="s">
        <v>732</v>
      </c>
      <c r="D551" s="18">
        <v>96627909</v>
      </c>
      <c r="E551" s="18">
        <v>80538587</v>
      </c>
      <c r="F551" s="18" t="s">
        <v>333</v>
      </c>
      <c r="G551" s="18" t="s">
        <v>338</v>
      </c>
      <c r="H551" s="18">
        <v>160</v>
      </c>
      <c r="I551" s="18">
        <v>9</v>
      </c>
      <c r="J551" s="19" t="s">
        <v>373</v>
      </c>
      <c r="K551" s="21" t="s">
        <v>64</v>
      </c>
      <c r="L551" s="38"/>
      <c r="M551" s="21"/>
      <c r="N551" s="26"/>
      <c r="O551" s="38"/>
      <c r="P551" s="19" t="s">
        <v>49</v>
      </c>
      <c r="Q551" s="19" t="s">
        <v>687</v>
      </c>
      <c r="R551" s="38">
        <v>45874</v>
      </c>
      <c r="S551" s="20">
        <v>8</v>
      </c>
    </row>
    <row r="552" spans="1:19" ht="14.25" customHeight="1" x14ac:dyDescent="0.3">
      <c r="A552" s="17">
        <f t="shared" si="18"/>
        <v>551</v>
      </c>
      <c r="B552" s="30">
        <v>40402519</v>
      </c>
      <c r="C552" s="19" t="s">
        <v>713</v>
      </c>
      <c r="D552" s="18">
        <v>96628266</v>
      </c>
      <c r="E552" s="18">
        <v>80538724</v>
      </c>
      <c r="F552" s="18" t="s">
        <v>333</v>
      </c>
      <c r="G552" s="18" t="s">
        <v>338</v>
      </c>
      <c r="H552" s="18">
        <v>150</v>
      </c>
      <c r="I552" s="18">
        <v>8</v>
      </c>
      <c r="J552" s="19" t="s">
        <v>604</v>
      </c>
      <c r="K552" s="21" t="s">
        <v>64</v>
      </c>
      <c r="L552" s="38"/>
      <c r="M552" s="21"/>
      <c r="N552" s="26"/>
      <c r="O552" s="38"/>
      <c r="P552" s="19" t="s">
        <v>49</v>
      </c>
      <c r="Q552" s="19" t="s">
        <v>54</v>
      </c>
      <c r="R552" s="38">
        <v>45874</v>
      </c>
      <c r="S552" s="20">
        <v>7</v>
      </c>
    </row>
    <row r="553" spans="1:19" ht="14.25" customHeight="1" x14ac:dyDescent="0.3">
      <c r="A553" s="17">
        <f t="shared" si="18"/>
        <v>552</v>
      </c>
      <c r="B553" s="30">
        <v>16744757</v>
      </c>
      <c r="C553" s="19" t="s">
        <v>733</v>
      </c>
      <c r="D553" s="18">
        <v>96684153</v>
      </c>
      <c r="E553" s="18">
        <v>80589531</v>
      </c>
      <c r="F553" s="18" t="s">
        <v>334</v>
      </c>
      <c r="G553" s="18" t="s">
        <v>339</v>
      </c>
      <c r="H553" s="18">
        <v>75</v>
      </c>
      <c r="I553" s="18">
        <v>7</v>
      </c>
      <c r="J553" s="19" t="s">
        <v>541</v>
      </c>
      <c r="K553" s="21" t="s">
        <v>64</v>
      </c>
      <c r="L553" s="38"/>
      <c r="M553" s="21"/>
      <c r="N553" s="26"/>
      <c r="O553" s="38"/>
      <c r="P553" s="19" t="s">
        <v>49</v>
      </c>
      <c r="Q553" s="19" t="s">
        <v>719</v>
      </c>
      <c r="R553" s="38">
        <v>45876</v>
      </c>
      <c r="S553" s="20">
        <v>8</v>
      </c>
    </row>
    <row r="554" spans="1:19" ht="14.25" customHeight="1" x14ac:dyDescent="0.3">
      <c r="A554" s="17">
        <f t="shared" si="18"/>
        <v>553</v>
      </c>
      <c r="B554" s="30">
        <v>80195106</v>
      </c>
      <c r="C554" s="19" t="s">
        <v>735</v>
      </c>
      <c r="D554" s="18">
        <v>95937868</v>
      </c>
      <c r="E554" s="18">
        <v>80616479</v>
      </c>
      <c r="F554" s="18" t="s">
        <v>333</v>
      </c>
      <c r="G554" s="18" t="s">
        <v>724</v>
      </c>
      <c r="H554" s="18">
        <v>90</v>
      </c>
      <c r="I554" s="18">
        <v>8</v>
      </c>
      <c r="J554" s="19" t="s">
        <v>475</v>
      </c>
      <c r="K554" s="21" t="s">
        <v>64</v>
      </c>
      <c r="L554" s="38"/>
      <c r="M554" s="21"/>
      <c r="N554" s="26"/>
      <c r="O554" s="38"/>
      <c r="P554" s="19" t="s">
        <v>49</v>
      </c>
      <c r="Q554" s="19" t="s">
        <v>719</v>
      </c>
      <c r="R554" s="38">
        <v>45877</v>
      </c>
      <c r="S554" s="20">
        <v>8</v>
      </c>
    </row>
    <row r="555" spans="1:19" ht="14.25" customHeight="1" x14ac:dyDescent="0.3">
      <c r="A555" s="17">
        <f t="shared" si="18"/>
        <v>554</v>
      </c>
      <c r="B555" s="30">
        <v>42347312</v>
      </c>
      <c r="C555" s="19" t="s">
        <v>736</v>
      </c>
      <c r="D555" s="18">
        <v>96714106</v>
      </c>
      <c r="E555" s="18">
        <v>80616413</v>
      </c>
      <c r="F555" s="18" t="s">
        <v>333</v>
      </c>
      <c r="G555" s="18" t="s">
        <v>343</v>
      </c>
      <c r="H555" s="18">
        <v>70</v>
      </c>
      <c r="I555" s="18">
        <v>8</v>
      </c>
      <c r="J555" s="19" t="s">
        <v>373</v>
      </c>
      <c r="K555" s="21" t="s">
        <v>64</v>
      </c>
      <c r="L555" s="38"/>
      <c r="M555" s="21"/>
      <c r="N555" s="26"/>
      <c r="O555" s="38"/>
      <c r="P555" s="19" t="s">
        <v>49</v>
      </c>
      <c r="Q555" s="19" t="s">
        <v>54</v>
      </c>
      <c r="R555" s="38">
        <v>45877</v>
      </c>
      <c r="S555" s="20">
        <v>8</v>
      </c>
    </row>
    <row r="556" spans="1:19" ht="14.25" customHeight="1" x14ac:dyDescent="0.3">
      <c r="A556" s="17">
        <f t="shared" si="18"/>
        <v>555</v>
      </c>
      <c r="B556" s="30">
        <v>41829229</v>
      </c>
      <c r="C556" s="19" t="s">
        <v>78</v>
      </c>
      <c r="D556" s="18">
        <v>96615549</v>
      </c>
      <c r="E556" s="18">
        <v>80533223</v>
      </c>
      <c r="F556" s="18" t="s">
        <v>333</v>
      </c>
      <c r="G556" s="18" t="s">
        <v>336</v>
      </c>
      <c r="H556" s="18">
        <v>150</v>
      </c>
      <c r="I556" s="18">
        <v>6</v>
      </c>
      <c r="J556" s="19" t="s">
        <v>451</v>
      </c>
      <c r="K556" s="21" t="s">
        <v>64</v>
      </c>
      <c r="L556" s="38"/>
      <c r="M556" s="21"/>
      <c r="N556" s="26"/>
      <c r="O556" s="38"/>
      <c r="P556" s="19" t="s">
        <v>49</v>
      </c>
      <c r="Q556" s="19" t="s">
        <v>25</v>
      </c>
      <c r="R556" s="38">
        <v>45874</v>
      </c>
      <c r="S556" s="20">
        <v>8</v>
      </c>
    </row>
    <row r="557" spans="1:19" ht="14.25" customHeight="1" x14ac:dyDescent="0.3">
      <c r="A557" s="17">
        <f t="shared" si="18"/>
        <v>556</v>
      </c>
      <c r="B557" s="30">
        <v>10445088167</v>
      </c>
      <c r="C557" s="19" t="s">
        <v>734</v>
      </c>
      <c r="D557" s="18">
        <v>96713278</v>
      </c>
      <c r="E557" s="18">
        <v>80616069</v>
      </c>
      <c r="F557" s="18" t="s">
        <v>333</v>
      </c>
      <c r="G557" s="18" t="s">
        <v>724</v>
      </c>
      <c r="H557" s="18">
        <v>90</v>
      </c>
      <c r="I557" s="18">
        <v>10</v>
      </c>
      <c r="J557" s="19" t="s">
        <v>529</v>
      </c>
      <c r="K557" s="21" t="s">
        <v>64</v>
      </c>
      <c r="L557" s="38"/>
      <c r="M557" s="21"/>
      <c r="N557" s="26"/>
      <c r="O557" s="38"/>
      <c r="P557" s="19" t="s">
        <v>49</v>
      </c>
      <c r="Q557" s="19" t="s">
        <v>691</v>
      </c>
      <c r="R557" s="38">
        <v>45877</v>
      </c>
      <c r="S557" s="20">
        <v>8</v>
      </c>
    </row>
    <row r="558" spans="1:19" ht="14.25" customHeight="1" x14ac:dyDescent="0.3">
      <c r="A558" s="17">
        <f t="shared" si="18"/>
        <v>557</v>
      </c>
      <c r="B558" s="30">
        <v>20037366</v>
      </c>
      <c r="C558" s="19" t="s">
        <v>737</v>
      </c>
      <c r="D558" s="18">
        <v>96728035</v>
      </c>
      <c r="E558" s="18">
        <v>80624142</v>
      </c>
      <c r="F558" s="18" t="s">
        <v>333</v>
      </c>
      <c r="G558" s="18" t="s">
        <v>724</v>
      </c>
      <c r="H558" s="18">
        <v>90</v>
      </c>
      <c r="I558" s="18">
        <v>6</v>
      </c>
      <c r="J558" s="19" t="s">
        <v>483</v>
      </c>
      <c r="K558" s="21" t="s">
        <v>64</v>
      </c>
      <c r="L558" s="38"/>
      <c r="M558" s="21"/>
      <c r="N558" s="26"/>
      <c r="O558" s="38"/>
      <c r="P558" s="19" t="s">
        <v>49</v>
      </c>
      <c r="Q558" s="19" t="s">
        <v>691</v>
      </c>
      <c r="R558" s="38">
        <v>45878</v>
      </c>
      <c r="S558" s="20">
        <v>8</v>
      </c>
    </row>
    <row r="559" spans="1:19" ht="14.25" customHeight="1" x14ac:dyDescent="0.3">
      <c r="A559" s="17">
        <f t="shared" si="18"/>
        <v>558</v>
      </c>
      <c r="B559" s="30">
        <v>78198720</v>
      </c>
      <c r="C559" s="19" t="s">
        <v>738</v>
      </c>
      <c r="D559" s="18">
        <v>96772832</v>
      </c>
      <c r="E559" s="18">
        <v>80666187</v>
      </c>
      <c r="F559" s="18" t="s">
        <v>333</v>
      </c>
      <c r="G559" s="18" t="s">
        <v>343</v>
      </c>
      <c r="H559" s="18">
        <v>70</v>
      </c>
      <c r="I559" s="18">
        <v>1</v>
      </c>
      <c r="J559" s="19" t="s">
        <v>529</v>
      </c>
      <c r="K559" s="21" t="s">
        <v>64</v>
      </c>
      <c r="L559" s="38"/>
      <c r="M559" s="21"/>
      <c r="N559" s="26"/>
      <c r="O559" s="38"/>
      <c r="P559" s="19" t="s">
        <v>49</v>
      </c>
      <c r="Q559" s="19" t="s">
        <v>54</v>
      </c>
      <c r="R559" s="38">
        <v>45880</v>
      </c>
      <c r="S559" s="20">
        <v>8</v>
      </c>
    </row>
    <row r="560" spans="1:19" ht="14.25" customHeight="1" x14ac:dyDescent="0.3">
      <c r="A560" s="17">
        <f t="shared" si="18"/>
        <v>559</v>
      </c>
      <c r="B560" s="30">
        <v>45258861</v>
      </c>
      <c r="C560" s="19" t="s">
        <v>739</v>
      </c>
      <c r="D560" s="18">
        <v>96773323</v>
      </c>
      <c r="E560" s="18">
        <v>80666479</v>
      </c>
      <c r="F560" s="18" t="s">
        <v>334</v>
      </c>
      <c r="G560" s="18" t="s">
        <v>414</v>
      </c>
      <c r="H560" s="18">
        <v>80</v>
      </c>
      <c r="I560" s="18">
        <v>4</v>
      </c>
      <c r="J560" s="19" t="s">
        <v>475</v>
      </c>
      <c r="K560" s="21" t="s">
        <v>64</v>
      </c>
      <c r="L560" s="38"/>
      <c r="M560" s="21"/>
      <c r="N560" s="26"/>
      <c r="O560" s="38"/>
      <c r="P560" s="19" t="s">
        <v>49</v>
      </c>
      <c r="Q560" s="19" t="s">
        <v>58</v>
      </c>
      <c r="R560" s="38">
        <v>45880</v>
      </c>
      <c r="S560" s="20">
        <v>8</v>
      </c>
    </row>
    <row r="561" spans="1:19" ht="14.25" customHeight="1" x14ac:dyDescent="0.3">
      <c r="A561" s="17">
        <f t="shared" si="18"/>
        <v>560</v>
      </c>
      <c r="B561" s="30">
        <v>10719479478</v>
      </c>
      <c r="C561" s="19" t="s">
        <v>740</v>
      </c>
      <c r="D561" s="18">
        <v>96811698</v>
      </c>
      <c r="E561" s="18">
        <v>80697050</v>
      </c>
      <c r="F561" s="18" t="s">
        <v>333</v>
      </c>
      <c r="G561" s="18" t="s">
        <v>414</v>
      </c>
      <c r="H561" s="18">
        <v>80</v>
      </c>
      <c r="I561" s="18">
        <v>10</v>
      </c>
      <c r="J561" s="19" t="s">
        <v>475</v>
      </c>
      <c r="K561" s="21" t="s">
        <v>64</v>
      </c>
      <c r="L561" s="38"/>
      <c r="M561" s="21"/>
      <c r="N561" s="26"/>
      <c r="O561" s="38"/>
      <c r="P561" s="19" t="s">
        <v>49</v>
      </c>
      <c r="Q561" s="19" t="s">
        <v>671</v>
      </c>
      <c r="R561" s="38">
        <v>45881</v>
      </c>
      <c r="S561" s="20">
        <v>8</v>
      </c>
    </row>
    <row r="562" spans="1:19" ht="14.25" customHeight="1" x14ac:dyDescent="0.3">
      <c r="A562" s="17">
        <f t="shared" si="18"/>
        <v>561</v>
      </c>
      <c r="B562" s="30">
        <v>10719479478</v>
      </c>
      <c r="C562" s="19" t="s">
        <v>740</v>
      </c>
      <c r="D562" s="18">
        <v>96811698</v>
      </c>
      <c r="E562" s="18">
        <v>80697050</v>
      </c>
      <c r="F562" s="18" t="s">
        <v>333</v>
      </c>
      <c r="G562" s="18" t="s">
        <v>414</v>
      </c>
      <c r="H562" s="18">
        <v>80</v>
      </c>
      <c r="I562" s="18">
        <v>10</v>
      </c>
      <c r="J562" s="19" t="s">
        <v>475</v>
      </c>
      <c r="K562" s="21" t="s">
        <v>64</v>
      </c>
      <c r="L562" s="38"/>
      <c r="M562" s="21"/>
      <c r="N562" s="26"/>
      <c r="O562" s="38"/>
      <c r="P562" s="19" t="s">
        <v>49</v>
      </c>
      <c r="Q562" s="19" t="s">
        <v>671</v>
      </c>
      <c r="R562" s="38">
        <v>45882</v>
      </c>
      <c r="S562" s="20">
        <v>8</v>
      </c>
    </row>
    <row r="563" spans="1:19" ht="14.25" customHeight="1" x14ac:dyDescent="0.3">
      <c r="A563" s="17">
        <f t="shared" si="18"/>
        <v>562</v>
      </c>
      <c r="B563" s="30">
        <v>41829229</v>
      </c>
      <c r="C563" s="19" t="s">
        <v>78</v>
      </c>
      <c r="D563" s="18">
        <v>96768117</v>
      </c>
      <c r="E563" s="18">
        <v>80663497</v>
      </c>
      <c r="F563" s="18" t="s">
        <v>334</v>
      </c>
      <c r="G563" s="18" t="s">
        <v>336</v>
      </c>
      <c r="H563" s="18">
        <v>150</v>
      </c>
      <c r="I563" s="18">
        <v>6</v>
      </c>
      <c r="J563" s="19" t="s">
        <v>604</v>
      </c>
      <c r="K563" s="21" t="s">
        <v>64</v>
      </c>
      <c r="L563" s="38"/>
      <c r="M563" s="21"/>
      <c r="N563" s="26"/>
      <c r="O563" s="38"/>
      <c r="P563" s="19" t="s">
        <v>49</v>
      </c>
      <c r="Q563" s="19" t="s">
        <v>25</v>
      </c>
      <c r="R563" s="38">
        <v>45880</v>
      </c>
      <c r="S563" s="20">
        <v>8</v>
      </c>
    </row>
    <row r="564" spans="1:19" ht="14.25" customHeight="1" x14ac:dyDescent="0.3">
      <c r="A564" s="17">
        <f t="shared" si="18"/>
        <v>563</v>
      </c>
      <c r="B564" s="30">
        <v>20486564718</v>
      </c>
      <c r="C564" s="19" t="s">
        <v>741</v>
      </c>
      <c r="D564" s="18">
        <v>96881999</v>
      </c>
      <c r="E564" s="18">
        <v>80759779</v>
      </c>
      <c r="F564" s="18" t="s">
        <v>333</v>
      </c>
      <c r="G564" s="18" t="s">
        <v>414</v>
      </c>
      <c r="H564" s="18">
        <v>80</v>
      </c>
      <c r="I564" s="18">
        <v>5</v>
      </c>
      <c r="J564" s="19" t="s">
        <v>475</v>
      </c>
      <c r="K564" s="21" t="s">
        <v>64</v>
      </c>
      <c r="L564" s="38"/>
      <c r="M564" s="21"/>
      <c r="N564" s="26"/>
      <c r="O564" s="38"/>
      <c r="P564" s="19" t="s">
        <v>49</v>
      </c>
      <c r="Q564" s="19" t="s">
        <v>691</v>
      </c>
      <c r="R564" s="38">
        <v>45884</v>
      </c>
      <c r="S564" s="20">
        <v>8</v>
      </c>
    </row>
    <row r="565" spans="1:19" ht="14.25" customHeight="1" x14ac:dyDescent="0.3">
      <c r="A565" s="17">
        <f t="shared" si="18"/>
        <v>564</v>
      </c>
      <c r="B565" s="30">
        <v>42998373</v>
      </c>
      <c r="C565" s="19" t="s">
        <v>743</v>
      </c>
      <c r="D565" s="18">
        <v>96881854</v>
      </c>
      <c r="E565" s="18">
        <v>80759928</v>
      </c>
      <c r="F565" s="18" t="s">
        <v>334</v>
      </c>
      <c r="G565" s="18" t="s">
        <v>414</v>
      </c>
      <c r="H565" s="18">
        <v>80</v>
      </c>
      <c r="I565" s="18">
        <v>5</v>
      </c>
      <c r="J565" s="19" t="s">
        <v>471</v>
      </c>
      <c r="K565" s="21" t="s">
        <v>64</v>
      </c>
      <c r="L565" s="38"/>
      <c r="M565" s="21"/>
      <c r="N565" s="26"/>
      <c r="O565" s="38"/>
      <c r="P565" s="19" t="s">
        <v>49</v>
      </c>
      <c r="Q565" s="19" t="s">
        <v>51</v>
      </c>
      <c r="R565" s="38">
        <v>45884</v>
      </c>
      <c r="S565" s="20">
        <v>8</v>
      </c>
    </row>
    <row r="566" spans="1:19" ht="14.25" customHeight="1" x14ac:dyDescent="0.3">
      <c r="A566" s="17">
        <f t="shared" si="18"/>
        <v>565</v>
      </c>
      <c r="B566" s="30">
        <v>21432768</v>
      </c>
      <c r="C566" s="19" t="s">
        <v>745</v>
      </c>
      <c r="D566" s="18">
        <v>96906259</v>
      </c>
      <c r="E566" s="18">
        <v>80773135</v>
      </c>
      <c r="F566" s="18" t="s">
        <v>333</v>
      </c>
      <c r="G566" s="18" t="s">
        <v>338</v>
      </c>
      <c r="H566" s="18">
        <v>160</v>
      </c>
      <c r="I566" s="18">
        <v>8</v>
      </c>
      <c r="J566" s="19" t="s">
        <v>373</v>
      </c>
      <c r="K566" s="21" t="s">
        <v>64</v>
      </c>
      <c r="L566" s="38"/>
      <c r="M566" s="21"/>
      <c r="N566" s="26"/>
      <c r="O566" s="38"/>
      <c r="P566" s="19" t="s">
        <v>49</v>
      </c>
      <c r="Q566" s="19" t="s">
        <v>691</v>
      </c>
      <c r="R566" s="38">
        <v>45885</v>
      </c>
      <c r="S566" s="20">
        <v>8</v>
      </c>
    </row>
    <row r="567" spans="1:19" ht="14.25" customHeight="1" x14ac:dyDescent="0.3">
      <c r="A567" s="17">
        <f t="shared" si="18"/>
        <v>566</v>
      </c>
      <c r="B567" s="30">
        <v>2673541</v>
      </c>
      <c r="C567" s="19" t="s">
        <v>746</v>
      </c>
      <c r="D567" s="18">
        <v>96914447</v>
      </c>
      <c r="E567" s="18">
        <v>80775992</v>
      </c>
      <c r="F567" s="18" t="s">
        <v>333</v>
      </c>
      <c r="G567" s="18" t="s">
        <v>338</v>
      </c>
      <c r="H567" s="18">
        <v>160</v>
      </c>
      <c r="I567" s="18">
        <v>9</v>
      </c>
      <c r="J567" s="19" t="s">
        <v>742</v>
      </c>
      <c r="K567" s="21" t="s">
        <v>64</v>
      </c>
      <c r="L567" s="38"/>
      <c r="M567" s="21"/>
      <c r="N567" s="26"/>
      <c r="O567" s="38"/>
      <c r="P567" s="19" t="s">
        <v>49</v>
      </c>
      <c r="Q567" s="19" t="s">
        <v>691</v>
      </c>
      <c r="R567" s="38">
        <v>45885</v>
      </c>
      <c r="S567" s="20">
        <v>8</v>
      </c>
    </row>
    <row r="568" spans="1:19" ht="14.25" customHeight="1" x14ac:dyDescent="0.3">
      <c r="A568" s="17">
        <f t="shared" si="18"/>
        <v>567</v>
      </c>
      <c r="B568" s="30">
        <v>43587316</v>
      </c>
      <c r="C568" s="19" t="s">
        <v>748</v>
      </c>
      <c r="D568" s="18">
        <v>96964235</v>
      </c>
      <c r="E568" s="18">
        <v>80819493</v>
      </c>
      <c r="F568" s="18" t="s">
        <v>333</v>
      </c>
      <c r="G568" s="18" t="s">
        <v>335</v>
      </c>
      <c r="H568" s="18">
        <v>65</v>
      </c>
      <c r="I568" s="18">
        <v>5</v>
      </c>
      <c r="J568" s="19" t="s">
        <v>626</v>
      </c>
      <c r="K568" s="21" t="s">
        <v>64</v>
      </c>
      <c r="L568" s="38"/>
      <c r="M568" s="21"/>
      <c r="N568" s="26"/>
      <c r="O568" s="38"/>
      <c r="P568" s="19" t="s">
        <v>49</v>
      </c>
      <c r="Q568" s="19" t="s">
        <v>518</v>
      </c>
      <c r="R568" s="38">
        <v>45887</v>
      </c>
      <c r="S568" s="20">
        <v>8</v>
      </c>
    </row>
    <row r="569" spans="1:19" ht="14.25" customHeight="1" x14ac:dyDescent="0.3">
      <c r="A569" s="17">
        <f t="shared" si="18"/>
        <v>568</v>
      </c>
      <c r="B569" s="30">
        <v>28316479</v>
      </c>
      <c r="C569" s="19" t="s">
        <v>744</v>
      </c>
      <c r="D569" s="18">
        <v>96892197</v>
      </c>
      <c r="E569" s="18">
        <v>80764481</v>
      </c>
      <c r="F569" s="18" t="s">
        <v>334</v>
      </c>
      <c r="G569" s="18" t="s">
        <v>414</v>
      </c>
      <c r="H569" s="18">
        <v>80</v>
      </c>
      <c r="I569" s="18">
        <v>10</v>
      </c>
      <c r="J569" s="19" t="s">
        <v>541</v>
      </c>
      <c r="K569" s="21" t="s">
        <v>64</v>
      </c>
      <c r="L569" s="38"/>
      <c r="M569" s="21"/>
      <c r="N569" s="26"/>
      <c r="O569" s="38"/>
      <c r="P569" s="19" t="s">
        <v>49</v>
      </c>
      <c r="Q569" s="19" t="s">
        <v>25</v>
      </c>
      <c r="R569" s="38">
        <v>45884</v>
      </c>
      <c r="S569" s="20">
        <v>8</v>
      </c>
    </row>
    <row r="570" spans="1:19" ht="14.25" customHeight="1" x14ac:dyDescent="0.3">
      <c r="A570" s="17">
        <f t="shared" si="18"/>
        <v>569</v>
      </c>
      <c r="B570" s="30">
        <v>21432768</v>
      </c>
      <c r="C570" s="19" t="s">
        <v>745</v>
      </c>
      <c r="D570" s="18">
        <v>96958677</v>
      </c>
      <c r="E570" s="18">
        <v>80816407</v>
      </c>
      <c r="F570" s="18" t="s">
        <v>333</v>
      </c>
      <c r="G570" s="18" t="s">
        <v>338</v>
      </c>
      <c r="H570" s="18">
        <v>160</v>
      </c>
      <c r="I570" s="18">
        <v>8</v>
      </c>
      <c r="J570" s="19" t="s">
        <v>475</v>
      </c>
      <c r="K570" s="21" t="s">
        <v>64</v>
      </c>
      <c r="L570" s="38"/>
      <c r="M570" s="21"/>
      <c r="N570" s="26"/>
      <c r="O570" s="38"/>
      <c r="P570" s="19" t="s">
        <v>49</v>
      </c>
      <c r="Q570" s="19" t="s">
        <v>691</v>
      </c>
      <c r="R570" s="38">
        <v>45887</v>
      </c>
      <c r="S570" s="20">
        <v>8</v>
      </c>
    </row>
    <row r="571" spans="1:19" ht="14.25" customHeight="1" x14ac:dyDescent="0.3">
      <c r="A571" s="17">
        <f t="shared" si="18"/>
        <v>570</v>
      </c>
      <c r="B571" s="30">
        <v>5381108</v>
      </c>
      <c r="C571" s="19" t="s">
        <v>749</v>
      </c>
      <c r="D571" s="18">
        <v>96979485</v>
      </c>
      <c r="E571" s="18">
        <v>80833836</v>
      </c>
      <c r="F571" s="18" t="s">
        <v>333</v>
      </c>
      <c r="G571" s="18" t="s">
        <v>335</v>
      </c>
      <c r="H571" s="18">
        <v>65</v>
      </c>
      <c r="I571" s="18">
        <v>3</v>
      </c>
      <c r="J571" s="19" t="s">
        <v>373</v>
      </c>
      <c r="K571" s="21" t="s">
        <v>64</v>
      </c>
      <c r="L571" s="38"/>
      <c r="M571" s="21"/>
      <c r="N571" s="26"/>
      <c r="O571" s="38"/>
      <c r="P571" s="19" t="s">
        <v>49</v>
      </c>
      <c r="Q571" s="19" t="s">
        <v>671</v>
      </c>
      <c r="R571" s="38">
        <v>45888</v>
      </c>
      <c r="S571" s="20">
        <v>8</v>
      </c>
    </row>
    <row r="572" spans="1:19" ht="14.25" customHeight="1" x14ac:dyDescent="0.3">
      <c r="A572" s="17">
        <f t="shared" si="18"/>
        <v>571</v>
      </c>
      <c r="B572" s="30">
        <v>2673541</v>
      </c>
      <c r="C572" s="19" t="s">
        <v>746</v>
      </c>
      <c r="D572" s="18">
        <v>96914447</v>
      </c>
      <c r="E572" s="18">
        <v>80775992</v>
      </c>
      <c r="F572" s="18" t="s">
        <v>334</v>
      </c>
      <c r="G572" s="18" t="s">
        <v>338</v>
      </c>
      <c r="H572" s="18">
        <v>160</v>
      </c>
      <c r="I572" s="18">
        <v>9</v>
      </c>
      <c r="J572" s="19" t="s">
        <v>475</v>
      </c>
      <c r="K572" s="21" t="s">
        <v>64</v>
      </c>
      <c r="L572" s="38"/>
      <c r="M572" s="21"/>
      <c r="N572" s="26"/>
      <c r="O572" s="38"/>
      <c r="P572" s="19" t="s">
        <v>49</v>
      </c>
      <c r="Q572" s="19" t="s">
        <v>691</v>
      </c>
      <c r="R572" s="38">
        <v>45889</v>
      </c>
      <c r="S572" s="20">
        <v>8</v>
      </c>
    </row>
    <row r="573" spans="1:19" ht="14.25" customHeight="1" x14ac:dyDescent="0.3">
      <c r="A573" s="17">
        <f t="shared" si="18"/>
        <v>572</v>
      </c>
      <c r="B573" s="30">
        <v>16519634</v>
      </c>
      <c r="C573" s="19" t="s">
        <v>750</v>
      </c>
      <c r="D573" s="18">
        <v>97012226</v>
      </c>
      <c r="E573" s="18">
        <v>80853939</v>
      </c>
      <c r="F573" s="18" t="s">
        <v>333</v>
      </c>
      <c r="G573" s="18" t="s">
        <v>339</v>
      </c>
      <c r="H573" s="18">
        <v>75</v>
      </c>
      <c r="I573" s="18">
        <v>8</v>
      </c>
      <c r="J573" s="19" t="s">
        <v>372</v>
      </c>
      <c r="K573" s="21" t="s">
        <v>64</v>
      </c>
      <c r="L573" s="38"/>
      <c r="M573" s="21"/>
      <c r="N573" s="26"/>
      <c r="O573" s="38"/>
      <c r="P573" s="19" t="s">
        <v>49</v>
      </c>
      <c r="Q573" s="19" t="s">
        <v>671</v>
      </c>
      <c r="R573" s="38">
        <v>45889</v>
      </c>
      <c r="S573" s="20">
        <v>8</v>
      </c>
    </row>
    <row r="574" spans="1:19" ht="14.25" customHeight="1" x14ac:dyDescent="0.3">
      <c r="A574" s="17">
        <f t="shared" si="18"/>
        <v>573</v>
      </c>
      <c r="B574" s="30">
        <v>47157819</v>
      </c>
      <c r="C574" s="19" t="s">
        <v>751</v>
      </c>
      <c r="D574" s="18">
        <v>97055671</v>
      </c>
      <c r="E574" s="18">
        <v>80903028</v>
      </c>
      <c r="F574" s="18" t="s">
        <v>333</v>
      </c>
      <c r="G574" s="18" t="s">
        <v>414</v>
      </c>
      <c r="H574" s="18">
        <v>80</v>
      </c>
      <c r="I574" s="18">
        <v>5</v>
      </c>
      <c r="J574" s="19" t="s">
        <v>372</v>
      </c>
      <c r="K574" s="21" t="s">
        <v>64</v>
      </c>
      <c r="L574" s="38"/>
      <c r="M574" s="21"/>
      <c r="N574" s="26"/>
      <c r="O574" s="38"/>
      <c r="P574" s="19" t="s">
        <v>49</v>
      </c>
      <c r="Q574" s="19" t="s">
        <v>671</v>
      </c>
      <c r="R574" s="38">
        <v>45891</v>
      </c>
      <c r="S574" s="20">
        <v>8</v>
      </c>
    </row>
    <row r="575" spans="1:19" ht="14.25" customHeight="1" x14ac:dyDescent="0.3">
      <c r="A575" s="17">
        <f t="shared" si="18"/>
        <v>574</v>
      </c>
      <c r="B575" s="30">
        <v>43106114</v>
      </c>
      <c r="C575" s="19" t="s">
        <v>754</v>
      </c>
      <c r="D575" s="18">
        <v>97071201</v>
      </c>
      <c r="E575" s="18">
        <v>80911412</v>
      </c>
      <c r="F575" s="18" t="s">
        <v>333</v>
      </c>
      <c r="G575" s="18" t="s">
        <v>414</v>
      </c>
      <c r="H575" s="18">
        <v>80</v>
      </c>
      <c r="I575" s="18">
        <v>10</v>
      </c>
      <c r="J575" s="19" t="s">
        <v>755</v>
      </c>
      <c r="K575" s="21" t="s">
        <v>64</v>
      </c>
      <c r="L575" s="38"/>
      <c r="M575" s="21"/>
      <c r="N575" s="26"/>
      <c r="O575" s="38"/>
      <c r="P575" s="19" t="s">
        <v>49</v>
      </c>
      <c r="Q575" s="19" t="s">
        <v>518</v>
      </c>
      <c r="R575" s="38">
        <v>45891</v>
      </c>
      <c r="S575" s="20">
        <v>8</v>
      </c>
    </row>
    <row r="576" spans="1:19" ht="14.25" customHeight="1" x14ac:dyDescent="0.3">
      <c r="A576" s="17">
        <f t="shared" si="18"/>
        <v>575</v>
      </c>
      <c r="B576" s="30" t="s">
        <v>758</v>
      </c>
      <c r="C576" s="19" t="s">
        <v>718</v>
      </c>
      <c r="D576" s="18">
        <v>96953153</v>
      </c>
      <c r="E576" s="18">
        <v>80813012</v>
      </c>
      <c r="F576" s="18" t="s">
        <v>333</v>
      </c>
      <c r="G576" s="18" t="s">
        <v>335</v>
      </c>
      <c r="H576" s="18">
        <v>65</v>
      </c>
      <c r="I576" s="18">
        <v>1</v>
      </c>
      <c r="J576" s="19" t="s">
        <v>541</v>
      </c>
      <c r="K576" s="21" t="s">
        <v>64</v>
      </c>
      <c r="L576" s="38"/>
      <c r="M576" s="21"/>
      <c r="N576" s="26"/>
      <c r="O576" s="38"/>
      <c r="P576" s="19" t="s">
        <v>49</v>
      </c>
      <c r="Q576" s="19" t="s">
        <v>691</v>
      </c>
      <c r="R576" s="38">
        <v>45887</v>
      </c>
      <c r="S576" s="20">
        <v>8</v>
      </c>
    </row>
    <row r="577" spans="1:19" ht="14.25" customHeight="1" x14ac:dyDescent="0.3">
      <c r="A577" s="17">
        <f t="shared" si="18"/>
        <v>576</v>
      </c>
      <c r="B577" s="30">
        <v>41749572</v>
      </c>
      <c r="C577" s="19" t="s">
        <v>753</v>
      </c>
      <c r="D577" s="18">
        <v>97070865</v>
      </c>
      <c r="E577" s="18">
        <v>80911216</v>
      </c>
      <c r="F577" s="18" t="s">
        <v>333</v>
      </c>
      <c r="G577" s="18" t="s">
        <v>338</v>
      </c>
      <c r="H577" s="18">
        <v>160</v>
      </c>
      <c r="I577" s="18">
        <v>10</v>
      </c>
      <c r="J577" s="19" t="s">
        <v>541</v>
      </c>
      <c r="K577" s="21" t="s">
        <v>64</v>
      </c>
      <c r="L577" s="38"/>
      <c r="M577" s="21"/>
      <c r="N577" s="26"/>
      <c r="O577" s="38"/>
      <c r="P577" s="19" t="s">
        <v>49</v>
      </c>
      <c r="Q577" s="19" t="s">
        <v>25</v>
      </c>
      <c r="R577" s="38">
        <v>45891</v>
      </c>
      <c r="S577" s="20">
        <v>8</v>
      </c>
    </row>
    <row r="578" spans="1:19" ht="14.25" customHeight="1" x14ac:dyDescent="0.3">
      <c r="A578" s="17">
        <f t="shared" si="18"/>
        <v>577</v>
      </c>
      <c r="B578" s="30">
        <v>3637412</v>
      </c>
      <c r="C578" s="19" t="s">
        <v>756</v>
      </c>
      <c r="D578" s="18">
        <v>97083932</v>
      </c>
      <c r="E578" s="18">
        <v>80919299</v>
      </c>
      <c r="F578" s="18" t="s">
        <v>334</v>
      </c>
      <c r="G578" s="18" t="s">
        <v>335</v>
      </c>
      <c r="H578" s="18">
        <v>65</v>
      </c>
      <c r="I578" s="18">
        <v>10</v>
      </c>
      <c r="J578" s="19" t="s">
        <v>529</v>
      </c>
      <c r="K578" s="21" t="s">
        <v>64</v>
      </c>
      <c r="L578" s="38"/>
      <c r="M578" s="21"/>
      <c r="N578" s="26"/>
      <c r="O578" s="38"/>
      <c r="P578" s="19" t="s">
        <v>49</v>
      </c>
      <c r="Q578" s="19" t="s">
        <v>747</v>
      </c>
      <c r="R578" s="38">
        <v>45892</v>
      </c>
      <c r="S578" s="20">
        <v>8</v>
      </c>
    </row>
    <row r="579" spans="1:19" ht="14.25" customHeight="1" x14ac:dyDescent="0.3">
      <c r="A579" s="17">
        <f t="shared" si="18"/>
        <v>578</v>
      </c>
      <c r="B579" s="30">
        <v>10294435315</v>
      </c>
      <c r="C579" s="19" t="s">
        <v>760</v>
      </c>
      <c r="D579" s="18">
        <v>97130647</v>
      </c>
      <c r="E579" s="18">
        <v>80957906</v>
      </c>
      <c r="F579" s="18" t="s">
        <v>333</v>
      </c>
      <c r="G579" s="18" t="s">
        <v>338</v>
      </c>
      <c r="H579" s="18">
        <v>160</v>
      </c>
      <c r="I579" s="18">
        <v>8</v>
      </c>
      <c r="J579" s="19" t="s">
        <v>373</v>
      </c>
      <c r="K579" s="21" t="s">
        <v>64</v>
      </c>
      <c r="L579" s="38"/>
      <c r="M579" s="21"/>
      <c r="N579" s="26"/>
      <c r="O579" s="38"/>
      <c r="P579" s="19" t="s">
        <v>49</v>
      </c>
      <c r="Q579" s="19" t="s">
        <v>687</v>
      </c>
      <c r="R579" s="38">
        <v>45894</v>
      </c>
      <c r="S579" s="20">
        <v>8</v>
      </c>
    </row>
    <row r="580" spans="1:19" ht="14.25" customHeight="1" x14ac:dyDescent="0.3">
      <c r="A580" s="17">
        <f t="shared" ref="A580:A643" si="19">A579+1</f>
        <v>579</v>
      </c>
      <c r="B580" s="30">
        <v>71936716</v>
      </c>
      <c r="C580" s="19" t="s">
        <v>761</v>
      </c>
      <c r="D580" s="18">
        <v>97137818</v>
      </c>
      <c r="E580" s="18">
        <v>80961999</v>
      </c>
      <c r="F580" s="18" t="s">
        <v>333</v>
      </c>
      <c r="G580" s="23" t="s">
        <v>724</v>
      </c>
      <c r="H580" s="18">
        <v>90</v>
      </c>
      <c r="I580" s="18">
        <v>10</v>
      </c>
      <c r="J580" s="19" t="s">
        <v>475</v>
      </c>
      <c r="K580" s="21" t="s">
        <v>64</v>
      </c>
      <c r="L580" s="38"/>
      <c r="M580" s="21"/>
      <c r="N580" s="26"/>
      <c r="O580" s="38"/>
      <c r="P580" s="19" t="s">
        <v>49</v>
      </c>
      <c r="Q580" s="19" t="s">
        <v>518</v>
      </c>
      <c r="R580" s="38">
        <v>45894</v>
      </c>
      <c r="S580" s="20">
        <v>8</v>
      </c>
    </row>
    <row r="581" spans="1:19" ht="14.25" customHeight="1" x14ac:dyDescent="0.3">
      <c r="A581" s="17">
        <f t="shared" si="19"/>
        <v>580</v>
      </c>
      <c r="B581" s="30">
        <v>71427615</v>
      </c>
      <c r="C581" s="19" t="s">
        <v>762</v>
      </c>
      <c r="D581" s="18">
        <v>97178259</v>
      </c>
      <c r="E581" s="18">
        <v>81006477</v>
      </c>
      <c r="F581" s="18" t="s">
        <v>333</v>
      </c>
      <c r="G581" s="18" t="s">
        <v>338</v>
      </c>
      <c r="H581" s="18">
        <v>160</v>
      </c>
      <c r="I581" s="18">
        <v>5</v>
      </c>
      <c r="J581" s="19"/>
      <c r="K581" s="21" t="s">
        <v>64</v>
      </c>
      <c r="L581" s="38"/>
      <c r="M581" s="21"/>
      <c r="N581" s="26"/>
      <c r="O581" s="38"/>
      <c r="P581" s="19" t="s">
        <v>49</v>
      </c>
      <c r="Q581" s="19" t="s">
        <v>691</v>
      </c>
      <c r="R581" s="38">
        <v>45896</v>
      </c>
      <c r="S581" s="20">
        <v>8</v>
      </c>
    </row>
    <row r="582" spans="1:19" ht="14.25" customHeight="1" x14ac:dyDescent="0.3">
      <c r="A582" s="17">
        <f t="shared" si="19"/>
        <v>581</v>
      </c>
      <c r="B582" s="30">
        <v>45302132</v>
      </c>
      <c r="C582" s="19" t="s">
        <v>752</v>
      </c>
      <c r="D582" s="18">
        <v>97068555</v>
      </c>
      <c r="E582" s="18">
        <v>80910097</v>
      </c>
      <c r="F582" s="18" t="s">
        <v>333</v>
      </c>
      <c r="G582" s="18" t="s">
        <v>338</v>
      </c>
      <c r="H582" s="18">
        <v>160</v>
      </c>
      <c r="I582" s="18">
        <v>5</v>
      </c>
      <c r="J582" s="19" t="s">
        <v>529</v>
      </c>
      <c r="K582" s="21" t="s">
        <v>64</v>
      </c>
      <c r="L582" s="38"/>
      <c r="M582" s="21"/>
      <c r="N582" s="26"/>
      <c r="O582" s="38"/>
      <c r="P582" s="19" t="s">
        <v>49</v>
      </c>
      <c r="Q582" s="19" t="s">
        <v>719</v>
      </c>
      <c r="R582" s="38">
        <v>45891</v>
      </c>
      <c r="S582" s="20">
        <v>8</v>
      </c>
    </row>
    <row r="583" spans="1:19" ht="14.25" customHeight="1" x14ac:dyDescent="0.3">
      <c r="A583" s="17">
        <f t="shared" si="19"/>
        <v>582</v>
      </c>
      <c r="B583" s="30">
        <v>43823061</v>
      </c>
      <c r="C583" s="19" t="s">
        <v>757</v>
      </c>
      <c r="D583" s="18">
        <v>97087157</v>
      </c>
      <c r="E583" s="18">
        <v>80920413</v>
      </c>
      <c r="F583" s="18" t="s">
        <v>333</v>
      </c>
      <c r="G583" s="18" t="s">
        <v>414</v>
      </c>
      <c r="H583" s="18">
        <v>80</v>
      </c>
      <c r="I583" s="18">
        <v>9</v>
      </c>
      <c r="J583" s="19" t="s">
        <v>529</v>
      </c>
      <c r="K583" s="21" t="s">
        <v>64</v>
      </c>
      <c r="L583" s="38"/>
      <c r="M583" s="21"/>
      <c r="N583" s="26"/>
      <c r="O583" s="38"/>
      <c r="P583" s="19" t="s">
        <v>49</v>
      </c>
      <c r="Q583" s="19" t="s">
        <v>725</v>
      </c>
      <c r="R583" s="38">
        <v>45892</v>
      </c>
      <c r="S583" s="20">
        <v>8</v>
      </c>
    </row>
    <row r="584" spans="1:19" ht="14.25" customHeight="1" x14ac:dyDescent="0.3">
      <c r="A584" s="17">
        <f t="shared" si="19"/>
        <v>583</v>
      </c>
      <c r="B584" s="30">
        <v>71936716</v>
      </c>
      <c r="C584" s="19" t="s">
        <v>761</v>
      </c>
      <c r="D584" s="18">
        <v>97137818</v>
      </c>
      <c r="E584" s="18">
        <v>80961999</v>
      </c>
      <c r="F584" s="18" t="s">
        <v>333</v>
      </c>
      <c r="G584" s="18" t="s">
        <v>724</v>
      </c>
      <c r="H584" s="18">
        <v>90</v>
      </c>
      <c r="I584" s="18">
        <v>10</v>
      </c>
      <c r="J584" s="19" t="s">
        <v>475</v>
      </c>
      <c r="K584" s="21" t="s">
        <v>64</v>
      </c>
      <c r="L584" s="38"/>
      <c r="M584" s="21"/>
      <c r="N584" s="26"/>
      <c r="O584" s="38"/>
      <c r="P584" s="19" t="s">
        <v>49</v>
      </c>
      <c r="Q584" s="19" t="s">
        <v>518</v>
      </c>
      <c r="R584" s="38">
        <v>45895</v>
      </c>
      <c r="S584" s="20">
        <v>8</v>
      </c>
    </row>
    <row r="585" spans="1:19" ht="14.25" customHeight="1" x14ac:dyDescent="0.3">
      <c r="A585" s="17">
        <f t="shared" si="19"/>
        <v>584</v>
      </c>
      <c r="B585" s="30">
        <v>32847082</v>
      </c>
      <c r="C585" s="19" t="s">
        <v>763</v>
      </c>
      <c r="D585" s="19" t="s">
        <v>764</v>
      </c>
      <c r="E585" s="18">
        <v>81010869</v>
      </c>
      <c r="F585" s="18" t="s">
        <v>333</v>
      </c>
      <c r="G585" s="18" t="s">
        <v>414</v>
      </c>
      <c r="H585" s="18">
        <v>80</v>
      </c>
      <c r="I585" s="18">
        <v>5</v>
      </c>
      <c r="J585" s="19" t="s">
        <v>767</v>
      </c>
      <c r="K585" s="21" t="s">
        <v>64</v>
      </c>
      <c r="L585" s="38"/>
      <c r="M585" s="21"/>
      <c r="N585" s="26"/>
      <c r="O585" s="38"/>
      <c r="P585" s="19" t="s">
        <v>49</v>
      </c>
      <c r="Q585" s="19" t="s">
        <v>54</v>
      </c>
      <c r="R585" s="38">
        <v>45896</v>
      </c>
      <c r="S585" s="20">
        <v>8</v>
      </c>
    </row>
    <row r="586" spans="1:19" ht="14.25" customHeight="1" x14ac:dyDescent="0.3">
      <c r="A586" s="17">
        <f t="shared" si="19"/>
        <v>585</v>
      </c>
      <c r="B586" s="30">
        <v>16674935</v>
      </c>
      <c r="C586" s="19" t="s">
        <v>765</v>
      </c>
      <c r="D586" s="18">
        <v>97192622</v>
      </c>
      <c r="E586" s="18">
        <v>81013894</v>
      </c>
      <c r="F586" s="18" t="s">
        <v>334</v>
      </c>
      <c r="G586" s="18" t="s">
        <v>338</v>
      </c>
      <c r="H586" s="18">
        <v>160</v>
      </c>
      <c r="I586" s="18">
        <v>8</v>
      </c>
      <c r="J586" s="19" t="s">
        <v>475</v>
      </c>
      <c r="K586" s="21" t="s">
        <v>64</v>
      </c>
      <c r="L586" s="38"/>
      <c r="M586" s="21"/>
      <c r="N586" s="26"/>
      <c r="O586" s="38"/>
      <c r="P586" s="19" t="s">
        <v>49</v>
      </c>
      <c r="Q586" s="19" t="s">
        <v>719</v>
      </c>
      <c r="R586" s="38">
        <v>45896</v>
      </c>
      <c r="S586" s="20">
        <v>8</v>
      </c>
    </row>
    <row r="587" spans="1:19" ht="14.25" customHeight="1" x14ac:dyDescent="0.3">
      <c r="A587" s="17">
        <f t="shared" si="19"/>
        <v>586</v>
      </c>
      <c r="B587" s="30">
        <v>43823061</v>
      </c>
      <c r="C587" s="19" t="s">
        <v>757</v>
      </c>
      <c r="D587" s="18">
        <v>97087157</v>
      </c>
      <c r="E587" s="18">
        <v>80920413</v>
      </c>
      <c r="F587" s="18" t="s">
        <v>333</v>
      </c>
      <c r="G587" s="18" t="s">
        <v>414</v>
      </c>
      <c r="H587" s="18">
        <v>84</v>
      </c>
      <c r="I587" s="18">
        <v>9</v>
      </c>
      <c r="J587" s="19" t="s">
        <v>373</v>
      </c>
      <c r="K587" s="21" t="s">
        <v>64</v>
      </c>
      <c r="L587" s="38"/>
      <c r="M587" s="21"/>
      <c r="N587" s="26"/>
      <c r="O587" s="38"/>
      <c r="P587" s="19" t="s">
        <v>49</v>
      </c>
      <c r="Q587" s="19" t="s">
        <v>725</v>
      </c>
      <c r="R587" s="38">
        <v>45898</v>
      </c>
      <c r="S587" s="20">
        <v>8</v>
      </c>
    </row>
    <row r="588" spans="1:19" ht="14.25" customHeight="1" x14ac:dyDescent="0.3">
      <c r="A588" s="17">
        <f t="shared" si="19"/>
        <v>587</v>
      </c>
      <c r="B588" s="30">
        <v>75686587</v>
      </c>
      <c r="C588" s="19" t="s">
        <v>768</v>
      </c>
      <c r="D588" s="18">
        <v>97238396</v>
      </c>
      <c r="E588" s="18">
        <v>81051528</v>
      </c>
      <c r="F588" s="18" t="s">
        <v>333</v>
      </c>
      <c r="G588" s="18" t="s">
        <v>766</v>
      </c>
      <c r="H588" s="18">
        <v>74</v>
      </c>
      <c r="I588" s="18">
        <v>7</v>
      </c>
      <c r="J588" s="19"/>
      <c r="K588" s="21" t="s">
        <v>64</v>
      </c>
      <c r="L588" s="38"/>
      <c r="M588" s="21"/>
      <c r="N588" s="26"/>
      <c r="O588" s="38"/>
      <c r="P588" s="19" t="s">
        <v>49</v>
      </c>
      <c r="Q588" s="19" t="s">
        <v>54</v>
      </c>
      <c r="R588" s="38">
        <v>45898</v>
      </c>
      <c r="S588" s="20">
        <v>8</v>
      </c>
    </row>
    <row r="589" spans="1:19" ht="14.25" customHeight="1" x14ac:dyDescent="0.3">
      <c r="A589" s="17">
        <f t="shared" si="19"/>
        <v>588</v>
      </c>
      <c r="B589" s="30">
        <v>32890004</v>
      </c>
      <c r="C589" s="19" t="s">
        <v>772</v>
      </c>
      <c r="D589" s="18">
        <v>97324144</v>
      </c>
      <c r="E589" s="18">
        <v>81141991</v>
      </c>
      <c r="F589" s="18" t="s">
        <v>334</v>
      </c>
      <c r="G589" s="18" t="s">
        <v>337</v>
      </c>
      <c r="H589" s="18">
        <v>170</v>
      </c>
      <c r="I589" s="18">
        <v>8</v>
      </c>
      <c r="J589" s="19" t="s">
        <v>475</v>
      </c>
      <c r="K589" s="21" t="s">
        <v>64</v>
      </c>
      <c r="L589" s="38"/>
      <c r="M589" s="21"/>
      <c r="N589" s="26"/>
      <c r="O589" s="38"/>
      <c r="P589" s="19" t="s">
        <v>49</v>
      </c>
      <c r="Q589" s="19" t="s">
        <v>747</v>
      </c>
      <c r="R589" s="38">
        <v>45902</v>
      </c>
      <c r="S589" s="20">
        <v>9</v>
      </c>
    </row>
    <row r="590" spans="1:19" ht="14.25" customHeight="1" x14ac:dyDescent="0.3">
      <c r="A590" s="17">
        <f t="shared" si="19"/>
        <v>589</v>
      </c>
      <c r="B590" s="30">
        <v>40470451</v>
      </c>
      <c r="C590" s="19" t="s">
        <v>773</v>
      </c>
      <c r="D590" s="18">
        <v>97327852</v>
      </c>
      <c r="E590" s="18">
        <v>81143697</v>
      </c>
      <c r="F590" s="18" t="s">
        <v>334</v>
      </c>
      <c r="G590" s="18" t="s">
        <v>774</v>
      </c>
      <c r="H590" s="18">
        <v>175</v>
      </c>
      <c r="I590" s="18">
        <v>8</v>
      </c>
      <c r="J590" s="19" t="s">
        <v>373</v>
      </c>
      <c r="K590" s="21" t="s">
        <v>64</v>
      </c>
      <c r="L590" s="38"/>
      <c r="M590" s="21"/>
      <c r="N590" s="26"/>
      <c r="O590" s="38"/>
      <c r="P590" s="19" t="s">
        <v>49</v>
      </c>
      <c r="Q590" s="19" t="s">
        <v>747</v>
      </c>
      <c r="R590" s="38">
        <v>45902</v>
      </c>
      <c r="S590" s="20">
        <v>9</v>
      </c>
    </row>
    <row r="591" spans="1:19" ht="14.25" customHeight="1" x14ac:dyDescent="0.3">
      <c r="A591" s="17">
        <f t="shared" si="19"/>
        <v>590</v>
      </c>
      <c r="B591" s="30">
        <v>32890004</v>
      </c>
      <c r="C591" s="19" t="s">
        <v>772</v>
      </c>
      <c r="D591" s="18">
        <v>97354484</v>
      </c>
      <c r="E591" s="18">
        <v>81166926</v>
      </c>
      <c r="F591" s="18" t="s">
        <v>334</v>
      </c>
      <c r="G591" s="18" t="s">
        <v>774</v>
      </c>
      <c r="H591" s="18">
        <v>175</v>
      </c>
      <c r="I591" s="18">
        <v>8</v>
      </c>
      <c r="J591" s="19" t="s">
        <v>475</v>
      </c>
      <c r="K591" s="21" t="s">
        <v>64</v>
      </c>
      <c r="L591" s="38"/>
      <c r="M591" s="21"/>
      <c r="N591" s="26"/>
      <c r="O591" s="38"/>
      <c r="P591" s="19" t="s">
        <v>49</v>
      </c>
      <c r="Q591" s="19" t="s">
        <v>747</v>
      </c>
      <c r="R591" s="38">
        <v>45903</v>
      </c>
      <c r="S591" s="20">
        <v>9</v>
      </c>
    </row>
    <row r="592" spans="1:19" ht="14.25" customHeight="1" x14ac:dyDescent="0.3">
      <c r="A592" s="17">
        <f t="shared" si="19"/>
        <v>591</v>
      </c>
      <c r="B592" s="30">
        <v>20066772</v>
      </c>
      <c r="C592" s="19" t="s">
        <v>775</v>
      </c>
      <c r="D592" s="18">
        <v>97364164</v>
      </c>
      <c r="E592" s="18">
        <v>81176480</v>
      </c>
      <c r="F592" s="18" t="s">
        <v>333</v>
      </c>
      <c r="G592" s="18" t="s">
        <v>769</v>
      </c>
      <c r="H592" s="18">
        <v>69</v>
      </c>
      <c r="I592" s="18">
        <v>5</v>
      </c>
      <c r="J592" s="19" t="s">
        <v>776</v>
      </c>
      <c r="K592" s="21" t="s">
        <v>64</v>
      </c>
      <c r="L592" s="38"/>
      <c r="M592" s="21"/>
      <c r="N592" s="26"/>
      <c r="O592" s="38"/>
      <c r="P592" s="19" t="s">
        <v>49</v>
      </c>
      <c r="Q592" s="19" t="s">
        <v>51</v>
      </c>
      <c r="R592" s="38">
        <v>45904</v>
      </c>
      <c r="S592" s="20">
        <v>9</v>
      </c>
    </row>
    <row r="593" spans="1:20" ht="14.25" customHeight="1" x14ac:dyDescent="0.3">
      <c r="A593" s="17">
        <f t="shared" si="19"/>
        <v>592</v>
      </c>
      <c r="B593" s="30">
        <v>16494462</v>
      </c>
      <c r="C593" s="19" t="s">
        <v>777</v>
      </c>
      <c r="D593" s="18">
        <v>97432759</v>
      </c>
      <c r="E593" s="18">
        <v>81223193</v>
      </c>
      <c r="F593" s="18" t="s">
        <v>333</v>
      </c>
      <c r="G593" s="18" t="s">
        <v>338</v>
      </c>
      <c r="H593" s="18">
        <v>160</v>
      </c>
      <c r="I593" s="18">
        <v>6</v>
      </c>
      <c r="J593" s="19" t="s">
        <v>612</v>
      </c>
      <c r="K593" s="21" t="s">
        <v>64</v>
      </c>
      <c r="L593" s="38"/>
      <c r="M593" s="21"/>
      <c r="N593" s="26"/>
      <c r="O593" s="38"/>
      <c r="P593" s="19" t="s">
        <v>49</v>
      </c>
      <c r="Q593" s="19" t="s">
        <v>58</v>
      </c>
      <c r="R593" s="38">
        <v>45906</v>
      </c>
      <c r="S593" s="20">
        <v>9</v>
      </c>
    </row>
    <row r="594" spans="1:20" ht="14.25" customHeight="1" x14ac:dyDescent="0.3">
      <c r="A594" s="17">
        <f t="shared" si="19"/>
        <v>593</v>
      </c>
      <c r="B594" s="30">
        <v>76388996</v>
      </c>
      <c r="C594" s="19" t="s">
        <v>778</v>
      </c>
      <c r="D594" s="18">
        <v>97465544</v>
      </c>
      <c r="E594" s="18">
        <v>81258050</v>
      </c>
      <c r="F594" s="18" t="s">
        <v>333</v>
      </c>
      <c r="G594" s="18" t="s">
        <v>779</v>
      </c>
      <c r="H594" s="18">
        <v>150</v>
      </c>
      <c r="I594" s="18">
        <v>5</v>
      </c>
      <c r="J594" s="19" t="s">
        <v>372</v>
      </c>
      <c r="K594" s="21" t="s">
        <v>64</v>
      </c>
      <c r="L594" s="38"/>
      <c r="M594" s="21"/>
      <c r="N594" s="26"/>
      <c r="O594" s="38"/>
      <c r="P594" s="19" t="s">
        <v>49</v>
      </c>
      <c r="Q594" s="19" t="s">
        <v>687</v>
      </c>
      <c r="R594" s="38">
        <v>45908</v>
      </c>
      <c r="S594" s="20">
        <v>9</v>
      </c>
    </row>
    <row r="595" spans="1:20" ht="14.25" customHeight="1" x14ac:dyDescent="0.3">
      <c r="A595" s="17">
        <f t="shared" si="19"/>
        <v>594</v>
      </c>
      <c r="B595" s="30">
        <v>18865029</v>
      </c>
      <c r="C595" s="19" t="s">
        <v>780</v>
      </c>
      <c r="D595" s="18">
        <v>97465270</v>
      </c>
      <c r="E595" s="18">
        <v>81257883</v>
      </c>
      <c r="F595" s="18" t="s">
        <v>333</v>
      </c>
      <c r="G595" s="18" t="s">
        <v>769</v>
      </c>
      <c r="H595" s="18">
        <v>69</v>
      </c>
      <c r="I595" s="18">
        <v>8</v>
      </c>
      <c r="J595" s="19" t="s">
        <v>604</v>
      </c>
      <c r="K595" s="21" t="s">
        <v>64</v>
      </c>
      <c r="L595" s="38"/>
      <c r="M595" s="21"/>
      <c r="N595" s="26"/>
      <c r="O595" s="38"/>
      <c r="P595" s="19" t="s">
        <v>49</v>
      </c>
      <c r="Q595" s="19" t="s">
        <v>770</v>
      </c>
      <c r="R595" s="38">
        <v>45908</v>
      </c>
      <c r="S595" s="20">
        <v>9</v>
      </c>
    </row>
    <row r="596" spans="1:20" ht="14.25" customHeight="1" x14ac:dyDescent="0.3">
      <c r="A596" s="17">
        <f t="shared" si="19"/>
        <v>595</v>
      </c>
      <c r="B596" s="30">
        <v>46155284</v>
      </c>
      <c r="C596" s="19" t="s">
        <v>781</v>
      </c>
      <c r="D596" s="18">
        <v>97462765</v>
      </c>
      <c r="E596" s="18">
        <v>81256341</v>
      </c>
      <c r="F596" s="18" t="s">
        <v>333</v>
      </c>
      <c r="G596" s="18" t="s">
        <v>414</v>
      </c>
      <c r="H596" s="18">
        <v>84</v>
      </c>
      <c r="I596" s="18">
        <v>3</v>
      </c>
      <c r="J596" s="19" t="s">
        <v>612</v>
      </c>
      <c r="K596" s="21" t="s">
        <v>64</v>
      </c>
      <c r="L596" s="38"/>
      <c r="M596" s="21"/>
      <c r="N596" s="26"/>
      <c r="O596" s="38"/>
      <c r="P596" s="19" t="s">
        <v>49</v>
      </c>
      <c r="Q596" s="19" t="s">
        <v>770</v>
      </c>
      <c r="R596" s="38">
        <v>45908</v>
      </c>
      <c r="S596" s="20">
        <v>9</v>
      </c>
    </row>
    <row r="597" spans="1:20" ht="14.25" customHeight="1" x14ac:dyDescent="0.3">
      <c r="A597" s="17">
        <f t="shared" si="19"/>
        <v>596</v>
      </c>
      <c r="B597" s="30">
        <v>71229672</v>
      </c>
      <c r="C597" s="19" t="s">
        <v>782</v>
      </c>
      <c r="D597" s="18">
        <v>97470566</v>
      </c>
      <c r="E597" s="18">
        <v>81261109</v>
      </c>
      <c r="F597" s="18" t="s">
        <v>334</v>
      </c>
      <c r="G597" s="18" t="s">
        <v>338</v>
      </c>
      <c r="H597" s="18">
        <v>160</v>
      </c>
      <c r="I597" s="18">
        <v>7</v>
      </c>
      <c r="J597" s="19" t="s">
        <v>475</v>
      </c>
      <c r="K597" s="21" t="s">
        <v>64</v>
      </c>
      <c r="L597" s="38"/>
      <c r="M597" s="21"/>
      <c r="N597" s="26"/>
      <c r="O597" s="38"/>
      <c r="P597" s="19" t="s">
        <v>49</v>
      </c>
      <c r="Q597" s="19" t="s">
        <v>54</v>
      </c>
      <c r="R597" s="38">
        <v>45908</v>
      </c>
      <c r="S597" s="20">
        <v>9</v>
      </c>
    </row>
    <row r="598" spans="1:20" ht="14.25" customHeight="1" x14ac:dyDescent="0.3">
      <c r="A598" s="17">
        <f t="shared" si="19"/>
        <v>597</v>
      </c>
      <c r="B598" s="30">
        <v>17959391</v>
      </c>
      <c r="C598" s="19" t="s">
        <v>783</v>
      </c>
      <c r="D598" s="18">
        <v>97477027</v>
      </c>
      <c r="E598" s="18">
        <v>81264544</v>
      </c>
      <c r="F598" s="18" t="s">
        <v>333</v>
      </c>
      <c r="G598" s="18" t="s">
        <v>337</v>
      </c>
      <c r="H598" s="18">
        <v>170</v>
      </c>
      <c r="I598" s="18">
        <v>8</v>
      </c>
      <c r="J598" s="19" t="s">
        <v>373</v>
      </c>
      <c r="K598" s="21" t="s">
        <v>64</v>
      </c>
      <c r="L598" s="38"/>
      <c r="M598" s="21"/>
      <c r="N598" s="26"/>
      <c r="O598" s="38"/>
      <c r="P598" s="19" t="s">
        <v>49</v>
      </c>
      <c r="Q598" s="19" t="s">
        <v>719</v>
      </c>
      <c r="R598" s="38">
        <v>45908</v>
      </c>
      <c r="S598" s="20">
        <v>9</v>
      </c>
    </row>
    <row r="599" spans="1:20" ht="14.25" customHeight="1" x14ac:dyDescent="0.3">
      <c r="A599" s="17">
        <f t="shared" si="19"/>
        <v>598</v>
      </c>
      <c r="B599" s="30">
        <v>19924115</v>
      </c>
      <c r="C599" s="19" t="s">
        <v>784</v>
      </c>
      <c r="D599" s="18">
        <v>97503517</v>
      </c>
      <c r="E599" s="18">
        <v>81291793</v>
      </c>
      <c r="F599" s="18" t="s">
        <v>333</v>
      </c>
      <c r="G599" s="18" t="s">
        <v>337</v>
      </c>
      <c r="H599" s="18">
        <v>170</v>
      </c>
      <c r="I599" s="18">
        <v>6</v>
      </c>
      <c r="J599" s="19" t="s">
        <v>786</v>
      </c>
      <c r="K599" s="21" t="s">
        <v>64</v>
      </c>
      <c r="L599" s="38"/>
      <c r="M599" s="21"/>
      <c r="N599" s="26"/>
      <c r="O599" s="38"/>
      <c r="P599" s="19" t="s">
        <v>49</v>
      </c>
      <c r="Q599" s="19" t="s">
        <v>747</v>
      </c>
      <c r="R599" s="38">
        <v>45909</v>
      </c>
      <c r="S599" s="20">
        <v>9</v>
      </c>
    </row>
    <row r="600" spans="1:20" ht="14.25" customHeight="1" x14ac:dyDescent="0.3">
      <c r="A600" s="17">
        <f t="shared" si="19"/>
        <v>599</v>
      </c>
      <c r="B600" s="30">
        <v>71229672</v>
      </c>
      <c r="C600" s="19" t="s">
        <v>782</v>
      </c>
      <c r="D600" s="18">
        <v>97504163</v>
      </c>
      <c r="E600" s="18">
        <v>81292074</v>
      </c>
      <c r="F600" s="18" t="s">
        <v>334</v>
      </c>
      <c r="G600" s="18" t="s">
        <v>337</v>
      </c>
      <c r="H600" s="18">
        <v>170</v>
      </c>
      <c r="I600" s="18">
        <v>7</v>
      </c>
      <c r="J600" s="19"/>
      <c r="K600" s="21" t="s">
        <v>64</v>
      </c>
      <c r="L600" s="38"/>
      <c r="M600" s="21"/>
      <c r="N600" s="26"/>
      <c r="O600" s="38"/>
      <c r="P600" s="19" t="s">
        <v>49</v>
      </c>
      <c r="Q600" s="19" t="s">
        <v>54</v>
      </c>
      <c r="R600" s="38">
        <v>45909</v>
      </c>
      <c r="S600" s="20">
        <v>9</v>
      </c>
    </row>
    <row r="601" spans="1:20" ht="14.25" customHeight="1" x14ac:dyDescent="0.3">
      <c r="A601" s="17">
        <f t="shared" si="19"/>
        <v>600</v>
      </c>
      <c r="B601" s="30">
        <v>20066772</v>
      </c>
      <c r="C601" s="19" t="s">
        <v>775</v>
      </c>
      <c r="D601" s="18">
        <v>97436281</v>
      </c>
      <c r="E601" s="18">
        <v>81224272</v>
      </c>
      <c r="F601" s="18" t="s">
        <v>333</v>
      </c>
      <c r="G601" s="18" t="s">
        <v>338</v>
      </c>
      <c r="H601" s="18">
        <v>160</v>
      </c>
      <c r="I601" s="18">
        <v>5</v>
      </c>
      <c r="J601" s="19" t="s">
        <v>529</v>
      </c>
      <c r="K601" s="21" t="s">
        <v>64</v>
      </c>
      <c r="L601" s="38"/>
      <c r="M601" s="21"/>
      <c r="N601" s="26"/>
      <c r="O601" s="38"/>
      <c r="P601" s="19" t="s">
        <v>49</v>
      </c>
      <c r="Q601" s="19" t="s">
        <v>51</v>
      </c>
      <c r="R601" s="38">
        <v>45906</v>
      </c>
      <c r="S601" s="20">
        <v>9</v>
      </c>
      <c r="T601" s="20" t="s">
        <v>0</v>
      </c>
    </row>
    <row r="602" spans="1:20" ht="14.25" customHeight="1" x14ac:dyDescent="0.3">
      <c r="A602" s="17">
        <f t="shared" si="19"/>
        <v>601</v>
      </c>
      <c r="B602" s="30">
        <v>16794144</v>
      </c>
      <c r="C602" s="19" t="s">
        <v>785</v>
      </c>
      <c r="D602" s="18">
        <v>97477374</v>
      </c>
      <c r="E602" s="18">
        <v>81290297</v>
      </c>
      <c r="F602" s="18" t="s">
        <v>333</v>
      </c>
      <c r="G602" s="18" t="s">
        <v>414</v>
      </c>
      <c r="H602" s="18">
        <v>84</v>
      </c>
      <c r="I602" s="18">
        <v>4</v>
      </c>
      <c r="J602" s="19" t="s">
        <v>373</v>
      </c>
      <c r="K602" s="21" t="s">
        <v>64</v>
      </c>
      <c r="L602" s="38"/>
      <c r="M602" s="21"/>
      <c r="N602" s="26"/>
      <c r="O602" s="38"/>
      <c r="P602" s="19" t="s">
        <v>49</v>
      </c>
      <c r="Q602" s="19" t="s">
        <v>54</v>
      </c>
      <c r="R602" s="38">
        <v>45909</v>
      </c>
      <c r="S602" s="20">
        <v>9</v>
      </c>
      <c r="T602" s="20" t="s">
        <v>0</v>
      </c>
    </row>
    <row r="603" spans="1:20" ht="14.25" customHeight="1" x14ac:dyDescent="0.3">
      <c r="A603" s="17">
        <f t="shared" si="19"/>
        <v>602</v>
      </c>
      <c r="B603" s="30">
        <v>41103928</v>
      </c>
      <c r="C603" s="19" t="s">
        <v>787</v>
      </c>
      <c r="D603" s="18">
        <v>97554725</v>
      </c>
      <c r="E603" s="18">
        <v>81335627</v>
      </c>
      <c r="F603" s="18" t="s">
        <v>333</v>
      </c>
      <c r="G603" s="18" t="s">
        <v>337</v>
      </c>
      <c r="H603" s="18">
        <v>170</v>
      </c>
      <c r="I603" s="18">
        <v>8</v>
      </c>
      <c r="J603" s="19" t="s">
        <v>373</v>
      </c>
      <c r="K603" s="21" t="s">
        <v>64</v>
      </c>
      <c r="L603" s="38"/>
      <c r="M603" s="21"/>
      <c r="N603" s="26"/>
      <c r="O603" s="38"/>
      <c r="P603" s="19" t="s">
        <v>49</v>
      </c>
      <c r="Q603" s="19" t="s">
        <v>524</v>
      </c>
      <c r="R603" s="38">
        <v>45911</v>
      </c>
      <c r="S603" s="20">
        <v>9</v>
      </c>
      <c r="T603" s="20" t="s">
        <v>0</v>
      </c>
    </row>
    <row r="604" spans="1:20" ht="14.25" customHeight="1" x14ac:dyDescent="0.3">
      <c r="A604" s="17">
        <f t="shared" si="19"/>
        <v>603</v>
      </c>
      <c r="B604" s="30">
        <v>42321398</v>
      </c>
      <c r="C604" s="19" t="s">
        <v>788</v>
      </c>
      <c r="D604" s="18">
        <v>97569393</v>
      </c>
      <c r="E604" s="18">
        <v>81349289</v>
      </c>
      <c r="F604" s="18" t="s">
        <v>334</v>
      </c>
      <c r="G604" s="18" t="s">
        <v>724</v>
      </c>
      <c r="H604" s="18">
        <v>94</v>
      </c>
      <c r="I604" s="18">
        <v>7</v>
      </c>
      <c r="J604" s="19" t="s">
        <v>529</v>
      </c>
      <c r="K604" s="21" t="s">
        <v>64</v>
      </c>
      <c r="L604" s="38"/>
      <c r="M604" s="21"/>
      <c r="N604" s="26"/>
      <c r="O604" s="38"/>
      <c r="P604" s="19" t="s">
        <v>49</v>
      </c>
      <c r="Q604" s="19" t="s">
        <v>771</v>
      </c>
      <c r="R604" s="38">
        <v>45912</v>
      </c>
      <c r="S604" s="20">
        <v>9</v>
      </c>
      <c r="T604" s="20" t="s">
        <v>0</v>
      </c>
    </row>
    <row r="605" spans="1:20" ht="14.25" customHeight="1" x14ac:dyDescent="0.3">
      <c r="A605" s="17">
        <f t="shared" si="19"/>
        <v>604</v>
      </c>
      <c r="B605" s="30">
        <v>17916688</v>
      </c>
      <c r="C605" s="19" t="s">
        <v>789</v>
      </c>
      <c r="D605" s="18">
        <v>97593956</v>
      </c>
      <c r="E605" s="18">
        <v>81362225</v>
      </c>
      <c r="F605" s="18" t="s">
        <v>333</v>
      </c>
      <c r="G605" s="18" t="s">
        <v>724</v>
      </c>
      <c r="H605" s="18">
        <v>94</v>
      </c>
      <c r="I605" s="18">
        <v>6</v>
      </c>
      <c r="J605" s="19" t="s">
        <v>529</v>
      </c>
      <c r="K605" s="21" t="s">
        <v>64</v>
      </c>
      <c r="L605" s="38"/>
      <c r="M605" s="21"/>
      <c r="N605" s="26"/>
      <c r="O605" s="38"/>
      <c r="P605" s="19" t="s">
        <v>49</v>
      </c>
      <c r="Q605" s="19" t="s">
        <v>725</v>
      </c>
      <c r="R605" s="38">
        <v>45913</v>
      </c>
      <c r="S605" s="20">
        <v>9</v>
      </c>
      <c r="T605" s="20" t="s">
        <v>0</v>
      </c>
    </row>
    <row r="606" spans="1:20" ht="14.25" customHeight="1" x14ac:dyDescent="0.3">
      <c r="A606" s="17">
        <f t="shared" si="19"/>
        <v>605</v>
      </c>
      <c r="B606" s="30">
        <v>74166115</v>
      </c>
      <c r="C606" s="19" t="s">
        <v>790</v>
      </c>
      <c r="D606" s="18">
        <v>97606365</v>
      </c>
      <c r="E606" s="18">
        <v>81366252</v>
      </c>
      <c r="F606" s="18" t="s">
        <v>334</v>
      </c>
      <c r="G606" s="18" t="s">
        <v>769</v>
      </c>
      <c r="H606" s="18">
        <v>69</v>
      </c>
      <c r="I606" s="18">
        <v>2</v>
      </c>
      <c r="J606" s="19" t="s">
        <v>529</v>
      </c>
      <c r="K606" s="21" t="s">
        <v>64</v>
      </c>
      <c r="L606" s="38"/>
      <c r="M606" s="21"/>
      <c r="N606" s="26"/>
      <c r="O606" s="38"/>
      <c r="P606" s="19" t="s">
        <v>49</v>
      </c>
      <c r="Q606" s="19" t="s">
        <v>25</v>
      </c>
      <c r="R606" s="38">
        <v>45913</v>
      </c>
      <c r="S606" s="20">
        <v>9</v>
      </c>
      <c r="T606" s="20" t="s">
        <v>0</v>
      </c>
    </row>
    <row r="607" spans="1:20" ht="14.25" customHeight="1" x14ac:dyDescent="0.3">
      <c r="A607" s="17">
        <f t="shared" si="19"/>
        <v>606</v>
      </c>
      <c r="B607" s="30">
        <v>21437227</v>
      </c>
      <c r="C607" s="19" t="s">
        <v>791</v>
      </c>
      <c r="D607" s="18">
        <v>97605985</v>
      </c>
      <c r="E607" s="18">
        <v>81366168</v>
      </c>
      <c r="F607" s="18" t="s">
        <v>333</v>
      </c>
      <c r="G607" s="18" t="s">
        <v>355</v>
      </c>
      <c r="H607" s="18">
        <v>85</v>
      </c>
      <c r="I607" s="18">
        <v>8</v>
      </c>
      <c r="J607" s="19" t="s">
        <v>799</v>
      </c>
      <c r="K607" s="21" t="s">
        <v>64</v>
      </c>
      <c r="L607" s="38"/>
      <c r="M607" s="21"/>
      <c r="N607" s="26"/>
      <c r="O607" s="38"/>
      <c r="P607" s="19" t="s">
        <v>49</v>
      </c>
      <c r="Q607" s="19" t="s">
        <v>747</v>
      </c>
      <c r="R607" s="38">
        <v>45913</v>
      </c>
      <c r="S607" s="20">
        <v>9</v>
      </c>
      <c r="T607" s="20" t="s">
        <v>0</v>
      </c>
    </row>
    <row r="608" spans="1:20" ht="14.25" customHeight="1" x14ac:dyDescent="0.3">
      <c r="A608" s="17">
        <f t="shared" si="19"/>
        <v>607</v>
      </c>
      <c r="B608" s="30">
        <v>28311652</v>
      </c>
      <c r="C608" s="19" t="s">
        <v>792</v>
      </c>
      <c r="D608" s="18">
        <v>97644164</v>
      </c>
      <c r="E608" s="18">
        <v>81406554</v>
      </c>
      <c r="F608" s="18" t="s">
        <v>333</v>
      </c>
      <c r="G608" s="18" t="s">
        <v>724</v>
      </c>
      <c r="H608" s="18">
        <v>94</v>
      </c>
      <c r="I608" s="18">
        <v>10</v>
      </c>
      <c r="J608" s="19" t="s">
        <v>626</v>
      </c>
      <c r="K608" s="21" t="s">
        <v>64</v>
      </c>
      <c r="L608" s="38"/>
      <c r="M608" s="21"/>
      <c r="N608" s="26"/>
      <c r="O608" s="38"/>
      <c r="P608" s="19" t="s">
        <v>49</v>
      </c>
      <c r="Q608" s="19" t="s">
        <v>671</v>
      </c>
      <c r="R608" s="38">
        <v>45915</v>
      </c>
      <c r="S608" s="20">
        <v>9</v>
      </c>
      <c r="T608" s="20" t="s">
        <v>0</v>
      </c>
    </row>
    <row r="609" spans="1:20" ht="14.25" customHeight="1" x14ac:dyDescent="0.3">
      <c r="A609" s="17">
        <f t="shared" si="19"/>
        <v>608</v>
      </c>
      <c r="B609" s="30">
        <v>40036595</v>
      </c>
      <c r="C609" s="19" t="s">
        <v>793</v>
      </c>
      <c r="D609" s="18">
        <v>97649214</v>
      </c>
      <c r="E609" s="18">
        <v>81409314</v>
      </c>
      <c r="F609" s="18" t="s">
        <v>334</v>
      </c>
      <c r="G609" s="18" t="s">
        <v>724</v>
      </c>
      <c r="H609" s="18">
        <v>94</v>
      </c>
      <c r="I609" s="18">
        <v>1</v>
      </c>
      <c r="J609" s="19" t="s">
        <v>475</v>
      </c>
      <c r="K609" s="21" t="s">
        <v>64</v>
      </c>
      <c r="L609" s="38"/>
      <c r="M609" s="21"/>
      <c r="N609" s="26"/>
      <c r="O609" s="38"/>
      <c r="P609" s="19" t="s">
        <v>49</v>
      </c>
      <c r="Q609" s="19" t="s">
        <v>747</v>
      </c>
      <c r="R609" s="38">
        <v>45915</v>
      </c>
      <c r="S609" s="20">
        <v>9</v>
      </c>
      <c r="T609" s="20" t="s">
        <v>0</v>
      </c>
    </row>
    <row r="610" spans="1:20" ht="14.25" customHeight="1" x14ac:dyDescent="0.3">
      <c r="A610" s="17">
        <f t="shared" si="19"/>
        <v>609</v>
      </c>
      <c r="B610" s="30">
        <v>28297084</v>
      </c>
      <c r="C610" s="19" t="s">
        <v>794</v>
      </c>
      <c r="D610" s="18">
        <v>97654400</v>
      </c>
      <c r="E610" s="18">
        <v>81411791</v>
      </c>
      <c r="F610" s="18" t="s">
        <v>333</v>
      </c>
      <c r="G610" s="18" t="s">
        <v>724</v>
      </c>
      <c r="H610" s="18">
        <v>94</v>
      </c>
      <c r="I610" s="18">
        <v>6</v>
      </c>
      <c r="J610" s="19" t="s">
        <v>804</v>
      </c>
      <c r="K610" s="21" t="s">
        <v>64</v>
      </c>
      <c r="L610" s="38"/>
      <c r="M610" s="21"/>
      <c r="N610" s="26"/>
      <c r="O610" s="38"/>
      <c r="P610" s="19" t="s">
        <v>49</v>
      </c>
      <c r="Q610" s="19" t="s">
        <v>747</v>
      </c>
      <c r="R610" s="38">
        <v>45915</v>
      </c>
      <c r="S610" s="20">
        <v>9</v>
      </c>
      <c r="T610" s="20" t="s">
        <v>0</v>
      </c>
    </row>
    <row r="611" spans="1:20" ht="14.25" customHeight="1" x14ac:dyDescent="0.3">
      <c r="A611" s="17">
        <f t="shared" si="19"/>
        <v>610</v>
      </c>
      <c r="B611" s="30">
        <v>45491149</v>
      </c>
      <c r="C611" s="19" t="s">
        <v>795</v>
      </c>
      <c r="D611" s="18">
        <v>97654747</v>
      </c>
      <c r="E611" s="18">
        <v>81411952</v>
      </c>
      <c r="F611" s="18" t="s">
        <v>333</v>
      </c>
      <c r="G611" s="18" t="s">
        <v>779</v>
      </c>
      <c r="H611" s="18">
        <v>150</v>
      </c>
      <c r="I611" s="18">
        <v>5</v>
      </c>
      <c r="J611" s="19" t="s">
        <v>796</v>
      </c>
      <c r="K611" s="21" t="s">
        <v>64</v>
      </c>
      <c r="L611" s="38"/>
      <c r="M611" s="21"/>
      <c r="N611" s="26"/>
      <c r="O611" s="38"/>
      <c r="P611" s="19" t="s">
        <v>49</v>
      </c>
      <c r="Q611" s="19" t="s">
        <v>771</v>
      </c>
      <c r="R611" s="38">
        <v>45915</v>
      </c>
      <c r="S611" s="20">
        <v>9</v>
      </c>
      <c r="T611" s="20" t="s">
        <v>0</v>
      </c>
    </row>
    <row r="612" spans="1:20" ht="14.25" customHeight="1" x14ac:dyDescent="0.3">
      <c r="A612" s="17">
        <f t="shared" si="19"/>
        <v>611</v>
      </c>
      <c r="B612" s="30">
        <v>483486</v>
      </c>
      <c r="C612" s="19" t="s">
        <v>797</v>
      </c>
      <c r="D612" s="18">
        <v>97674756</v>
      </c>
      <c r="E612" s="18">
        <v>81433208</v>
      </c>
      <c r="F612" s="18" t="s">
        <v>334</v>
      </c>
      <c r="G612" s="18" t="s">
        <v>355</v>
      </c>
      <c r="H612" s="18">
        <v>85</v>
      </c>
      <c r="I612" s="18">
        <v>10</v>
      </c>
      <c r="J612" s="19" t="s">
        <v>373</v>
      </c>
      <c r="K612" s="21" t="s">
        <v>64</v>
      </c>
      <c r="L612" s="38"/>
      <c r="M612" s="21"/>
      <c r="N612" s="26"/>
      <c r="O612" s="38"/>
      <c r="P612" s="19" t="s">
        <v>49</v>
      </c>
      <c r="Q612" s="19" t="s">
        <v>747</v>
      </c>
      <c r="R612" s="38">
        <v>45916</v>
      </c>
      <c r="S612" s="20">
        <v>9</v>
      </c>
      <c r="T612" s="20" t="s">
        <v>0</v>
      </c>
    </row>
    <row r="613" spans="1:20" ht="14.25" customHeight="1" x14ac:dyDescent="0.3">
      <c r="A613" s="17">
        <f t="shared" si="19"/>
        <v>612</v>
      </c>
      <c r="B613" s="30">
        <v>80607821</v>
      </c>
      <c r="C613" s="19" t="s">
        <v>798</v>
      </c>
      <c r="D613" s="18">
        <v>97676456</v>
      </c>
      <c r="E613" s="18">
        <v>81434128</v>
      </c>
      <c r="F613" s="18" t="s">
        <v>334</v>
      </c>
      <c r="G613" s="18" t="s">
        <v>724</v>
      </c>
      <c r="H613" s="18">
        <v>94</v>
      </c>
      <c r="I613" s="18">
        <v>10</v>
      </c>
      <c r="J613" s="19" t="s">
        <v>626</v>
      </c>
      <c r="K613" s="21" t="s">
        <v>64</v>
      </c>
      <c r="L613" s="38"/>
      <c r="M613" s="21"/>
      <c r="N613" s="26"/>
      <c r="O613" s="38"/>
      <c r="P613" s="19" t="s">
        <v>49</v>
      </c>
      <c r="Q613" s="19" t="s">
        <v>51</v>
      </c>
      <c r="R613" s="38">
        <v>45916</v>
      </c>
      <c r="S613" s="20">
        <v>9</v>
      </c>
      <c r="T613" s="20" t="s">
        <v>0</v>
      </c>
    </row>
    <row r="614" spans="1:20" ht="14.25" customHeight="1" x14ac:dyDescent="0.3">
      <c r="A614" s="17">
        <f t="shared" si="19"/>
        <v>613</v>
      </c>
      <c r="B614" s="30">
        <v>43523351</v>
      </c>
      <c r="C614" s="19" t="s">
        <v>800</v>
      </c>
      <c r="D614" s="18">
        <v>97707647</v>
      </c>
      <c r="E614" s="18">
        <v>81462812</v>
      </c>
      <c r="F614" s="18" t="s">
        <v>333</v>
      </c>
      <c r="G614" s="18" t="s">
        <v>724</v>
      </c>
      <c r="H614" s="18">
        <v>94</v>
      </c>
      <c r="I614" s="18">
        <v>9</v>
      </c>
      <c r="J614" s="19" t="s">
        <v>373</v>
      </c>
      <c r="K614" s="21" t="s">
        <v>64</v>
      </c>
      <c r="L614" s="38"/>
      <c r="M614" s="21"/>
      <c r="N614" s="26"/>
      <c r="O614" s="38"/>
      <c r="P614" s="19" t="s">
        <v>49</v>
      </c>
      <c r="Q614" s="19" t="s">
        <v>719</v>
      </c>
      <c r="R614" s="38">
        <v>45917</v>
      </c>
      <c r="S614" s="20">
        <v>9</v>
      </c>
      <c r="T614" s="20" t="s">
        <v>0</v>
      </c>
    </row>
    <row r="615" spans="1:20" ht="14.25" customHeight="1" x14ac:dyDescent="0.3">
      <c r="A615" s="17">
        <f t="shared" si="19"/>
        <v>614</v>
      </c>
      <c r="B615" s="30">
        <v>29580318</v>
      </c>
      <c r="C615" s="19" t="s">
        <v>802</v>
      </c>
      <c r="D615" s="18">
        <v>97718372</v>
      </c>
      <c r="E615" s="18">
        <v>81476957</v>
      </c>
      <c r="F615" s="18" t="s">
        <v>334</v>
      </c>
      <c r="G615" s="18" t="s">
        <v>724</v>
      </c>
      <c r="H615" s="18">
        <v>94</v>
      </c>
      <c r="I615" s="18">
        <v>9</v>
      </c>
      <c r="J615" s="19" t="s">
        <v>475</v>
      </c>
      <c r="K615" s="21" t="s">
        <v>64</v>
      </c>
      <c r="L615" s="38"/>
      <c r="M615" s="21"/>
      <c r="N615" s="26"/>
      <c r="O615" s="38"/>
      <c r="P615" s="19" t="s">
        <v>49</v>
      </c>
      <c r="Q615" s="19" t="s">
        <v>725</v>
      </c>
      <c r="R615" s="38">
        <v>45918</v>
      </c>
      <c r="S615" s="20">
        <v>9</v>
      </c>
      <c r="T615" s="20" t="s">
        <v>0</v>
      </c>
    </row>
    <row r="616" spans="1:20" ht="14.25" customHeight="1" x14ac:dyDescent="0.3">
      <c r="A616" s="17">
        <f t="shared" si="19"/>
        <v>615</v>
      </c>
      <c r="B616" s="30">
        <v>10803769295</v>
      </c>
      <c r="C616" s="19" t="s">
        <v>805</v>
      </c>
      <c r="D616" s="18">
        <v>97752130</v>
      </c>
      <c r="E616" s="18">
        <v>81502516</v>
      </c>
      <c r="F616" s="18" t="s">
        <v>333</v>
      </c>
      <c r="G616" s="18" t="s">
        <v>724</v>
      </c>
      <c r="H616" s="18">
        <v>94</v>
      </c>
      <c r="I616" s="18">
        <v>6</v>
      </c>
      <c r="J616" s="19" t="s">
        <v>372</v>
      </c>
      <c r="K616" s="21" t="s">
        <v>64</v>
      </c>
      <c r="L616" s="38"/>
      <c r="M616" s="21"/>
      <c r="N616" s="26"/>
      <c r="O616" s="38"/>
      <c r="P616" s="19" t="s">
        <v>49</v>
      </c>
      <c r="Q616" s="19" t="s">
        <v>725</v>
      </c>
      <c r="R616" s="38">
        <v>45919</v>
      </c>
      <c r="S616" s="20">
        <v>9</v>
      </c>
      <c r="T616" s="20" t="s">
        <v>0</v>
      </c>
    </row>
    <row r="617" spans="1:20" ht="14.25" customHeight="1" x14ac:dyDescent="0.3">
      <c r="A617" s="17">
        <f t="shared" si="19"/>
        <v>616</v>
      </c>
      <c r="B617" s="30">
        <v>28295480</v>
      </c>
      <c r="C617" s="19" t="s">
        <v>806</v>
      </c>
      <c r="D617" s="18">
        <v>97751554</v>
      </c>
      <c r="E617" s="18">
        <v>81502217</v>
      </c>
      <c r="F617" s="18" t="s">
        <v>333</v>
      </c>
      <c r="G617" s="18" t="s">
        <v>769</v>
      </c>
      <c r="H617" s="18">
        <v>69</v>
      </c>
      <c r="I617" s="18">
        <v>9</v>
      </c>
      <c r="J617" s="19" t="s">
        <v>804</v>
      </c>
      <c r="K617" s="21" t="s">
        <v>64</v>
      </c>
      <c r="L617" s="38"/>
      <c r="M617" s="21"/>
      <c r="N617" s="26"/>
      <c r="O617" s="38"/>
      <c r="P617" s="19" t="s">
        <v>49</v>
      </c>
      <c r="Q617" s="19" t="s">
        <v>719</v>
      </c>
      <c r="R617" s="38">
        <v>45919</v>
      </c>
      <c r="S617" s="20">
        <v>9</v>
      </c>
      <c r="T617" s="20" t="s">
        <v>0</v>
      </c>
    </row>
    <row r="618" spans="1:20" ht="14.25" customHeight="1" x14ac:dyDescent="0.3">
      <c r="A618" s="17">
        <f t="shared" si="19"/>
        <v>617</v>
      </c>
      <c r="B618" s="30">
        <v>18063086</v>
      </c>
      <c r="C618" s="19" t="s">
        <v>807</v>
      </c>
      <c r="D618" s="18">
        <v>97750484</v>
      </c>
      <c r="E618" s="18">
        <v>81501758</v>
      </c>
      <c r="F618" s="18" t="s">
        <v>333</v>
      </c>
      <c r="G618" s="18" t="s">
        <v>724</v>
      </c>
      <c r="H618" s="18">
        <v>94</v>
      </c>
      <c r="I618" s="18">
        <v>7</v>
      </c>
      <c r="J618" s="19" t="s">
        <v>626</v>
      </c>
      <c r="K618" s="21" t="s">
        <v>64</v>
      </c>
      <c r="L618" s="38"/>
      <c r="M618" s="21"/>
      <c r="N618" s="26"/>
      <c r="O618" s="38"/>
      <c r="P618" s="19" t="s">
        <v>49</v>
      </c>
      <c r="Q618" s="19" t="s">
        <v>770</v>
      </c>
      <c r="R618" s="38">
        <v>45919</v>
      </c>
      <c r="S618" s="20">
        <v>9</v>
      </c>
      <c r="T618" s="20" t="s">
        <v>0</v>
      </c>
    </row>
    <row r="619" spans="1:20" ht="14.25" customHeight="1" x14ac:dyDescent="0.3">
      <c r="A619" s="17">
        <f t="shared" si="19"/>
        <v>618</v>
      </c>
      <c r="B619" s="30">
        <v>18160848</v>
      </c>
      <c r="C619" s="19" t="s">
        <v>801</v>
      </c>
      <c r="D619" s="18">
        <v>97709431</v>
      </c>
      <c r="E619" s="18">
        <v>81463622</v>
      </c>
      <c r="F619" s="18" t="s">
        <v>333</v>
      </c>
      <c r="G619" s="18" t="s">
        <v>337</v>
      </c>
      <c r="H619" s="18">
        <f>IFERROR(VLOOKUP(G619, OBSERVACIÓN!F$2:G$151, 2, 0), " ")</f>
        <v>170</v>
      </c>
      <c r="I619" s="18">
        <v>9</v>
      </c>
      <c r="J619" s="19" t="s">
        <v>541</v>
      </c>
      <c r="K619" s="21" t="s">
        <v>64</v>
      </c>
      <c r="L619" s="38"/>
      <c r="M619" s="21"/>
      <c r="N619" s="26"/>
      <c r="O619" s="38"/>
      <c r="P619" s="19" t="s">
        <v>49</v>
      </c>
      <c r="Q619" s="19" t="s">
        <v>54</v>
      </c>
      <c r="R619" s="38">
        <v>45917</v>
      </c>
      <c r="S619" s="20">
        <f>IF(ISNUMBER(R619)=TRUE, MONTH(R619), " ")</f>
        <v>9</v>
      </c>
      <c r="T619" s="20" t="str">
        <f>IF(ISNUMBER(L619)=TRUE, MONTH(L619), " ")</f>
        <v xml:space="preserve"> </v>
      </c>
    </row>
    <row r="620" spans="1:20" ht="14.25" customHeight="1" x14ac:dyDescent="0.3">
      <c r="A620" s="17">
        <f t="shared" si="19"/>
        <v>619</v>
      </c>
      <c r="B620" s="30">
        <v>43523351</v>
      </c>
      <c r="C620" s="19" t="s">
        <v>800</v>
      </c>
      <c r="D620" s="18">
        <v>97707647</v>
      </c>
      <c r="E620" s="18">
        <v>81462812</v>
      </c>
      <c r="F620" s="18" t="s">
        <v>333</v>
      </c>
      <c r="G620" s="18" t="s">
        <v>724</v>
      </c>
      <c r="H620" s="18">
        <v>94</v>
      </c>
      <c r="I620" s="18">
        <v>9</v>
      </c>
      <c r="J620" s="19" t="s">
        <v>604</v>
      </c>
      <c r="K620" s="21" t="s">
        <v>64</v>
      </c>
      <c r="L620" s="38"/>
      <c r="M620" s="21"/>
      <c r="N620" s="26"/>
      <c r="O620" s="38"/>
      <c r="P620" s="19" t="s">
        <v>49</v>
      </c>
      <c r="Q620" s="19" t="s">
        <v>719</v>
      </c>
      <c r="R620" s="38">
        <v>45919</v>
      </c>
      <c r="S620" s="20">
        <v>9</v>
      </c>
    </row>
    <row r="621" spans="1:20" ht="14.25" customHeight="1" x14ac:dyDescent="0.3">
      <c r="A621" s="17">
        <f t="shared" si="19"/>
        <v>620</v>
      </c>
      <c r="B621" s="30">
        <v>1320524</v>
      </c>
      <c r="C621" s="19" t="s">
        <v>808</v>
      </c>
      <c r="D621" s="18">
        <v>97762050</v>
      </c>
      <c r="E621" s="18">
        <v>81506873</v>
      </c>
      <c r="F621" s="18" t="s">
        <v>334</v>
      </c>
      <c r="G621" s="18" t="s">
        <v>338</v>
      </c>
      <c r="H621" s="18">
        <v>160</v>
      </c>
      <c r="I621" s="18">
        <v>5</v>
      </c>
      <c r="J621" s="19" t="s">
        <v>810</v>
      </c>
      <c r="K621" s="21" t="s">
        <v>64</v>
      </c>
      <c r="L621" s="38"/>
      <c r="M621" s="21"/>
      <c r="N621" s="26"/>
      <c r="O621" s="38"/>
      <c r="P621" s="19" t="s">
        <v>49</v>
      </c>
      <c r="Q621" s="19" t="s">
        <v>524</v>
      </c>
      <c r="R621" s="38">
        <v>45919</v>
      </c>
      <c r="S621" s="20">
        <v>9</v>
      </c>
    </row>
    <row r="622" spans="1:20" ht="14.25" customHeight="1" x14ac:dyDescent="0.3">
      <c r="A622" s="17">
        <f t="shared" si="19"/>
        <v>621</v>
      </c>
      <c r="B622" s="30">
        <v>32957484</v>
      </c>
      <c r="C622" s="19" t="s">
        <v>809</v>
      </c>
      <c r="D622" s="18">
        <v>97773565</v>
      </c>
      <c r="E622" s="18">
        <v>81513168</v>
      </c>
      <c r="F622" s="18" t="s">
        <v>333</v>
      </c>
      <c r="G622" s="18" t="s">
        <v>414</v>
      </c>
      <c r="H622" s="18">
        <v>80</v>
      </c>
      <c r="I622" s="18">
        <v>8</v>
      </c>
      <c r="J622" s="19" t="s">
        <v>475</v>
      </c>
      <c r="K622" s="21" t="s">
        <v>64</v>
      </c>
      <c r="L622" s="38"/>
      <c r="M622" s="21"/>
      <c r="N622" s="26"/>
      <c r="O622" s="38"/>
      <c r="P622" s="19" t="s">
        <v>49</v>
      </c>
      <c r="Q622" s="19" t="s">
        <v>518</v>
      </c>
      <c r="R622" s="38">
        <v>45920</v>
      </c>
      <c r="S622" s="20">
        <v>9</v>
      </c>
    </row>
    <row r="623" spans="1:20" ht="14.25" customHeight="1" x14ac:dyDescent="0.3">
      <c r="A623" s="17">
        <f t="shared" si="19"/>
        <v>622</v>
      </c>
      <c r="B623" s="30">
        <v>28295480</v>
      </c>
      <c r="C623" s="19" t="s">
        <v>806</v>
      </c>
      <c r="D623" s="18">
        <v>97808046</v>
      </c>
      <c r="E623" s="18">
        <v>81537908</v>
      </c>
      <c r="F623" s="18" t="s">
        <v>333</v>
      </c>
      <c r="G623" s="18" t="s">
        <v>724</v>
      </c>
      <c r="H623" s="18">
        <v>94</v>
      </c>
      <c r="I623" s="18">
        <v>9</v>
      </c>
      <c r="J623" s="19" t="s">
        <v>604</v>
      </c>
      <c r="K623" s="21" t="s">
        <v>64</v>
      </c>
      <c r="L623" s="38"/>
      <c r="M623" s="21"/>
      <c r="N623" s="26"/>
      <c r="O623" s="38"/>
      <c r="P623" s="19" t="s">
        <v>49</v>
      </c>
      <c r="Q623" s="19" t="s">
        <v>719</v>
      </c>
      <c r="R623" s="38">
        <v>45922</v>
      </c>
      <c r="S623" s="20">
        <v>9</v>
      </c>
    </row>
    <row r="624" spans="1:20" ht="14.25" customHeight="1" x14ac:dyDescent="0.3">
      <c r="A624" s="17">
        <f t="shared" si="19"/>
        <v>623</v>
      </c>
      <c r="B624" s="30">
        <v>44247230</v>
      </c>
      <c r="C624" s="19" t="s">
        <v>811</v>
      </c>
      <c r="D624" s="18">
        <v>97828901</v>
      </c>
      <c r="E624" s="18">
        <v>81547046</v>
      </c>
      <c r="F624" s="18" t="s">
        <v>333</v>
      </c>
      <c r="G624" s="18" t="s">
        <v>766</v>
      </c>
      <c r="H624" s="18">
        <v>74</v>
      </c>
      <c r="I624" s="18">
        <v>10</v>
      </c>
      <c r="J624" s="19" t="s">
        <v>663</v>
      </c>
      <c r="K624" s="21" t="s">
        <v>64</v>
      </c>
      <c r="L624" s="38"/>
      <c r="M624" s="21"/>
      <c r="N624" s="26"/>
      <c r="O624" s="38"/>
      <c r="P624" s="19" t="s">
        <v>49</v>
      </c>
      <c r="Q624" s="19" t="s">
        <v>671</v>
      </c>
      <c r="R624" s="38">
        <v>45922</v>
      </c>
      <c r="S624" s="20">
        <v>9</v>
      </c>
    </row>
    <row r="625" spans="1:19" ht="14.25" customHeight="1" x14ac:dyDescent="0.3">
      <c r="A625" s="17">
        <f t="shared" si="19"/>
        <v>624</v>
      </c>
      <c r="B625" s="30">
        <v>41402062</v>
      </c>
      <c r="C625" s="19" t="s">
        <v>803</v>
      </c>
      <c r="D625" s="18">
        <v>97721713</v>
      </c>
      <c r="E625" s="18">
        <v>81478455</v>
      </c>
      <c r="F625" s="18" t="s">
        <v>333</v>
      </c>
      <c r="G625" s="18" t="s">
        <v>724</v>
      </c>
      <c r="H625" s="18">
        <v>94</v>
      </c>
      <c r="I625" s="18">
        <v>6</v>
      </c>
      <c r="J625" s="19" t="s">
        <v>604</v>
      </c>
      <c r="K625" s="21" t="s">
        <v>64</v>
      </c>
      <c r="L625" s="38"/>
      <c r="M625" s="21"/>
      <c r="N625" s="26"/>
      <c r="O625" s="38"/>
      <c r="P625" s="19" t="s">
        <v>49</v>
      </c>
      <c r="Q625" s="19" t="s">
        <v>719</v>
      </c>
      <c r="R625" s="38">
        <v>45918</v>
      </c>
      <c r="S625" s="20">
        <v>9</v>
      </c>
    </row>
    <row r="626" spans="1:19" ht="14.25" customHeight="1" x14ac:dyDescent="0.3">
      <c r="A626" s="17">
        <f t="shared" si="19"/>
        <v>625</v>
      </c>
      <c r="B626" s="30">
        <v>43523351</v>
      </c>
      <c r="C626" s="19" t="s">
        <v>800</v>
      </c>
      <c r="D626" s="18">
        <v>97811453</v>
      </c>
      <c r="E626" s="18">
        <v>81540796</v>
      </c>
      <c r="F626" s="18" t="s">
        <v>333</v>
      </c>
      <c r="G626" s="18" t="s">
        <v>724</v>
      </c>
      <c r="H626" s="18">
        <v>94</v>
      </c>
      <c r="I626" s="18">
        <v>9</v>
      </c>
      <c r="J626" s="19" t="s">
        <v>541</v>
      </c>
      <c r="K626" s="21" t="s">
        <v>64</v>
      </c>
      <c r="L626" s="38"/>
      <c r="M626" s="21"/>
      <c r="N626" s="26"/>
      <c r="O626" s="38"/>
      <c r="P626" s="19" t="s">
        <v>49</v>
      </c>
      <c r="Q626" s="19" t="s">
        <v>719</v>
      </c>
      <c r="R626" s="38">
        <v>45922</v>
      </c>
      <c r="S626" s="20">
        <v>9</v>
      </c>
    </row>
    <row r="627" spans="1:19" ht="14.25" customHeight="1" x14ac:dyDescent="0.3">
      <c r="A627" s="17">
        <f t="shared" si="19"/>
        <v>626</v>
      </c>
      <c r="B627" s="30">
        <v>76237918</v>
      </c>
      <c r="C627" s="19" t="s">
        <v>812</v>
      </c>
      <c r="D627" s="18">
        <v>97841080</v>
      </c>
      <c r="E627" s="18">
        <v>81573348</v>
      </c>
      <c r="F627" s="18" t="s">
        <v>333</v>
      </c>
      <c r="G627" s="18" t="s">
        <v>724</v>
      </c>
      <c r="H627" s="18">
        <v>94</v>
      </c>
      <c r="I627" s="18">
        <v>6</v>
      </c>
      <c r="J627" s="19" t="s">
        <v>816</v>
      </c>
      <c r="K627" s="21" t="s">
        <v>64</v>
      </c>
      <c r="L627" s="38"/>
      <c r="M627" s="21"/>
      <c r="N627" s="26"/>
      <c r="O627" s="38"/>
      <c r="P627" s="19" t="s">
        <v>49</v>
      </c>
      <c r="Q627" s="19" t="s">
        <v>719</v>
      </c>
      <c r="R627" s="38">
        <v>45923</v>
      </c>
      <c r="S627" s="20">
        <v>9</v>
      </c>
    </row>
    <row r="628" spans="1:19" ht="14.25" customHeight="1" x14ac:dyDescent="0.3">
      <c r="A628" s="17">
        <f t="shared" si="19"/>
        <v>627</v>
      </c>
      <c r="B628" s="30">
        <v>18122951</v>
      </c>
      <c r="C628" s="19" t="s">
        <v>813</v>
      </c>
      <c r="D628" s="18">
        <v>97874044</v>
      </c>
      <c r="E628" s="18">
        <v>81599330</v>
      </c>
      <c r="F628" s="18" t="s">
        <v>334</v>
      </c>
      <c r="G628" s="18" t="s">
        <v>724</v>
      </c>
      <c r="H628" s="18">
        <v>94</v>
      </c>
      <c r="I628" s="18">
        <v>5</v>
      </c>
      <c r="J628" s="19" t="s">
        <v>475</v>
      </c>
      <c r="K628" s="21" t="s">
        <v>64</v>
      </c>
      <c r="L628" s="38"/>
      <c r="M628" s="21"/>
      <c r="N628" s="26"/>
      <c r="O628" s="38"/>
      <c r="P628" s="19" t="s">
        <v>49</v>
      </c>
      <c r="Q628" s="19" t="s">
        <v>524</v>
      </c>
      <c r="R628" s="38">
        <v>45924</v>
      </c>
      <c r="S628" s="20">
        <v>9</v>
      </c>
    </row>
    <row r="629" spans="1:19" ht="14.25" customHeight="1" x14ac:dyDescent="0.3">
      <c r="A629" s="17">
        <f t="shared" si="19"/>
        <v>628</v>
      </c>
      <c r="B629" s="30">
        <v>43578855</v>
      </c>
      <c r="C629" s="19" t="s">
        <v>814</v>
      </c>
      <c r="D629" s="18">
        <v>97866408</v>
      </c>
      <c r="E629" s="18">
        <v>81595369</v>
      </c>
      <c r="F629" s="18" t="s">
        <v>334</v>
      </c>
      <c r="G629" s="23" t="s">
        <v>774</v>
      </c>
      <c r="H629" s="18">
        <v>175</v>
      </c>
      <c r="I629" s="18">
        <v>10</v>
      </c>
      <c r="J629" s="19" t="s">
        <v>373</v>
      </c>
      <c r="K629" s="21" t="s">
        <v>64</v>
      </c>
      <c r="L629" s="38"/>
      <c r="M629" s="21"/>
      <c r="N629" s="26"/>
      <c r="O629" s="38"/>
      <c r="P629" s="19" t="s">
        <v>49</v>
      </c>
      <c r="Q629" s="19" t="s">
        <v>771</v>
      </c>
      <c r="R629" s="38">
        <v>45924</v>
      </c>
      <c r="S629" s="20">
        <v>9</v>
      </c>
    </row>
    <row r="630" spans="1:19" ht="14.25" customHeight="1" x14ac:dyDescent="0.3">
      <c r="A630" s="17">
        <f t="shared" si="19"/>
        <v>629</v>
      </c>
      <c r="B630" s="30">
        <v>45302132</v>
      </c>
      <c r="C630" s="19" t="s">
        <v>752</v>
      </c>
      <c r="D630" s="18">
        <v>97844022</v>
      </c>
      <c r="E630" s="18">
        <v>81576692</v>
      </c>
      <c r="F630" s="18" t="s">
        <v>333</v>
      </c>
      <c r="G630" s="18" t="s">
        <v>338</v>
      </c>
      <c r="H630" s="18">
        <v>160</v>
      </c>
      <c r="I630" s="18">
        <v>5</v>
      </c>
      <c r="J630" s="19" t="s">
        <v>804</v>
      </c>
      <c r="K630" s="21" t="s">
        <v>64</v>
      </c>
      <c r="L630" s="38"/>
      <c r="M630" s="21"/>
      <c r="N630" s="26"/>
      <c r="O630" s="38"/>
      <c r="P630" s="19" t="s">
        <v>49</v>
      </c>
      <c r="Q630" s="19" t="s">
        <v>719</v>
      </c>
      <c r="R630" s="38">
        <v>45923</v>
      </c>
      <c r="S630" s="20">
        <v>9</v>
      </c>
    </row>
    <row r="631" spans="1:19" ht="14.25" customHeight="1" x14ac:dyDescent="0.3">
      <c r="A631" s="17">
        <f t="shared" si="19"/>
        <v>630</v>
      </c>
      <c r="B631" s="30">
        <v>10282954805</v>
      </c>
      <c r="C631" s="19" t="s">
        <v>806</v>
      </c>
      <c r="D631" s="18">
        <v>97864081</v>
      </c>
      <c r="E631" s="18">
        <v>81594381</v>
      </c>
      <c r="F631" s="18" t="s">
        <v>333</v>
      </c>
      <c r="G631" s="18" t="s">
        <v>724</v>
      </c>
      <c r="H631" s="18">
        <v>94</v>
      </c>
      <c r="I631" s="18">
        <v>9</v>
      </c>
      <c r="J631" s="19" t="s">
        <v>529</v>
      </c>
      <c r="K631" s="21" t="s">
        <v>64</v>
      </c>
      <c r="L631" s="38"/>
      <c r="M631" s="21"/>
      <c r="N631" s="26"/>
      <c r="O631" s="38"/>
      <c r="P631" s="19" t="s">
        <v>49</v>
      </c>
      <c r="Q631" s="19" t="s">
        <v>719</v>
      </c>
      <c r="R631" s="38">
        <v>45924</v>
      </c>
      <c r="S631" s="20">
        <v>9</v>
      </c>
    </row>
    <row r="632" spans="1:19" ht="14.25" customHeight="1" x14ac:dyDescent="0.3">
      <c r="A632" s="17">
        <f t="shared" si="19"/>
        <v>631</v>
      </c>
      <c r="B632" s="30">
        <v>40647385</v>
      </c>
      <c r="C632" s="19" t="s">
        <v>815</v>
      </c>
      <c r="D632" s="18">
        <v>97892919</v>
      </c>
      <c r="E632" s="18">
        <v>81617988</v>
      </c>
      <c r="F632" s="18" t="s">
        <v>333</v>
      </c>
      <c r="G632" s="18" t="s">
        <v>337</v>
      </c>
      <c r="H632" s="18">
        <v>170</v>
      </c>
      <c r="I632" s="18">
        <v>7</v>
      </c>
      <c r="J632" s="19" t="s">
        <v>373</v>
      </c>
      <c r="K632" s="21" t="s">
        <v>64</v>
      </c>
      <c r="L632" s="38"/>
      <c r="M632" s="21"/>
      <c r="N632" s="26"/>
      <c r="O632" s="38"/>
      <c r="P632" s="19" t="s">
        <v>49</v>
      </c>
      <c r="Q632" s="19" t="s">
        <v>524</v>
      </c>
      <c r="R632" s="38">
        <v>45925</v>
      </c>
      <c r="S632" s="20">
        <v>9</v>
      </c>
    </row>
    <row r="633" spans="1:19" ht="14.25" customHeight="1" x14ac:dyDescent="0.3">
      <c r="A633" s="17">
        <f t="shared" si="19"/>
        <v>632</v>
      </c>
      <c r="B633" s="30">
        <v>43439968</v>
      </c>
      <c r="C633" s="19" t="s">
        <v>817</v>
      </c>
      <c r="D633" s="18">
        <v>97944175</v>
      </c>
      <c r="E633" s="18">
        <v>81656811</v>
      </c>
      <c r="F633" s="18" t="s">
        <v>333</v>
      </c>
      <c r="G633" s="18" t="s">
        <v>337</v>
      </c>
      <c r="H633" s="18">
        <v>170</v>
      </c>
      <c r="I633" s="18">
        <v>9</v>
      </c>
      <c r="J633" s="19" t="s">
        <v>373</v>
      </c>
      <c r="K633" s="21" t="s">
        <v>64</v>
      </c>
      <c r="L633" s="38"/>
      <c r="M633" s="21"/>
      <c r="N633" s="26"/>
      <c r="O633" s="38"/>
      <c r="P633" s="19" t="s">
        <v>49</v>
      </c>
      <c r="Q633" s="19" t="s">
        <v>770</v>
      </c>
      <c r="R633" s="38">
        <v>45927</v>
      </c>
      <c r="S633" s="20">
        <v>9</v>
      </c>
    </row>
    <row r="634" spans="1:19" ht="14.25" customHeight="1" x14ac:dyDescent="0.3">
      <c r="A634" s="17">
        <f t="shared" si="19"/>
        <v>633</v>
      </c>
      <c r="B634" s="30">
        <v>10026818317</v>
      </c>
      <c r="C634" s="19" t="s">
        <v>818</v>
      </c>
      <c r="D634" s="18">
        <v>97946868</v>
      </c>
      <c r="E634" s="18">
        <v>81657765</v>
      </c>
      <c r="F634" s="18" t="s">
        <v>333</v>
      </c>
      <c r="G634" s="23" t="s">
        <v>774</v>
      </c>
      <c r="H634" s="18">
        <v>175</v>
      </c>
      <c r="I634" s="18">
        <v>7</v>
      </c>
      <c r="J634" s="19" t="s">
        <v>373</v>
      </c>
      <c r="K634" s="21" t="s">
        <v>64</v>
      </c>
      <c r="L634" s="38"/>
      <c r="M634" s="21"/>
      <c r="N634" s="26"/>
      <c r="O634" s="38"/>
      <c r="P634" s="19" t="s">
        <v>49</v>
      </c>
      <c r="Q634" s="19" t="s">
        <v>671</v>
      </c>
      <c r="R634" s="38">
        <v>45927</v>
      </c>
      <c r="S634" s="20">
        <v>9</v>
      </c>
    </row>
    <row r="635" spans="1:19" ht="14.25" customHeight="1" x14ac:dyDescent="0.3">
      <c r="A635" s="17">
        <f t="shared" si="19"/>
        <v>634</v>
      </c>
      <c r="B635" s="30">
        <v>32387653</v>
      </c>
      <c r="C635" s="19" t="s">
        <v>819</v>
      </c>
      <c r="D635" s="18">
        <v>98016781</v>
      </c>
      <c r="E635" s="18">
        <v>81730833</v>
      </c>
      <c r="F635" s="18" t="s">
        <v>334</v>
      </c>
      <c r="G635" s="18" t="s">
        <v>337</v>
      </c>
      <c r="H635" s="18">
        <v>170</v>
      </c>
      <c r="I635" s="18">
        <v>10</v>
      </c>
      <c r="J635" s="19" t="s">
        <v>475</v>
      </c>
      <c r="K635" s="21" t="s">
        <v>64</v>
      </c>
      <c r="L635" s="38"/>
      <c r="M635" s="21"/>
      <c r="N635" s="26"/>
      <c r="O635" s="38"/>
      <c r="P635" s="19" t="s">
        <v>49</v>
      </c>
      <c r="Q635" s="19" t="s">
        <v>54</v>
      </c>
      <c r="R635" s="38">
        <v>45930</v>
      </c>
      <c r="S635" s="20">
        <v>9</v>
      </c>
    </row>
    <row r="636" spans="1:19" ht="14.25" customHeight="1" x14ac:dyDescent="0.3">
      <c r="A636" s="17">
        <f t="shared" si="19"/>
        <v>635</v>
      </c>
      <c r="B636" s="30">
        <v>10323876539</v>
      </c>
      <c r="C636" s="19" t="s">
        <v>819</v>
      </c>
      <c r="D636" s="18">
        <v>98047426</v>
      </c>
      <c r="E636" s="18">
        <v>81773360</v>
      </c>
      <c r="F636" s="18" t="s">
        <v>333</v>
      </c>
      <c r="G636" s="18" t="s">
        <v>337</v>
      </c>
      <c r="H636" s="18">
        <v>170</v>
      </c>
      <c r="I636" s="18">
        <v>10</v>
      </c>
      <c r="J636" s="19" t="s">
        <v>742</v>
      </c>
      <c r="K636" s="21" t="s">
        <v>64</v>
      </c>
      <c r="L636" s="38"/>
      <c r="M636" s="21"/>
      <c r="N636" s="26"/>
      <c r="O636" s="38"/>
      <c r="P636" s="19" t="s">
        <v>49</v>
      </c>
      <c r="Q636" s="19" t="s">
        <v>54</v>
      </c>
      <c r="R636" s="38">
        <v>45931</v>
      </c>
      <c r="S636" s="20">
        <v>10</v>
      </c>
    </row>
    <row r="637" spans="1:19" ht="14.25" customHeight="1" x14ac:dyDescent="0.3">
      <c r="A637" s="17">
        <f t="shared" si="19"/>
        <v>636</v>
      </c>
      <c r="B637" s="30">
        <v>40056492</v>
      </c>
      <c r="C637" s="19" t="s">
        <v>821</v>
      </c>
      <c r="D637" s="18">
        <v>98069747</v>
      </c>
      <c r="E637" s="18">
        <v>81787276</v>
      </c>
      <c r="F637" s="18" t="s">
        <v>333</v>
      </c>
      <c r="G637" s="18" t="s">
        <v>414</v>
      </c>
      <c r="H637" s="18">
        <v>80</v>
      </c>
      <c r="I637" s="18">
        <v>4</v>
      </c>
      <c r="J637" s="19" t="s">
        <v>541</v>
      </c>
      <c r="K637" s="21" t="s">
        <v>64</v>
      </c>
      <c r="L637" s="38"/>
      <c r="M637" s="21"/>
      <c r="N637" s="26"/>
      <c r="O637" s="38" t="s">
        <v>0</v>
      </c>
      <c r="P637" s="19" t="s">
        <v>49</v>
      </c>
      <c r="Q637" s="19" t="s">
        <v>822</v>
      </c>
      <c r="R637" s="38">
        <v>45932</v>
      </c>
      <c r="S637" s="20">
        <v>10</v>
      </c>
    </row>
    <row r="638" spans="1:19" ht="14.25" customHeight="1" x14ac:dyDescent="0.3">
      <c r="A638" s="17">
        <f t="shared" si="19"/>
        <v>637</v>
      </c>
      <c r="B638" s="30">
        <v>10178233748</v>
      </c>
      <c r="C638" s="19" t="s">
        <v>823</v>
      </c>
      <c r="D638" s="18">
        <v>98072281</v>
      </c>
      <c r="E638" s="18">
        <v>81788300</v>
      </c>
      <c r="F638" s="18" t="s">
        <v>333</v>
      </c>
      <c r="G638" s="18" t="s">
        <v>337</v>
      </c>
      <c r="H638" s="18">
        <v>170</v>
      </c>
      <c r="I638" s="18">
        <v>7</v>
      </c>
      <c r="J638" s="19" t="s">
        <v>541</v>
      </c>
      <c r="K638" s="21" t="s">
        <v>64</v>
      </c>
      <c r="L638" s="38"/>
      <c r="M638" s="21"/>
      <c r="N638" s="26"/>
      <c r="O638" s="38"/>
      <c r="P638" s="19" t="s">
        <v>49</v>
      </c>
      <c r="Q638" s="19" t="s">
        <v>747</v>
      </c>
      <c r="R638" s="38">
        <v>45932</v>
      </c>
      <c r="S638" s="20">
        <v>10</v>
      </c>
    </row>
    <row r="639" spans="1:19" ht="14.25" customHeight="1" x14ac:dyDescent="0.3">
      <c r="A639" s="17">
        <f t="shared" si="19"/>
        <v>638</v>
      </c>
      <c r="B639" s="30">
        <v>22733714</v>
      </c>
      <c r="C639" s="19" t="s">
        <v>824</v>
      </c>
      <c r="D639" s="18">
        <v>98072944</v>
      </c>
      <c r="E639" s="18">
        <v>81788585</v>
      </c>
      <c r="F639" s="18" t="s">
        <v>334</v>
      </c>
      <c r="G639" s="23" t="s">
        <v>774</v>
      </c>
      <c r="H639" s="18">
        <v>175</v>
      </c>
      <c r="I639" s="18">
        <v>6</v>
      </c>
      <c r="J639" s="19" t="s">
        <v>475</v>
      </c>
      <c r="K639" s="21" t="s">
        <v>64</v>
      </c>
      <c r="L639" s="38"/>
      <c r="M639" s="21"/>
      <c r="N639" s="26"/>
      <c r="O639" s="38"/>
      <c r="P639" s="19" t="s">
        <v>49</v>
      </c>
      <c r="Q639" s="19" t="s">
        <v>747</v>
      </c>
      <c r="R639" s="38">
        <v>45932</v>
      </c>
      <c r="S639" s="20">
        <v>10</v>
      </c>
    </row>
    <row r="640" spans="1:19" ht="14.25" customHeight="1" x14ac:dyDescent="0.3">
      <c r="A640" s="17">
        <f t="shared" si="19"/>
        <v>639</v>
      </c>
      <c r="B640" s="30">
        <v>10474350661</v>
      </c>
      <c r="C640" s="19" t="s">
        <v>820</v>
      </c>
      <c r="D640" s="18">
        <v>98065800</v>
      </c>
      <c r="E640" s="18">
        <v>81785656</v>
      </c>
      <c r="F640" s="18" t="s">
        <v>334</v>
      </c>
      <c r="G640" s="18" t="s">
        <v>414</v>
      </c>
      <c r="H640" s="18">
        <v>80</v>
      </c>
      <c r="I640" s="18">
        <v>8</v>
      </c>
      <c r="J640" s="19" t="s">
        <v>541</v>
      </c>
      <c r="K640" s="21" t="s">
        <v>64</v>
      </c>
      <c r="L640" s="38"/>
      <c r="M640" s="21"/>
      <c r="N640" s="26"/>
      <c r="O640" s="38"/>
      <c r="P640" s="19" t="s">
        <v>49</v>
      </c>
      <c r="Q640" s="19" t="s">
        <v>671</v>
      </c>
      <c r="R640" s="38">
        <v>45932</v>
      </c>
      <c r="S640" s="20">
        <v>10</v>
      </c>
    </row>
    <row r="641" spans="1:19" ht="14.25" customHeight="1" x14ac:dyDescent="0.3">
      <c r="A641" s="17">
        <f t="shared" si="19"/>
        <v>640</v>
      </c>
      <c r="B641" s="30">
        <v>76125906</v>
      </c>
      <c r="C641" s="19" t="s">
        <v>825</v>
      </c>
      <c r="D641" s="18">
        <v>98084535</v>
      </c>
      <c r="E641" s="18">
        <v>81807646</v>
      </c>
      <c r="F641" s="18" t="s">
        <v>333</v>
      </c>
      <c r="G641" s="18" t="s">
        <v>414</v>
      </c>
      <c r="H641" s="18">
        <v>80</v>
      </c>
      <c r="I641" s="18">
        <v>5</v>
      </c>
      <c r="J641" s="19" t="s">
        <v>529</v>
      </c>
      <c r="K641" s="21" t="s">
        <v>64</v>
      </c>
      <c r="L641" s="38"/>
      <c r="M641" s="21"/>
      <c r="N641" s="26"/>
      <c r="O641" s="38"/>
      <c r="P641" s="19" t="s">
        <v>49</v>
      </c>
      <c r="Q641" s="19" t="s">
        <v>518</v>
      </c>
      <c r="R641" s="38">
        <v>45933</v>
      </c>
      <c r="S641" s="20">
        <v>10</v>
      </c>
    </row>
    <row r="642" spans="1:19" ht="14.25" customHeight="1" x14ac:dyDescent="0.3">
      <c r="A642" s="17">
        <f t="shared" si="19"/>
        <v>641</v>
      </c>
      <c r="B642" s="30">
        <v>40491995</v>
      </c>
      <c r="C642" s="19" t="s">
        <v>826</v>
      </c>
      <c r="D642" s="18">
        <v>98099861</v>
      </c>
      <c r="E642" s="18">
        <v>81815282</v>
      </c>
      <c r="F642" s="18" t="s">
        <v>334</v>
      </c>
      <c r="G642" s="18" t="s">
        <v>724</v>
      </c>
      <c r="H642" s="18">
        <v>94</v>
      </c>
      <c r="I642" s="18">
        <v>7</v>
      </c>
      <c r="J642" s="19" t="s">
        <v>475</v>
      </c>
      <c r="K642" s="21" t="s">
        <v>64</v>
      </c>
      <c r="L642" s="38"/>
      <c r="M642" s="21"/>
      <c r="N642" s="26"/>
      <c r="O642" s="38"/>
      <c r="P642" s="19" t="s">
        <v>49</v>
      </c>
      <c r="Q642" s="19" t="s">
        <v>770</v>
      </c>
      <c r="R642" s="38">
        <v>45934</v>
      </c>
      <c r="S642" s="20">
        <v>10</v>
      </c>
    </row>
    <row r="643" spans="1:19" ht="14.25" customHeight="1" x14ac:dyDescent="0.3">
      <c r="A643" s="17">
        <f t="shared" si="19"/>
        <v>642</v>
      </c>
      <c r="B643" s="30">
        <v>76951942</v>
      </c>
      <c r="C643" s="19" t="s">
        <v>827</v>
      </c>
      <c r="D643" s="18">
        <v>98152650</v>
      </c>
      <c r="E643" s="18">
        <v>81863811</v>
      </c>
      <c r="F643" s="18" t="s">
        <v>333</v>
      </c>
      <c r="G643" s="18" t="s">
        <v>414</v>
      </c>
      <c r="H643" s="18">
        <v>80</v>
      </c>
      <c r="I643" s="18">
        <v>7</v>
      </c>
      <c r="J643" s="19" t="s">
        <v>372</v>
      </c>
      <c r="K643" s="21" t="s">
        <v>64</v>
      </c>
      <c r="L643" s="38"/>
      <c r="M643" s="21"/>
      <c r="N643" s="26"/>
      <c r="O643" s="38"/>
      <c r="P643" s="19" t="s">
        <v>49</v>
      </c>
      <c r="Q643" s="19" t="s">
        <v>770</v>
      </c>
      <c r="R643" s="38">
        <v>45936</v>
      </c>
      <c r="S643" s="20">
        <v>10</v>
      </c>
    </row>
    <row r="644" spans="1:19" ht="14.25" customHeight="1" x14ac:dyDescent="0.3">
      <c r="A644" s="17">
        <f t="shared" ref="A644:A707" si="20">A643+1</f>
        <v>643</v>
      </c>
      <c r="B644" s="30">
        <v>41957768</v>
      </c>
      <c r="C644" s="19" t="s">
        <v>828</v>
      </c>
      <c r="D644" s="18">
        <v>98164737</v>
      </c>
      <c r="E644" s="18">
        <v>81871091</v>
      </c>
      <c r="F644" s="18" t="s">
        <v>333</v>
      </c>
      <c r="G644" s="18" t="s">
        <v>724</v>
      </c>
      <c r="H644" s="18">
        <v>94</v>
      </c>
      <c r="I644" s="18">
        <v>10</v>
      </c>
      <c r="J644" s="19" t="s">
        <v>804</v>
      </c>
      <c r="K644" s="21" t="s">
        <v>64</v>
      </c>
      <c r="L644" s="38"/>
      <c r="M644" s="21"/>
      <c r="N644" s="26"/>
      <c r="O644" s="38"/>
      <c r="P644" s="19" t="s">
        <v>49</v>
      </c>
      <c r="Q644" s="19" t="s">
        <v>54</v>
      </c>
      <c r="R644" s="38">
        <v>45936</v>
      </c>
      <c r="S644" s="20">
        <v>10</v>
      </c>
    </row>
    <row r="645" spans="1:19" ht="14.25" customHeight="1" x14ac:dyDescent="0.3">
      <c r="A645" s="17">
        <f t="shared" si="20"/>
        <v>644</v>
      </c>
      <c r="B645" s="30">
        <v>76951942</v>
      </c>
      <c r="C645" s="19" t="s">
        <v>827</v>
      </c>
      <c r="D645" s="18">
        <v>98152650</v>
      </c>
      <c r="E645" s="18">
        <v>81863811</v>
      </c>
      <c r="F645" s="18" t="s">
        <v>333</v>
      </c>
      <c r="G645" s="18" t="s">
        <v>414</v>
      </c>
      <c r="H645" s="18">
        <v>80</v>
      </c>
      <c r="I645" s="18">
        <v>7</v>
      </c>
      <c r="J645" s="19" t="s">
        <v>372</v>
      </c>
      <c r="K645" s="21" t="s">
        <v>64</v>
      </c>
      <c r="L645" s="38"/>
      <c r="M645" s="21"/>
      <c r="N645" s="26"/>
      <c r="O645" s="38"/>
      <c r="P645" s="19" t="s">
        <v>49</v>
      </c>
      <c r="Q645" s="19" t="s">
        <v>770</v>
      </c>
      <c r="R645" s="38">
        <v>45937</v>
      </c>
      <c r="S645" s="20">
        <v>10</v>
      </c>
    </row>
    <row r="646" spans="1:19" ht="14.25" customHeight="1" x14ac:dyDescent="0.3">
      <c r="A646" s="17">
        <f t="shared" si="20"/>
        <v>645</v>
      </c>
      <c r="B646" s="30">
        <v>19323962</v>
      </c>
      <c r="C646" s="19" t="s">
        <v>829</v>
      </c>
      <c r="D646" s="18">
        <v>98179651</v>
      </c>
      <c r="E646" s="18">
        <v>81881083</v>
      </c>
      <c r="F646" s="18" t="s">
        <v>333</v>
      </c>
      <c r="G646" s="18" t="s">
        <v>414</v>
      </c>
      <c r="H646" s="18">
        <v>80</v>
      </c>
      <c r="I646" s="18">
        <v>3</v>
      </c>
      <c r="J646" s="19" t="s">
        <v>475</v>
      </c>
      <c r="K646" s="21" t="s">
        <v>64</v>
      </c>
      <c r="L646" s="38"/>
      <c r="M646" s="21"/>
      <c r="N646" s="26"/>
      <c r="O646" s="38"/>
      <c r="P646" s="19" t="s">
        <v>49</v>
      </c>
      <c r="Q646" s="19" t="s">
        <v>770</v>
      </c>
      <c r="R646" s="38">
        <v>45937</v>
      </c>
      <c r="S646" s="20">
        <v>10</v>
      </c>
    </row>
    <row r="647" spans="1:19" ht="14.25" customHeight="1" x14ac:dyDescent="0.3">
      <c r="A647" s="17">
        <f t="shared" si="20"/>
        <v>646</v>
      </c>
      <c r="B647" s="30">
        <v>46284737</v>
      </c>
      <c r="C647" s="19" t="s">
        <v>830</v>
      </c>
      <c r="D647" s="18">
        <v>98186588</v>
      </c>
      <c r="E647" s="18">
        <v>81883999</v>
      </c>
      <c r="F647" s="18" t="s">
        <v>333</v>
      </c>
      <c r="G647" s="18" t="s">
        <v>414</v>
      </c>
      <c r="H647" s="18">
        <v>80</v>
      </c>
      <c r="I647" s="18">
        <v>9</v>
      </c>
      <c r="J647" s="19" t="s">
        <v>483</v>
      </c>
      <c r="K647" s="21" t="s">
        <v>64</v>
      </c>
      <c r="L647" s="38"/>
      <c r="M647" s="21"/>
      <c r="N647" s="26"/>
      <c r="O647" s="38"/>
      <c r="P647" s="19" t="s">
        <v>49</v>
      </c>
      <c r="Q647" s="57" t="s">
        <v>747</v>
      </c>
      <c r="R647" s="38">
        <v>45937</v>
      </c>
      <c r="S647" s="20">
        <v>10</v>
      </c>
    </row>
    <row r="648" spans="1:19" ht="14.25" customHeight="1" x14ac:dyDescent="0.3">
      <c r="A648" s="17">
        <f t="shared" si="20"/>
        <v>647</v>
      </c>
      <c r="B648" s="30">
        <v>46472827</v>
      </c>
      <c r="C648" s="19" t="s">
        <v>831</v>
      </c>
      <c r="D648" s="18">
        <v>98188168</v>
      </c>
      <c r="E648" s="18">
        <v>81884576</v>
      </c>
      <c r="F648" s="18" t="s">
        <v>333</v>
      </c>
      <c r="G648" s="18" t="s">
        <v>414</v>
      </c>
      <c r="H648" s="18">
        <v>80</v>
      </c>
      <c r="I648" s="18">
        <v>9</v>
      </c>
      <c r="J648" s="19" t="s">
        <v>541</v>
      </c>
      <c r="K648" s="21" t="s">
        <v>64</v>
      </c>
      <c r="L648" s="38"/>
      <c r="M648" s="21"/>
      <c r="N648" s="26"/>
      <c r="O648" s="38"/>
      <c r="P648" s="19" t="s">
        <v>49</v>
      </c>
      <c r="Q648" s="19" t="s">
        <v>54</v>
      </c>
      <c r="R648" s="38">
        <v>45937</v>
      </c>
      <c r="S648" s="20">
        <v>10</v>
      </c>
    </row>
    <row r="649" spans="1:19" ht="14.25" customHeight="1" x14ac:dyDescent="0.3">
      <c r="A649" s="17">
        <f t="shared" si="20"/>
        <v>648</v>
      </c>
      <c r="B649" s="30">
        <v>43458653</v>
      </c>
      <c r="C649" s="19" t="s">
        <v>832</v>
      </c>
      <c r="D649" s="18">
        <v>98191248</v>
      </c>
      <c r="E649" s="18">
        <v>81885752</v>
      </c>
      <c r="F649" s="18" t="s">
        <v>333</v>
      </c>
      <c r="G649" s="18" t="s">
        <v>337</v>
      </c>
      <c r="H649" s="18">
        <v>170</v>
      </c>
      <c r="I649" s="18">
        <v>7</v>
      </c>
      <c r="J649" s="19" t="s">
        <v>529</v>
      </c>
      <c r="K649" s="21" t="s">
        <v>64</v>
      </c>
      <c r="L649" s="38"/>
      <c r="M649" s="21"/>
      <c r="N649" s="26"/>
      <c r="O649" s="38"/>
      <c r="P649" s="19" t="s">
        <v>49</v>
      </c>
      <c r="Q649" s="57" t="s">
        <v>833</v>
      </c>
      <c r="R649" s="38">
        <v>45937</v>
      </c>
      <c r="S649" s="20">
        <v>10</v>
      </c>
    </row>
    <row r="650" spans="1:19" ht="14.25" customHeight="1" x14ac:dyDescent="0.3">
      <c r="A650" s="17">
        <f t="shared" si="20"/>
        <v>649</v>
      </c>
      <c r="B650" s="30">
        <v>70338965</v>
      </c>
      <c r="C650" s="19" t="s">
        <v>834</v>
      </c>
      <c r="D650" s="18">
        <v>98206971</v>
      </c>
      <c r="E650" s="18">
        <v>81894961</v>
      </c>
      <c r="F650" s="18" t="s">
        <v>333</v>
      </c>
      <c r="G650" s="18" t="s">
        <v>414</v>
      </c>
      <c r="H650" s="18">
        <v>80</v>
      </c>
      <c r="I650" s="18">
        <v>10</v>
      </c>
      <c r="J650" s="19" t="s">
        <v>541</v>
      </c>
      <c r="K650" s="21" t="s">
        <v>64</v>
      </c>
      <c r="L650" s="38"/>
      <c r="M650" s="21"/>
      <c r="N650" s="26"/>
      <c r="O650" s="38"/>
      <c r="P650" s="19" t="s">
        <v>49</v>
      </c>
      <c r="Q650" s="19" t="s">
        <v>54</v>
      </c>
      <c r="R650" s="38">
        <v>45938</v>
      </c>
      <c r="S650" s="20">
        <v>10</v>
      </c>
    </row>
    <row r="651" spans="1:19" ht="14.25" customHeight="1" x14ac:dyDescent="0.3">
      <c r="A651" s="17">
        <f t="shared" si="20"/>
        <v>650</v>
      </c>
      <c r="B651" s="30">
        <v>42269502</v>
      </c>
      <c r="C651" s="19" t="s">
        <v>835</v>
      </c>
      <c r="D651" s="18">
        <v>98222329</v>
      </c>
      <c r="E651" s="18">
        <v>81919193</v>
      </c>
      <c r="F651" s="18" t="s">
        <v>333</v>
      </c>
      <c r="G651" s="18" t="s">
        <v>414</v>
      </c>
      <c r="H651" s="18">
        <v>80</v>
      </c>
      <c r="I651" s="18">
        <v>1</v>
      </c>
      <c r="J651" s="19" t="s">
        <v>373</v>
      </c>
      <c r="K651" s="21" t="s">
        <v>64</v>
      </c>
      <c r="L651" s="38"/>
      <c r="M651" s="54"/>
      <c r="N651" s="55"/>
      <c r="O651" s="56"/>
      <c r="P651" s="19" t="s">
        <v>49</v>
      </c>
      <c r="Q651" s="57" t="s">
        <v>833</v>
      </c>
      <c r="R651" s="38">
        <v>45939</v>
      </c>
      <c r="S651" s="20">
        <v>10</v>
      </c>
    </row>
    <row r="652" spans="1:19" ht="14.25" customHeight="1" x14ac:dyDescent="0.3">
      <c r="A652" s="17">
        <f t="shared" si="20"/>
        <v>651</v>
      </c>
      <c r="B652" s="30">
        <v>43523351</v>
      </c>
      <c r="C652" s="19" t="s">
        <v>800</v>
      </c>
      <c r="D652" s="18">
        <v>98242891</v>
      </c>
      <c r="E652" s="18">
        <v>81941490</v>
      </c>
      <c r="F652" s="18" t="s">
        <v>334</v>
      </c>
      <c r="G652" s="18" t="s">
        <v>724</v>
      </c>
      <c r="H652" s="18">
        <v>94</v>
      </c>
      <c r="I652" s="18">
        <v>9</v>
      </c>
      <c r="J652" s="19" t="s">
        <v>529</v>
      </c>
      <c r="K652" s="21" t="s">
        <v>64</v>
      </c>
      <c r="L652" s="38"/>
      <c r="M652" s="54"/>
      <c r="N652" s="55"/>
      <c r="O652" s="56"/>
      <c r="P652" s="19" t="s">
        <v>49</v>
      </c>
      <c r="Q652" s="57" t="s">
        <v>719</v>
      </c>
      <c r="R652" s="38">
        <v>45940</v>
      </c>
      <c r="S652" s="20">
        <v>10</v>
      </c>
    </row>
    <row r="653" spans="1:19" ht="14.25" customHeight="1" x14ac:dyDescent="0.3">
      <c r="A653" s="17">
        <f t="shared" si="20"/>
        <v>652</v>
      </c>
      <c r="B653" s="30">
        <v>43174294</v>
      </c>
      <c r="C653" s="19" t="s">
        <v>836</v>
      </c>
      <c r="D653" s="18">
        <v>98249999</v>
      </c>
      <c r="E653" s="18">
        <v>81944951</v>
      </c>
      <c r="F653" s="18" t="s">
        <v>333</v>
      </c>
      <c r="G653" s="18" t="s">
        <v>337</v>
      </c>
      <c r="H653" s="18">
        <v>170</v>
      </c>
      <c r="I653" s="18">
        <v>7</v>
      </c>
      <c r="J653" s="19" t="s">
        <v>529</v>
      </c>
      <c r="K653" s="21" t="s">
        <v>64</v>
      </c>
      <c r="L653" s="38"/>
      <c r="M653" s="54"/>
      <c r="N653" s="55"/>
      <c r="O653" s="56"/>
      <c r="P653" s="19" t="s">
        <v>49</v>
      </c>
      <c r="Q653" s="19" t="s">
        <v>54</v>
      </c>
      <c r="R653" s="38">
        <v>45940</v>
      </c>
      <c r="S653" s="20">
        <v>10</v>
      </c>
    </row>
    <row r="654" spans="1:19" ht="14.25" customHeight="1" x14ac:dyDescent="0.3">
      <c r="A654" s="17">
        <f t="shared" si="20"/>
        <v>653</v>
      </c>
      <c r="B654" s="30">
        <v>48787663</v>
      </c>
      <c r="C654" s="19" t="s">
        <v>837</v>
      </c>
      <c r="D654" s="18">
        <v>98311792</v>
      </c>
      <c r="E654" s="18">
        <v>81992243</v>
      </c>
      <c r="F654" s="18" t="s">
        <v>334</v>
      </c>
      <c r="G654" s="18" t="s">
        <v>724</v>
      </c>
      <c r="H654" s="18">
        <v>94</v>
      </c>
      <c r="I654" s="18">
        <v>2</v>
      </c>
      <c r="J654" s="19" t="s">
        <v>529</v>
      </c>
      <c r="K654" s="21" t="s">
        <v>64</v>
      </c>
      <c r="L654" s="38"/>
      <c r="M654" s="54"/>
      <c r="N654" s="55"/>
      <c r="O654" s="56"/>
      <c r="P654" s="19" t="s">
        <v>49</v>
      </c>
      <c r="Q654" s="57" t="s">
        <v>833</v>
      </c>
      <c r="R654" s="38">
        <v>45943</v>
      </c>
      <c r="S654" s="20">
        <v>10</v>
      </c>
    </row>
    <row r="655" spans="1:19" ht="14.25" customHeight="1" x14ac:dyDescent="0.3">
      <c r="A655" s="17">
        <f t="shared" si="20"/>
        <v>654</v>
      </c>
      <c r="B655" s="30">
        <v>41718204</v>
      </c>
      <c r="C655" s="19" t="s">
        <v>838</v>
      </c>
      <c r="D655" s="18">
        <v>98307592</v>
      </c>
      <c r="E655" s="18">
        <v>81989776</v>
      </c>
      <c r="F655" s="18" t="s">
        <v>333</v>
      </c>
      <c r="G655" s="18" t="s">
        <v>414</v>
      </c>
      <c r="H655" s="18">
        <v>80</v>
      </c>
      <c r="I655" s="18">
        <v>5</v>
      </c>
      <c r="J655" s="19" t="s">
        <v>373</v>
      </c>
      <c r="K655" s="21" t="s">
        <v>64</v>
      </c>
      <c r="L655" s="38"/>
      <c r="M655" s="54"/>
      <c r="N655" s="55"/>
      <c r="O655" s="56"/>
      <c r="P655" s="19" t="s">
        <v>49</v>
      </c>
      <c r="Q655" s="57" t="s">
        <v>770</v>
      </c>
      <c r="R655" s="38">
        <v>45943</v>
      </c>
      <c r="S655" s="20">
        <v>10</v>
      </c>
    </row>
    <row r="656" spans="1:19" ht="14.25" customHeight="1" x14ac:dyDescent="0.3">
      <c r="A656" s="17">
        <f t="shared" si="20"/>
        <v>655</v>
      </c>
      <c r="B656" s="30">
        <v>43523351</v>
      </c>
      <c r="C656" s="19" t="s">
        <v>800</v>
      </c>
      <c r="D656" s="18">
        <v>98242891</v>
      </c>
      <c r="E656" s="18">
        <v>81941490</v>
      </c>
      <c r="F656" s="18" t="s">
        <v>334</v>
      </c>
      <c r="G656" s="18" t="s">
        <v>724</v>
      </c>
      <c r="H656" s="18">
        <v>94</v>
      </c>
      <c r="I656" s="18">
        <v>9</v>
      </c>
      <c r="J656" s="19" t="s">
        <v>373</v>
      </c>
      <c r="K656" s="21" t="s">
        <v>64</v>
      </c>
      <c r="L656" s="38"/>
      <c r="M656" s="54"/>
      <c r="N656" s="55"/>
      <c r="O656" s="56"/>
      <c r="P656" s="19" t="s">
        <v>49</v>
      </c>
      <c r="Q656" s="57" t="s">
        <v>719</v>
      </c>
      <c r="R656" s="38">
        <v>45943</v>
      </c>
      <c r="S656" s="20">
        <v>10</v>
      </c>
    </row>
    <row r="657" spans="1:19" ht="14.25" customHeight="1" x14ac:dyDescent="0.3">
      <c r="A657" s="17">
        <f t="shared" si="20"/>
        <v>656</v>
      </c>
      <c r="B657" s="30">
        <v>72170731</v>
      </c>
      <c r="C657" s="19" t="s">
        <v>839</v>
      </c>
      <c r="D657" s="18">
        <v>98322034</v>
      </c>
      <c r="E657" s="18">
        <v>81998344</v>
      </c>
      <c r="F657" s="18" t="s">
        <v>333</v>
      </c>
      <c r="G657" s="18" t="s">
        <v>414</v>
      </c>
      <c r="H657" s="18">
        <v>80</v>
      </c>
      <c r="I657" s="18">
        <v>2</v>
      </c>
      <c r="J657" s="19" t="s">
        <v>475</v>
      </c>
      <c r="K657" s="21" t="s">
        <v>64</v>
      </c>
      <c r="L657" s="38"/>
      <c r="M657" s="54"/>
      <c r="N657" s="55"/>
      <c r="O657" s="56"/>
      <c r="P657" s="19" t="s">
        <v>49</v>
      </c>
      <c r="Q657" s="57" t="s">
        <v>822</v>
      </c>
      <c r="R657" s="38">
        <v>45943</v>
      </c>
      <c r="S657" s="20">
        <v>10</v>
      </c>
    </row>
    <row r="658" spans="1:19" ht="14.25" customHeight="1" x14ac:dyDescent="0.3">
      <c r="A658" s="17">
        <f t="shared" si="20"/>
        <v>657</v>
      </c>
      <c r="B658" s="30">
        <v>43174294</v>
      </c>
      <c r="C658" s="19" t="s">
        <v>836</v>
      </c>
      <c r="D658" s="18">
        <v>98363103</v>
      </c>
      <c r="E658" s="18">
        <v>82046836</v>
      </c>
      <c r="F658" s="18" t="s">
        <v>333</v>
      </c>
      <c r="G658" s="18" t="s">
        <v>337</v>
      </c>
      <c r="H658" s="18">
        <v>170</v>
      </c>
      <c r="I658" s="18">
        <v>7</v>
      </c>
      <c r="J658" s="19" t="s">
        <v>373</v>
      </c>
      <c r="K658" s="21" t="s">
        <v>64</v>
      </c>
      <c r="L658" s="38"/>
      <c r="M658" s="54"/>
      <c r="N658" s="55"/>
      <c r="O658" s="56"/>
      <c r="P658" s="19" t="s">
        <v>49</v>
      </c>
      <c r="Q658" s="19" t="s">
        <v>54</v>
      </c>
      <c r="R658" s="38">
        <v>45945</v>
      </c>
      <c r="S658" s="20">
        <v>10</v>
      </c>
    </row>
    <row r="659" spans="1:19" ht="14.25" customHeight="1" x14ac:dyDescent="0.3">
      <c r="A659" s="17">
        <f t="shared" si="20"/>
        <v>658</v>
      </c>
      <c r="B659" s="30">
        <v>10091509721</v>
      </c>
      <c r="C659" s="19" t="s">
        <v>840</v>
      </c>
      <c r="D659" s="18">
        <v>98363400</v>
      </c>
      <c r="E659" s="18">
        <v>82046969</v>
      </c>
      <c r="F659" s="18" t="s">
        <v>333</v>
      </c>
      <c r="G659" s="18" t="s">
        <v>724</v>
      </c>
      <c r="H659" s="18">
        <v>94</v>
      </c>
      <c r="I659" s="18">
        <v>6</v>
      </c>
      <c r="J659" s="19" t="s">
        <v>373</v>
      </c>
      <c r="K659" s="21" t="s">
        <v>64</v>
      </c>
      <c r="L659" s="38"/>
      <c r="M659" s="54"/>
      <c r="N659" s="55"/>
      <c r="O659" s="56"/>
      <c r="P659" s="19" t="s">
        <v>49</v>
      </c>
      <c r="Q659" s="19" t="s">
        <v>671</v>
      </c>
      <c r="R659" s="38">
        <v>45945</v>
      </c>
      <c r="S659" s="20">
        <v>10</v>
      </c>
    </row>
    <row r="660" spans="1:19" ht="14.25" customHeight="1" x14ac:dyDescent="0.3">
      <c r="A660" s="17">
        <f t="shared" si="20"/>
        <v>659</v>
      </c>
      <c r="B660" s="30">
        <v>7874146</v>
      </c>
      <c r="C660" s="19" t="s">
        <v>841</v>
      </c>
      <c r="D660" s="18">
        <v>98379412</v>
      </c>
      <c r="E660" s="18">
        <v>82055411</v>
      </c>
      <c r="F660" s="18" t="s">
        <v>333</v>
      </c>
      <c r="G660" s="18" t="s">
        <v>337</v>
      </c>
      <c r="H660" s="18">
        <v>170</v>
      </c>
      <c r="I660" s="18">
        <v>10</v>
      </c>
      <c r="J660" s="19" t="s">
        <v>541</v>
      </c>
      <c r="K660" s="21" t="s">
        <v>64</v>
      </c>
      <c r="L660" s="38"/>
      <c r="M660" s="54"/>
      <c r="N660" s="55"/>
      <c r="O660" s="56"/>
      <c r="P660" s="19" t="s">
        <v>49</v>
      </c>
      <c r="Q660" s="19" t="s">
        <v>518</v>
      </c>
      <c r="R660" s="38">
        <v>45945</v>
      </c>
      <c r="S660" s="20">
        <v>10</v>
      </c>
    </row>
    <row r="661" spans="1:19" ht="14.25" customHeight="1" x14ac:dyDescent="0.3">
      <c r="A661" s="17">
        <f t="shared" si="20"/>
        <v>660</v>
      </c>
      <c r="B661" s="30">
        <v>47358798</v>
      </c>
      <c r="C661" s="19" t="s">
        <v>842</v>
      </c>
      <c r="D661" s="18">
        <v>98388937</v>
      </c>
      <c r="E661" s="18">
        <v>82068256</v>
      </c>
      <c r="F661" s="18" t="s">
        <v>333</v>
      </c>
      <c r="G661" s="18" t="s">
        <v>414</v>
      </c>
      <c r="H661" s="18">
        <v>80</v>
      </c>
      <c r="I661" s="18">
        <v>6</v>
      </c>
      <c r="J661" s="19" t="s">
        <v>604</v>
      </c>
      <c r="K661" s="21" t="s">
        <v>64</v>
      </c>
      <c r="L661" s="38"/>
      <c r="M661" s="54"/>
      <c r="N661" s="55"/>
      <c r="O661" s="56"/>
      <c r="P661" s="19" t="s">
        <v>49</v>
      </c>
      <c r="Q661" s="19" t="s">
        <v>518</v>
      </c>
      <c r="R661" s="38">
        <v>45946</v>
      </c>
      <c r="S661" s="20">
        <v>10</v>
      </c>
    </row>
    <row r="662" spans="1:19" ht="14.25" customHeight="1" x14ac:dyDescent="0.3">
      <c r="A662" s="17">
        <f t="shared" si="20"/>
        <v>661</v>
      </c>
      <c r="B662" s="30">
        <v>44894485</v>
      </c>
      <c r="C662" s="19" t="s">
        <v>843</v>
      </c>
      <c r="D662" s="18">
        <v>98400407</v>
      </c>
      <c r="E662" s="18">
        <v>82074361</v>
      </c>
      <c r="F662" s="18" t="s">
        <v>333</v>
      </c>
      <c r="G662" s="18" t="s">
        <v>724</v>
      </c>
      <c r="H662" s="18">
        <v>94</v>
      </c>
      <c r="I662" s="18">
        <v>4</v>
      </c>
      <c r="J662" s="19" t="s">
        <v>541</v>
      </c>
      <c r="K662" s="21" t="s">
        <v>64</v>
      </c>
      <c r="L662" s="38"/>
      <c r="M662" s="54"/>
      <c r="N662" s="55"/>
      <c r="O662" s="56"/>
      <c r="P662" s="19" t="s">
        <v>49</v>
      </c>
      <c r="Q662" s="57" t="s">
        <v>524</v>
      </c>
      <c r="R662" s="38">
        <v>45946</v>
      </c>
      <c r="S662" s="20">
        <v>10</v>
      </c>
    </row>
    <row r="663" spans="1:19" ht="14.25" customHeight="1" x14ac:dyDescent="0.3">
      <c r="A663" s="17">
        <f t="shared" si="20"/>
        <v>662</v>
      </c>
      <c r="B663" s="30">
        <v>10193238128</v>
      </c>
      <c r="C663" s="19" t="s">
        <v>845</v>
      </c>
      <c r="D663" s="18">
        <v>98427226</v>
      </c>
      <c r="E663" s="18">
        <v>82095285</v>
      </c>
      <c r="F663" s="18" t="s">
        <v>333</v>
      </c>
      <c r="G663" s="18" t="s">
        <v>414</v>
      </c>
      <c r="H663" s="18">
        <f>IFERROR(VLOOKUP(G663, OBSERVACIÓN!F$2:G$151, 2, 0), " ")</f>
        <v>80</v>
      </c>
      <c r="I663" s="18">
        <v>6</v>
      </c>
      <c r="J663" s="19" t="s">
        <v>373</v>
      </c>
      <c r="K663" s="21" t="s">
        <v>64</v>
      </c>
      <c r="L663" s="38"/>
      <c r="M663" s="54"/>
      <c r="N663" s="55"/>
      <c r="O663" s="56"/>
      <c r="P663" s="19" t="s">
        <v>49</v>
      </c>
      <c r="Q663" s="57" t="s">
        <v>747</v>
      </c>
      <c r="R663" s="38">
        <v>45947</v>
      </c>
      <c r="S663" s="20">
        <v>10</v>
      </c>
    </row>
    <row r="664" spans="1:19" ht="14.25" customHeight="1" x14ac:dyDescent="0.3">
      <c r="A664" s="17">
        <f t="shared" si="20"/>
        <v>663</v>
      </c>
      <c r="B664" s="30">
        <v>41956636</v>
      </c>
      <c r="C664" s="19" t="s">
        <v>844</v>
      </c>
      <c r="D664" s="18">
        <v>98404705</v>
      </c>
      <c r="E664" s="18">
        <v>82077185</v>
      </c>
      <c r="F664" s="18" t="s">
        <v>333</v>
      </c>
      <c r="G664" s="18" t="s">
        <v>414</v>
      </c>
      <c r="H664" s="18">
        <v>80</v>
      </c>
      <c r="I664" s="18">
        <v>6</v>
      </c>
      <c r="J664" s="19" t="s">
        <v>541</v>
      </c>
      <c r="K664" s="21" t="s">
        <v>64</v>
      </c>
      <c r="L664" s="38"/>
      <c r="M664" s="54"/>
      <c r="N664" s="55"/>
      <c r="O664" s="56"/>
      <c r="P664" s="19" t="s">
        <v>49</v>
      </c>
      <c r="Q664" s="57" t="s">
        <v>822</v>
      </c>
      <c r="R664" s="38">
        <v>45946</v>
      </c>
      <c r="S664" s="20">
        <v>10</v>
      </c>
    </row>
    <row r="665" spans="1:19" ht="14.25" customHeight="1" x14ac:dyDescent="0.3">
      <c r="A665" s="17">
        <f t="shared" si="20"/>
        <v>664</v>
      </c>
      <c r="B665" s="30">
        <v>16794144</v>
      </c>
      <c r="C665" s="19" t="s">
        <v>785</v>
      </c>
      <c r="D665" s="18">
        <v>98449776</v>
      </c>
      <c r="E665" s="18">
        <v>82107434</v>
      </c>
      <c r="F665" s="18" t="s">
        <v>333</v>
      </c>
      <c r="G665" s="18" t="s">
        <v>414</v>
      </c>
      <c r="H665" s="18">
        <v>80</v>
      </c>
      <c r="I665" s="18">
        <v>4</v>
      </c>
      <c r="J665" s="19" t="s">
        <v>483</v>
      </c>
      <c r="K665" s="21" t="s">
        <v>64</v>
      </c>
      <c r="L665" s="38"/>
      <c r="M665" s="54"/>
      <c r="N665" s="55"/>
      <c r="O665" s="56"/>
      <c r="P665" s="19" t="s">
        <v>49</v>
      </c>
      <c r="Q665" s="19" t="s">
        <v>54</v>
      </c>
      <c r="R665" s="38">
        <v>45948</v>
      </c>
      <c r="S665" s="20">
        <v>10</v>
      </c>
    </row>
    <row r="666" spans="1:19" ht="14.25" customHeight="1" x14ac:dyDescent="0.3">
      <c r="A666" s="17">
        <f t="shared" si="20"/>
        <v>665</v>
      </c>
      <c r="B666" s="30">
        <v>74277249</v>
      </c>
      <c r="C666" s="19" t="s">
        <v>850</v>
      </c>
      <c r="D666" s="18">
        <v>98450330</v>
      </c>
      <c r="E666" s="18">
        <v>82107681</v>
      </c>
      <c r="F666" s="18" t="s">
        <v>333</v>
      </c>
      <c r="G666" s="18" t="s">
        <v>414</v>
      </c>
      <c r="H666" s="18">
        <v>80</v>
      </c>
      <c r="I666" s="18">
        <v>1</v>
      </c>
      <c r="J666" s="19" t="s">
        <v>529</v>
      </c>
      <c r="K666" s="21" t="s">
        <v>64</v>
      </c>
      <c r="L666" s="38"/>
      <c r="M666" s="54"/>
      <c r="N666" s="55"/>
      <c r="O666" s="56"/>
      <c r="P666" s="19" t="s">
        <v>49</v>
      </c>
      <c r="Q666" s="57" t="s">
        <v>524</v>
      </c>
      <c r="R666" s="38">
        <v>45948</v>
      </c>
      <c r="S666" s="20">
        <v>10</v>
      </c>
    </row>
    <row r="667" spans="1:19" ht="14.25" customHeight="1" x14ac:dyDescent="0.3">
      <c r="A667" s="17">
        <f t="shared" si="20"/>
        <v>666</v>
      </c>
      <c r="B667" s="30">
        <v>672813</v>
      </c>
      <c r="C667" s="19" t="s">
        <v>852</v>
      </c>
      <c r="D667" s="18">
        <v>98479457</v>
      </c>
      <c r="E667" s="18">
        <v>82136018</v>
      </c>
      <c r="F667" s="18" t="s">
        <v>333</v>
      </c>
      <c r="G667" s="18" t="s">
        <v>414</v>
      </c>
      <c r="H667" s="18">
        <v>80</v>
      </c>
      <c r="I667" s="18">
        <v>5</v>
      </c>
      <c r="J667" s="19" t="s">
        <v>853</v>
      </c>
      <c r="K667" s="21" t="s">
        <v>64</v>
      </c>
      <c r="L667" s="38"/>
      <c r="M667" s="54"/>
      <c r="N667" s="55"/>
      <c r="O667" s="56"/>
      <c r="P667" s="19" t="s">
        <v>49</v>
      </c>
      <c r="Q667" s="19" t="s">
        <v>771</v>
      </c>
      <c r="R667" s="38">
        <v>45950</v>
      </c>
      <c r="S667" s="20">
        <v>10</v>
      </c>
    </row>
    <row r="668" spans="1:19" ht="14.25" customHeight="1" x14ac:dyDescent="0.3">
      <c r="A668" s="17">
        <f t="shared" si="20"/>
        <v>667</v>
      </c>
      <c r="B668" s="30">
        <v>71811079</v>
      </c>
      <c r="C668" s="19" t="s">
        <v>851</v>
      </c>
      <c r="D668" s="18">
        <v>98456459</v>
      </c>
      <c r="E668" s="18">
        <v>82110019</v>
      </c>
      <c r="F668" s="18" t="s">
        <v>334</v>
      </c>
      <c r="G668" s="18" t="s">
        <v>414</v>
      </c>
      <c r="H668" s="18">
        <v>80</v>
      </c>
      <c r="I668" s="18">
        <v>1</v>
      </c>
      <c r="J668" s="19" t="s">
        <v>529</v>
      </c>
      <c r="K668" s="21" t="s">
        <v>64</v>
      </c>
      <c r="L668" s="38"/>
      <c r="M668" s="54"/>
      <c r="N668" s="55"/>
      <c r="O668" s="56"/>
      <c r="P668" s="19" t="s">
        <v>49</v>
      </c>
      <c r="Q668" s="57" t="s">
        <v>747</v>
      </c>
      <c r="R668" s="38">
        <v>45948</v>
      </c>
      <c r="S668" s="20">
        <v>10</v>
      </c>
    </row>
    <row r="669" spans="1:19" ht="14.25" customHeight="1" x14ac:dyDescent="0.3">
      <c r="A669" s="17">
        <f t="shared" si="20"/>
        <v>668</v>
      </c>
      <c r="B669" s="30">
        <v>71811079</v>
      </c>
      <c r="C669" s="19" t="s">
        <v>851</v>
      </c>
      <c r="D669" s="18">
        <v>98530040</v>
      </c>
      <c r="E669" s="18">
        <v>82188277</v>
      </c>
      <c r="F669" s="18" t="s">
        <v>334</v>
      </c>
      <c r="G669" s="18" t="s">
        <v>414</v>
      </c>
      <c r="H669" s="18">
        <v>80</v>
      </c>
      <c r="I669" s="18">
        <v>1</v>
      </c>
      <c r="J669" s="19" t="s">
        <v>529</v>
      </c>
      <c r="K669" s="21" t="s">
        <v>64</v>
      </c>
      <c r="L669" s="38"/>
      <c r="M669" s="54"/>
      <c r="N669" s="55"/>
      <c r="O669" s="56"/>
      <c r="P669" s="19" t="s">
        <v>49</v>
      </c>
      <c r="Q669" s="57" t="s">
        <v>747</v>
      </c>
      <c r="R669" s="38">
        <v>45952</v>
      </c>
      <c r="S669" s="20">
        <v>10</v>
      </c>
    </row>
    <row r="670" spans="1:19" ht="14.25" customHeight="1" x14ac:dyDescent="0.3">
      <c r="A670" s="17">
        <f t="shared" si="20"/>
        <v>669</v>
      </c>
      <c r="B670" s="30">
        <v>75213770</v>
      </c>
      <c r="C670" s="19" t="s">
        <v>854</v>
      </c>
      <c r="D670" s="18">
        <v>98532993</v>
      </c>
      <c r="E670" s="18">
        <v>82189902</v>
      </c>
      <c r="F670" s="18" t="s">
        <v>333</v>
      </c>
      <c r="G670" s="18" t="s">
        <v>414</v>
      </c>
      <c r="H670" s="18">
        <v>80</v>
      </c>
      <c r="I670" s="18">
        <v>6</v>
      </c>
      <c r="J670" s="19" t="s">
        <v>529</v>
      </c>
      <c r="K670" s="21" t="s">
        <v>64</v>
      </c>
      <c r="L670" s="38"/>
      <c r="M670" s="54"/>
      <c r="N670" s="55"/>
      <c r="O670" s="56"/>
      <c r="P670" s="19" t="s">
        <v>49</v>
      </c>
      <c r="Q670" s="19" t="s">
        <v>771</v>
      </c>
      <c r="R670" s="38">
        <v>45952</v>
      </c>
      <c r="S670" s="20">
        <v>10</v>
      </c>
    </row>
    <row r="671" spans="1:19" ht="14.25" customHeight="1" x14ac:dyDescent="0.3">
      <c r="A671" s="17">
        <f t="shared" si="20"/>
        <v>670</v>
      </c>
      <c r="B671" s="30">
        <v>20605374442</v>
      </c>
      <c r="C671" s="23" t="s">
        <v>855</v>
      </c>
      <c r="D671" s="18">
        <v>98578170</v>
      </c>
      <c r="E671" s="18">
        <v>82235514</v>
      </c>
      <c r="F671" s="18" t="s">
        <v>333</v>
      </c>
      <c r="G671" s="18" t="s">
        <v>414</v>
      </c>
      <c r="H671" s="18">
        <v>80</v>
      </c>
      <c r="I671" s="18">
        <v>6</v>
      </c>
      <c r="J671" s="19" t="s">
        <v>541</v>
      </c>
      <c r="K671" s="21" t="s">
        <v>64</v>
      </c>
      <c r="L671" s="38"/>
      <c r="M671" s="54"/>
      <c r="N671" s="55"/>
      <c r="O671" s="56"/>
      <c r="P671" s="19" t="s">
        <v>49</v>
      </c>
      <c r="Q671" s="57" t="s">
        <v>747</v>
      </c>
      <c r="R671" s="38">
        <v>45954</v>
      </c>
      <c r="S671" s="20">
        <v>10</v>
      </c>
    </row>
    <row r="672" spans="1:19" ht="14.25" customHeight="1" x14ac:dyDescent="0.3">
      <c r="A672" s="17">
        <f t="shared" si="20"/>
        <v>671</v>
      </c>
      <c r="B672" s="30">
        <v>44985066</v>
      </c>
      <c r="C672" s="19" t="s">
        <v>856</v>
      </c>
      <c r="D672" s="18">
        <v>98585820</v>
      </c>
      <c r="E672" s="18">
        <v>82239307</v>
      </c>
      <c r="F672" s="18" t="s">
        <v>333</v>
      </c>
      <c r="G672" s="18" t="s">
        <v>414</v>
      </c>
      <c r="H672" s="18">
        <v>80</v>
      </c>
      <c r="I672" s="18">
        <v>6</v>
      </c>
      <c r="J672" s="19" t="s">
        <v>663</v>
      </c>
      <c r="K672" s="21" t="s">
        <v>64</v>
      </c>
      <c r="L672" s="38"/>
      <c r="M672" s="54"/>
      <c r="N672" s="55"/>
      <c r="O672" s="56"/>
      <c r="P672" s="19" t="s">
        <v>49</v>
      </c>
      <c r="Q672" s="57" t="s">
        <v>518</v>
      </c>
      <c r="R672" s="38">
        <v>45954</v>
      </c>
      <c r="S672" s="20">
        <v>10</v>
      </c>
    </row>
    <row r="673" spans="1:19" ht="14.25" customHeight="1" x14ac:dyDescent="0.3">
      <c r="A673" s="17">
        <f t="shared" si="20"/>
        <v>672</v>
      </c>
      <c r="B673" s="30">
        <v>29294575</v>
      </c>
      <c r="C673" s="19" t="s">
        <v>857</v>
      </c>
      <c r="D673" s="18">
        <v>98594471</v>
      </c>
      <c r="E673" s="18">
        <v>82243730</v>
      </c>
      <c r="F673" s="18" t="s">
        <v>333</v>
      </c>
      <c r="G673" s="18" t="s">
        <v>414</v>
      </c>
      <c r="H673" s="18">
        <v>80</v>
      </c>
      <c r="I673" s="18">
        <v>8</v>
      </c>
      <c r="J673" s="19" t="s">
        <v>864</v>
      </c>
      <c r="K673" s="21" t="s">
        <v>64</v>
      </c>
      <c r="L673" s="38"/>
      <c r="M673" s="54"/>
      <c r="N673" s="55"/>
      <c r="O673" s="56"/>
      <c r="P673" s="19" t="s">
        <v>49</v>
      </c>
      <c r="Q673" s="57" t="s">
        <v>747</v>
      </c>
      <c r="R673" s="38">
        <v>45954</v>
      </c>
      <c r="S673" s="20">
        <v>10</v>
      </c>
    </row>
    <row r="674" spans="1:19" ht="14.25" customHeight="1" x14ac:dyDescent="0.3">
      <c r="A674" s="17">
        <f t="shared" si="20"/>
        <v>673</v>
      </c>
      <c r="B674" s="30">
        <v>75213770</v>
      </c>
      <c r="C674" s="19" t="s">
        <v>854</v>
      </c>
      <c r="D674" s="18">
        <v>98603198</v>
      </c>
      <c r="E674" s="18">
        <v>98603198</v>
      </c>
      <c r="F674" s="18" t="s">
        <v>333</v>
      </c>
      <c r="G674" s="18" t="s">
        <v>414</v>
      </c>
      <c r="H674" s="18">
        <v>80</v>
      </c>
      <c r="I674" s="18">
        <v>6</v>
      </c>
      <c r="J674" s="19" t="s">
        <v>373</v>
      </c>
      <c r="K674" s="21" t="s">
        <v>64</v>
      </c>
      <c r="L674" s="38"/>
      <c r="M674" s="54"/>
      <c r="N674" s="55"/>
      <c r="O674" s="56"/>
      <c r="P674" s="19" t="s">
        <v>49</v>
      </c>
      <c r="Q674" s="19" t="s">
        <v>771</v>
      </c>
      <c r="R674" s="38">
        <v>45955</v>
      </c>
      <c r="S674" s="20">
        <v>10</v>
      </c>
    </row>
    <row r="675" spans="1:19" ht="14.25" customHeight="1" x14ac:dyDescent="0.3">
      <c r="A675" s="17">
        <f t="shared" si="20"/>
        <v>674</v>
      </c>
      <c r="B675" s="30">
        <v>24007177</v>
      </c>
      <c r="C675" s="19" t="s">
        <v>859</v>
      </c>
      <c r="D675" s="18">
        <v>98609315</v>
      </c>
      <c r="E675" s="18">
        <v>82252542</v>
      </c>
      <c r="F675" s="18" t="s">
        <v>333</v>
      </c>
      <c r="G675" s="18" t="s">
        <v>414</v>
      </c>
      <c r="H675" s="18">
        <v>80</v>
      </c>
      <c r="I675" s="18">
        <v>9</v>
      </c>
      <c r="J675" s="19" t="s">
        <v>541</v>
      </c>
      <c r="K675" s="21" t="s">
        <v>64</v>
      </c>
      <c r="L675" s="38"/>
      <c r="M675" s="54"/>
      <c r="N675" s="55"/>
      <c r="O675" s="56"/>
      <c r="P675" s="19" t="s">
        <v>49</v>
      </c>
      <c r="Q675" s="57" t="s">
        <v>770</v>
      </c>
      <c r="R675" s="38">
        <v>45955</v>
      </c>
      <c r="S675" s="20">
        <v>10</v>
      </c>
    </row>
    <row r="676" spans="1:19" ht="14.25" customHeight="1" x14ac:dyDescent="0.3">
      <c r="A676" s="17">
        <f t="shared" si="20"/>
        <v>675</v>
      </c>
      <c r="B676" s="30">
        <v>217519</v>
      </c>
      <c r="C676" s="19" t="s">
        <v>860</v>
      </c>
      <c r="D676" s="18">
        <v>98609589</v>
      </c>
      <c r="E676" s="18">
        <v>82252649</v>
      </c>
      <c r="F676" s="18" t="s">
        <v>333</v>
      </c>
      <c r="G676" s="18" t="s">
        <v>414</v>
      </c>
      <c r="H676" s="18">
        <v>80</v>
      </c>
      <c r="I676" s="18">
        <v>1</v>
      </c>
      <c r="J676" s="19" t="s">
        <v>529</v>
      </c>
      <c r="K676" s="21" t="s">
        <v>64</v>
      </c>
      <c r="L676" s="38"/>
      <c r="M676" s="54"/>
      <c r="N676" s="55"/>
      <c r="O676" s="56"/>
      <c r="P676" s="19" t="s">
        <v>49</v>
      </c>
      <c r="Q676" s="57" t="s">
        <v>770</v>
      </c>
      <c r="R676" s="38">
        <v>45955</v>
      </c>
      <c r="S676" s="20">
        <v>10</v>
      </c>
    </row>
    <row r="677" spans="1:19" ht="14.25" customHeight="1" x14ac:dyDescent="0.3">
      <c r="A677" s="17">
        <f t="shared" si="20"/>
        <v>676</v>
      </c>
      <c r="B677" s="30">
        <v>42839000</v>
      </c>
      <c r="C677" s="19" t="s">
        <v>861</v>
      </c>
      <c r="D677" s="18">
        <v>98651061</v>
      </c>
      <c r="E677" s="18">
        <v>82293901</v>
      </c>
      <c r="F677" s="18" t="s">
        <v>334</v>
      </c>
      <c r="G677" s="18" t="s">
        <v>414</v>
      </c>
      <c r="H677" s="18">
        <v>80</v>
      </c>
      <c r="I677" s="18">
        <v>4</v>
      </c>
      <c r="J677" s="19" t="s">
        <v>373</v>
      </c>
      <c r="K677" s="21" t="s">
        <v>64</v>
      </c>
      <c r="L677" s="38"/>
      <c r="M677" s="54"/>
      <c r="N677" s="55"/>
      <c r="O677" s="56"/>
      <c r="P677" s="19" t="s">
        <v>49</v>
      </c>
      <c r="Q677" s="19" t="s">
        <v>771</v>
      </c>
      <c r="R677" s="38">
        <v>45958</v>
      </c>
      <c r="S677" s="20">
        <v>10</v>
      </c>
    </row>
    <row r="678" spans="1:19" ht="14.25" customHeight="1" x14ac:dyDescent="0.3">
      <c r="A678" s="17">
        <f t="shared" si="20"/>
        <v>677</v>
      </c>
      <c r="B678" s="30">
        <v>10453735431</v>
      </c>
      <c r="C678" s="19" t="s">
        <v>866</v>
      </c>
      <c r="D678" s="18">
        <v>98690259</v>
      </c>
      <c r="E678" s="18">
        <v>82338323</v>
      </c>
      <c r="F678" s="18" t="s">
        <v>334</v>
      </c>
      <c r="G678" s="23" t="s">
        <v>774</v>
      </c>
      <c r="H678" s="18">
        <v>175</v>
      </c>
      <c r="I678" s="18">
        <v>9</v>
      </c>
      <c r="J678" s="19" t="s">
        <v>864</v>
      </c>
      <c r="K678" s="21" t="s">
        <v>64</v>
      </c>
      <c r="L678" s="38"/>
      <c r="M678" s="54"/>
      <c r="N678" s="55"/>
      <c r="O678" s="56"/>
      <c r="P678" s="19" t="s">
        <v>49</v>
      </c>
      <c r="Q678" s="57" t="s">
        <v>719</v>
      </c>
      <c r="R678" s="38">
        <v>45959</v>
      </c>
      <c r="S678" s="20">
        <v>10</v>
      </c>
    </row>
    <row r="679" spans="1:19" ht="14.25" customHeight="1" x14ac:dyDescent="0.3">
      <c r="A679" s="17">
        <f t="shared" si="20"/>
        <v>678</v>
      </c>
      <c r="B679" s="30">
        <v>217519</v>
      </c>
      <c r="C679" s="19" t="s">
        <v>860</v>
      </c>
      <c r="D679" s="18">
        <v>98665540</v>
      </c>
      <c r="E679" s="18">
        <v>82315079</v>
      </c>
      <c r="F679" s="18" t="s">
        <v>333</v>
      </c>
      <c r="G679" s="18" t="s">
        <v>414</v>
      </c>
      <c r="H679" s="18">
        <v>80</v>
      </c>
      <c r="I679" s="18">
        <v>1</v>
      </c>
      <c r="J679" s="19" t="s">
        <v>373</v>
      </c>
      <c r="K679" s="21" t="s">
        <v>64</v>
      </c>
      <c r="L679" s="38"/>
      <c r="M679" s="54"/>
      <c r="N679" s="55"/>
      <c r="O679" s="56"/>
      <c r="P679" s="19" t="s">
        <v>49</v>
      </c>
      <c r="Q679" s="57" t="s">
        <v>770</v>
      </c>
      <c r="R679" s="38">
        <v>45958</v>
      </c>
      <c r="S679" s="20">
        <v>10</v>
      </c>
    </row>
    <row r="680" spans="1:19" ht="14.25" customHeight="1" x14ac:dyDescent="0.3">
      <c r="A680" s="17">
        <f t="shared" si="20"/>
        <v>679</v>
      </c>
      <c r="B680" s="30">
        <v>45436958</v>
      </c>
      <c r="C680" s="19" t="s">
        <v>862</v>
      </c>
      <c r="D680" s="18">
        <v>98671054</v>
      </c>
      <c r="E680" s="18">
        <v>82319172</v>
      </c>
      <c r="F680" s="18" t="s">
        <v>333</v>
      </c>
      <c r="G680" s="18" t="s">
        <v>414</v>
      </c>
      <c r="H680" s="18">
        <v>80</v>
      </c>
      <c r="I680" s="18">
        <v>6</v>
      </c>
      <c r="J680" s="19" t="s">
        <v>373</v>
      </c>
      <c r="K680" s="21" t="s">
        <v>64</v>
      </c>
      <c r="L680" s="38"/>
      <c r="M680" s="54"/>
      <c r="N680" s="55"/>
      <c r="O680" s="56"/>
      <c r="P680" s="19" t="s">
        <v>49</v>
      </c>
      <c r="Q680" s="57" t="s">
        <v>770</v>
      </c>
      <c r="R680" s="38">
        <v>45958</v>
      </c>
      <c r="S680" s="20">
        <v>10</v>
      </c>
    </row>
    <row r="681" spans="1:19" ht="14.25" customHeight="1" x14ac:dyDescent="0.3">
      <c r="A681" s="17">
        <f t="shared" si="20"/>
        <v>680</v>
      </c>
      <c r="B681" s="30">
        <v>41902643</v>
      </c>
      <c r="C681" s="19" t="s">
        <v>863</v>
      </c>
      <c r="D681" s="18">
        <v>98679946</v>
      </c>
      <c r="E681" s="18">
        <v>82325148</v>
      </c>
      <c r="F681" s="18" t="s">
        <v>333</v>
      </c>
      <c r="G681" s="18" t="s">
        <v>414</v>
      </c>
      <c r="H681" s="18">
        <v>80</v>
      </c>
      <c r="I681" s="18">
        <v>5</v>
      </c>
      <c r="J681" s="19" t="s">
        <v>475</v>
      </c>
      <c r="K681" s="21" t="s">
        <v>64</v>
      </c>
      <c r="L681" s="38"/>
      <c r="M681" s="54"/>
      <c r="N681" s="55"/>
      <c r="O681" s="56"/>
      <c r="P681" s="19" t="s">
        <v>49</v>
      </c>
      <c r="Q681" s="19" t="s">
        <v>54</v>
      </c>
      <c r="R681" s="38">
        <v>45958</v>
      </c>
      <c r="S681" s="20">
        <v>10</v>
      </c>
    </row>
    <row r="682" spans="1:19" ht="14.25" customHeight="1" x14ac:dyDescent="0.3">
      <c r="A682" s="17">
        <f t="shared" si="20"/>
        <v>681</v>
      </c>
      <c r="B682" s="30">
        <v>45000531</v>
      </c>
      <c r="C682" s="19" t="s">
        <v>865</v>
      </c>
      <c r="D682" s="18">
        <v>98700592</v>
      </c>
      <c r="E682" s="18">
        <v>82343944</v>
      </c>
      <c r="F682" s="18" t="s">
        <v>333</v>
      </c>
      <c r="G682" s="18" t="s">
        <v>414</v>
      </c>
      <c r="H682" s="18">
        <v>80</v>
      </c>
      <c r="I682" s="18">
        <v>2</v>
      </c>
      <c r="J682" s="19" t="s">
        <v>634</v>
      </c>
      <c r="K682" s="21" t="s">
        <v>64</v>
      </c>
      <c r="L682" s="38"/>
      <c r="M682" s="54"/>
      <c r="N682" s="55"/>
      <c r="O682" s="56"/>
      <c r="P682" s="19" t="s">
        <v>49</v>
      </c>
      <c r="Q682" s="19" t="s">
        <v>54</v>
      </c>
      <c r="R682" s="38">
        <v>45959</v>
      </c>
      <c r="S682" s="20">
        <v>10</v>
      </c>
    </row>
    <row r="683" spans="1:19" ht="14.25" customHeight="1" x14ac:dyDescent="0.3">
      <c r="A683" s="17">
        <f t="shared" si="20"/>
        <v>682</v>
      </c>
      <c r="B683" s="30">
        <v>42839000</v>
      </c>
      <c r="C683" s="19" t="s">
        <v>861</v>
      </c>
      <c r="D683" s="18">
        <v>98704929</v>
      </c>
      <c r="E683" s="18">
        <v>82347348</v>
      </c>
      <c r="F683" s="18" t="s">
        <v>334</v>
      </c>
      <c r="G683" s="18" t="s">
        <v>414</v>
      </c>
      <c r="H683" s="18">
        <v>80</v>
      </c>
      <c r="I683" s="18">
        <v>4</v>
      </c>
      <c r="J683" s="19" t="s">
        <v>529</v>
      </c>
      <c r="K683" s="21" t="s">
        <v>64</v>
      </c>
      <c r="L683" s="38"/>
      <c r="M683" s="54"/>
      <c r="N683" s="55"/>
      <c r="O683" s="56"/>
      <c r="P683" s="19" t="s">
        <v>49</v>
      </c>
      <c r="Q683" s="19" t="s">
        <v>771</v>
      </c>
      <c r="R683" s="38">
        <v>45959</v>
      </c>
      <c r="S683" s="20">
        <v>10</v>
      </c>
    </row>
    <row r="684" spans="1:19" ht="14.25" customHeight="1" x14ac:dyDescent="0.3">
      <c r="A684" s="17">
        <f t="shared" si="20"/>
        <v>683</v>
      </c>
      <c r="B684" s="30">
        <v>10453735431</v>
      </c>
      <c r="C684" s="19" t="s">
        <v>866</v>
      </c>
      <c r="D684" s="18">
        <v>98706637</v>
      </c>
      <c r="E684" s="18">
        <v>82348235</v>
      </c>
      <c r="F684" s="18" t="s">
        <v>334</v>
      </c>
      <c r="G684" s="23" t="s">
        <v>774</v>
      </c>
      <c r="H684" s="18">
        <v>215</v>
      </c>
      <c r="I684" s="18">
        <v>9</v>
      </c>
      <c r="J684" s="19" t="s">
        <v>373</v>
      </c>
      <c r="K684" s="21" t="s">
        <v>64</v>
      </c>
      <c r="L684" s="38"/>
      <c r="M684" s="54"/>
      <c r="N684" s="55"/>
      <c r="O684" s="56"/>
      <c r="P684" s="19" t="s">
        <v>49</v>
      </c>
      <c r="Q684" s="57" t="s">
        <v>719</v>
      </c>
      <c r="R684" s="38">
        <v>45959</v>
      </c>
      <c r="S684" s="20">
        <v>10</v>
      </c>
    </row>
    <row r="685" spans="1:19" ht="14.25" customHeight="1" x14ac:dyDescent="0.3">
      <c r="A685" s="17">
        <f t="shared" si="20"/>
        <v>684</v>
      </c>
      <c r="B685" s="30">
        <v>41067564</v>
      </c>
      <c r="C685" s="19" t="s">
        <v>868</v>
      </c>
      <c r="D685" s="18">
        <v>98736756</v>
      </c>
      <c r="E685" s="18">
        <v>82386045</v>
      </c>
      <c r="F685" s="18" t="s">
        <v>333</v>
      </c>
      <c r="G685" s="18" t="s">
        <v>766</v>
      </c>
      <c r="H685" s="18">
        <v>74</v>
      </c>
      <c r="I685" s="18">
        <v>3</v>
      </c>
      <c r="J685" s="19" t="s">
        <v>541</v>
      </c>
      <c r="K685" s="21" t="s">
        <v>64</v>
      </c>
      <c r="L685" s="38"/>
      <c r="M685" s="54"/>
      <c r="N685" s="55"/>
      <c r="O685" s="56"/>
      <c r="P685" s="19" t="s">
        <v>49</v>
      </c>
      <c r="Q685" s="19" t="s">
        <v>54</v>
      </c>
      <c r="R685" s="38">
        <v>45961</v>
      </c>
      <c r="S685" s="20">
        <v>10</v>
      </c>
    </row>
    <row r="686" spans="1:19" ht="14.25" customHeight="1" x14ac:dyDescent="0.3">
      <c r="A686" s="17">
        <f t="shared" si="20"/>
        <v>685</v>
      </c>
      <c r="B686" s="30">
        <v>10453735431</v>
      </c>
      <c r="C686" s="19" t="s">
        <v>866</v>
      </c>
      <c r="D686" s="18">
        <v>98745922</v>
      </c>
      <c r="E686" s="18">
        <v>82396319</v>
      </c>
      <c r="F686" s="18" t="s">
        <v>334</v>
      </c>
      <c r="G686" s="23" t="s">
        <v>774</v>
      </c>
      <c r="H686" s="18">
        <v>215</v>
      </c>
      <c r="I686" s="18">
        <v>9</v>
      </c>
      <c r="J686" s="19" t="s">
        <v>475</v>
      </c>
      <c r="K686" s="21" t="s">
        <v>64</v>
      </c>
      <c r="L686" s="38"/>
      <c r="M686" s="54"/>
      <c r="N686" s="55"/>
      <c r="O686" s="56"/>
      <c r="P686" s="19" t="s">
        <v>49</v>
      </c>
      <c r="Q686" s="57" t="s">
        <v>719</v>
      </c>
      <c r="R686" s="38">
        <v>45961</v>
      </c>
      <c r="S686" s="20">
        <v>10</v>
      </c>
    </row>
    <row r="687" spans="1:19" ht="14.25" customHeight="1" x14ac:dyDescent="0.3">
      <c r="A687" s="17">
        <f t="shared" si="20"/>
        <v>686</v>
      </c>
      <c r="B687" s="30">
        <v>22515870</v>
      </c>
      <c r="C687" s="19" t="s">
        <v>858</v>
      </c>
      <c r="D687" s="18">
        <v>98596807</v>
      </c>
      <c r="E687" s="18">
        <v>82244917</v>
      </c>
      <c r="F687" s="18" t="s">
        <v>334</v>
      </c>
      <c r="G687" s="18" t="s">
        <v>414</v>
      </c>
      <c r="H687" s="18">
        <v>80</v>
      </c>
      <c r="I687" s="18">
        <v>2</v>
      </c>
      <c r="J687" s="19" t="s">
        <v>529</v>
      </c>
      <c r="K687" s="21" t="s">
        <v>64</v>
      </c>
      <c r="L687" s="38"/>
      <c r="M687" s="54"/>
      <c r="N687" s="55"/>
      <c r="O687" s="56"/>
      <c r="P687" s="19" t="s">
        <v>49</v>
      </c>
      <c r="Q687" s="57" t="s">
        <v>524</v>
      </c>
      <c r="R687" s="38">
        <v>45954</v>
      </c>
      <c r="S687" s="20">
        <v>10</v>
      </c>
    </row>
    <row r="688" spans="1:19" ht="14.25" customHeight="1" x14ac:dyDescent="0.3">
      <c r="A688" s="17">
        <f t="shared" si="20"/>
        <v>687</v>
      </c>
      <c r="B688" s="30">
        <v>47401728</v>
      </c>
      <c r="C688" s="19" t="s">
        <v>867</v>
      </c>
      <c r="D688" s="18">
        <v>98739481</v>
      </c>
      <c r="E688" s="18">
        <v>82387047</v>
      </c>
      <c r="F688" s="18" t="s">
        <v>333</v>
      </c>
      <c r="G688" s="18" t="s">
        <v>414</v>
      </c>
      <c r="H688" s="18">
        <v>80</v>
      </c>
      <c r="I688" s="18">
        <v>5</v>
      </c>
      <c r="J688" s="19" t="s">
        <v>529</v>
      </c>
      <c r="K688" s="21" t="s">
        <v>64</v>
      </c>
      <c r="L688" s="38"/>
      <c r="M688" s="54"/>
      <c r="N688" s="55"/>
      <c r="O688" s="56"/>
      <c r="P688" s="19" t="s">
        <v>49</v>
      </c>
      <c r="Q688" s="57" t="s">
        <v>518</v>
      </c>
      <c r="R688" s="38">
        <v>45961</v>
      </c>
      <c r="S688" s="20">
        <v>10</v>
      </c>
    </row>
    <row r="689" spans="1:19" ht="14.25" customHeight="1" x14ac:dyDescent="0.3">
      <c r="A689" s="17">
        <f t="shared" si="20"/>
        <v>688</v>
      </c>
      <c r="B689" s="30">
        <v>76308555</v>
      </c>
      <c r="C689" s="19" t="s">
        <v>872</v>
      </c>
      <c r="D689" s="18">
        <v>98787161</v>
      </c>
      <c r="E689" s="18">
        <v>82445413</v>
      </c>
      <c r="F689" s="18" t="s">
        <v>333</v>
      </c>
      <c r="G689" s="18" t="s">
        <v>414</v>
      </c>
      <c r="H689" s="18">
        <v>80</v>
      </c>
      <c r="I689" s="18">
        <v>4</v>
      </c>
      <c r="J689" s="19" t="s">
        <v>541</v>
      </c>
      <c r="K689" s="21" t="s">
        <v>64</v>
      </c>
      <c r="L689" s="38"/>
      <c r="M689" s="54"/>
      <c r="N689" s="55"/>
      <c r="O689" s="56"/>
      <c r="P689" s="19" t="s">
        <v>49</v>
      </c>
      <c r="Q689" s="57" t="s">
        <v>770</v>
      </c>
      <c r="R689" s="38">
        <v>45964</v>
      </c>
      <c r="S689" s="20">
        <v>11</v>
      </c>
    </row>
    <row r="690" spans="1:19" ht="14.25" customHeight="1" x14ac:dyDescent="0.3">
      <c r="A690" s="17">
        <f t="shared" si="20"/>
        <v>689</v>
      </c>
      <c r="B690" s="30">
        <v>47397742</v>
      </c>
      <c r="C690" s="19" t="s">
        <v>873</v>
      </c>
      <c r="D690" s="18">
        <v>98799994</v>
      </c>
      <c r="E690" s="18">
        <v>82455423</v>
      </c>
      <c r="F690" s="18" t="s">
        <v>334</v>
      </c>
      <c r="G690" s="18" t="s">
        <v>414</v>
      </c>
      <c r="H690" s="18">
        <v>80</v>
      </c>
      <c r="I690" s="18">
        <v>4</v>
      </c>
      <c r="J690" s="19" t="s">
        <v>373</v>
      </c>
      <c r="K690" s="21" t="s">
        <v>64</v>
      </c>
      <c r="L690" s="38"/>
      <c r="M690" s="54"/>
      <c r="N690" s="55"/>
      <c r="O690" s="56"/>
      <c r="P690" s="19" t="s">
        <v>49</v>
      </c>
      <c r="Q690" s="57" t="s">
        <v>747</v>
      </c>
      <c r="R690" s="38">
        <v>45964</v>
      </c>
      <c r="S690" s="20">
        <v>11</v>
      </c>
    </row>
    <row r="691" spans="1:19" ht="14.25" customHeight="1" x14ac:dyDescent="0.3">
      <c r="A691" s="17">
        <f t="shared" si="20"/>
        <v>690</v>
      </c>
      <c r="B691" s="30">
        <v>8742542</v>
      </c>
      <c r="C691" s="19" t="s">
        <v>874</v>
      </c>
      <c r="D691" s="18">
        <v>98805318</v>
      </c>
      <c r="E691" s="18">
        <v>82459662</v>
      </c>
      <c r="F691" s="18" t="s">
        <v>334</v>
      </c>
      <c r="G691" s="18" t="s">
        <v>724</v>
      </c>
      <c r="H691" s="18">
        <v>84</v>
      </c>
      <c r="I691" s="18">
        <v>8</v>
      </c>
      <c r="J691" s="19" t="s">
        <v>604</v>
      </c>
      <c r="K691" s="21" t="s">
        <v>64</v>
      </c>
      <c r="L691" s="38"/>
      <c r="M691" s="54"/>
      <c r="N691" s="55"/>
      <c r="O691" s="56"/>
      <c r="P691" s="19" t="s">
        <v>49</v>
      </c>
      <c r="Q691" s="57" t="s">
        <v>747</v>
      </c>
      <c r="R691" s="38">
        <v>45964</v>
      </c>
      <c r="S691" s="20">
        <v>11</v>
      </c>
    </row>
    <row r="692" spans="1:19" ht="14.25" customHeight="1" x14ac:dyDescent="0.3">
      <c r="A692" s="17">
        <f t="shared" si="20"/>
        <v>691</v>
      </c>
      <c r="B692" s="30">
        <v>22271715</v>
      </c>
      <c r="C692" s="19" t="s">
        <v>875</v>
      </c>
      <c r="D692" s="18">
        <v>98812228</v>
      </c>
      <c r="E692" s="18">
        <v>82473593</v>
      </c>
      <c r="F692" s="18" t="s">
        <v>333</v>
      </c>
      <c r="G692" s="18" t="s">
        <v>414</v>
      </c>
      <c r="H692" s="18">
        <v>80</v>
      </c>
      <c r="I692" s="18">
        <v>3</v>
      </c>
      <c r="J692" s="19" t="s">
        <v>372</v>
      </c>
      <c r="K692" s="21" t="s">
        <v>64</v>
      </c>
      <c r="L692" s="38"/>
      <c r="M692" s="54"/>
      <c r="N692" s="55"/>
      <c r="O692" s="56"/>
      <c r="P692" s="19" t="s">
        <v>49</v>
      </c>
      <c r="Q692" s="19" t="s">
        <v>771</v>
      </c>
      <c r="R692" s="38">
        <v>45965</v>
      </c>
      <c r="S692" s="20">
        <v>11</v>
      </c>
    </row>
    <row r="693" spans="1:19" ht="14.25" customHeight="1" x14ac:dyDescent="0.3">
      <c r="A693" s="17">
        <f t="shared" si="20"/>
        <v>692</v>
      </c>
      <c r="B693" s="30">
        <v>46665771</v>
      </c>
      <c r="C693" s="19" t="s">
        <v>876</v>
      </c>
      <c r="D693" s="18">
        <v>98818163</v>
      </c>
      <c r="E693" s="18">
        <v>82476966</v>
      </c>
      <c r="F693" s="18" t="s">
        <v>333</v>
      </c>
      <c r="G693" s="18" t="s">
        <v>414</v>
      </c>
      <c r="H693" s="18">
        <v>80</v>
      </c>
      <c r="I693" s="18">
        <v>8</v>
      </c>
      <c r="J693" s="19" t="s">
        <v>541</v>
      </c>
      <c r="K693" s="21" t="s">
        <v>64</v>
      </c>
      <c r="L693" s="38"/>
      <c r="M693" s="54"/>
      <c r="N693" s="55"/>
      <c r="O693" s="56"/>
      <c r="P693" s="19" t="s">
        <v>49</v>
      </c>
      <c r="Q693" s="57" t="s">
        <v>770</v>
      </c>
      <c r="R693" s="38">
        <v>45965</v>
      </c>
      <c r="S693" s="20">
        <v>11</v>
      </c>
    </row>
    <row r="694" spans="1:19" ht="14.25" customHeight="1" x14ac:dyDescent="0.3">
      <c r="A694" s="17">
        <f t="shared" si="20"/>
        <v>693</v>
      </c>
      <c r="B694" s="30">
        <v>42620434</v>
      </c>
      <c r="C694" s="19" t="s">
        <v>877</v>
      </c>
      <c r="D694" s="18">
        <v>98819030</v>
      </c>
      <c r="E694" s="18">
        <v>82477561</v>
      </c>
      <c r="F694" s="18" t="s">
        <v>334</v>
      </c>
      <c r="G694" s="18" t="s">
        <v>724</v>
      </c>
      <c r="H694" s="18">
        <v>84</v>
      </c>
      <c r="I694" s="18">
        <v>7</v>
      </c>
      <c r="J694" s="19" t="s">
        <v>604</v>
      </c>
      <c r="K694" s="21" t="s">
        <v>64</v>
      </c>
      <c r="L694" s="38"/>
      <c r="M694" s="54"/>
      <c r="N694" s="55"/>
      <c r="O694" s="56"/>
      <c r="P694" s="19" t="s">
        <v>49</v>
      </c>
      <c r="Q694" s="57" t="s">
        <v>770</v>
      </c>
      <c r="R694" s="38">
        <v>45965</v>
      </c>
      <c r="S694" s="20">
        <v>11</v>
      </c>
    </row>
    <row r="695" spans="1:19" ht="14.25" customHeight="1" x14ac:dyDescent="0.3">
      <c r="A695" s="17">
        <f t="shared" si="20"/>
        <v>694</v>
      </c>
      <c r="B695" s="30">
        <v>17911114</v>
      </c>
      <c r="C695" s="19" t="s">
        <v>878</v>
      </c>
      <c r="D695" s="18">
        <v>98840132</v>
      </c>
      <c r="E695" s="18">
        <v>82493727</v>
      </c>
      <c r="F695" s="18" t="s">
        <v>334</v>
      </c>
      <c r="G695" s="18" t="s">
        <v>414</v>
      </c>
      <c r="H695" s="18">
        <v>80</v>
      </c>
      <c r="I695" s="18">
        <v>8</v>
      </c>
      <c r="J695" s="19" t="s">
        <v>529</v>
      </c>
      <c r="K695" s="21" t="s">
        <v>64</v>
      </c>
      <c r="L695" s="38"/>
      <c r="M695" s="54"/>
      <c r="N695" s="55"/>
      <c r="O695" s="56"/>
      <c r="P695" s="19" t="s">
        <v>49</v>
      </c>
      <c r="Q695" s="57" t="s">
        <v>770</v>
      </c>
      <c r="R695" s="38">
        <v>45966</v>
      </c>
      <c r="S695" s="20">
        <v>11</v>
      </c>
    </row>
    <row r="696" spans="1:19" ht="14.25" customHeight="1" x14ac:dyDescent="0.3">
      <c r="A696" s="17">
        <f t="shared" si="20"/>
        <v>695</v>
      </c>
      <c r="B696" s="30">
        <v>43153954</v>
      </c>
      <c r="C696" s="19" t="s">
        <v>880</v>
      </c>
      <c r="D696" s="18">
        <v>98838072</v>
      </c>
      <c r="E696" s="18">
        <v>82492618</v>
      </c>
      <c r="F696" s="18" t="s">
        <v>333</v>
      </c>
      <c r="G696" s="18" t="s">
        <v>414</v>
      </c>
      <c r="H696" s="18">
        <v>80</v>
      </c>
      <c r="I696" s="18">
        <v>5</v>
      </c>
      <c r="J696" s="19" t="s">
        <v>372</v>
      </c>
      <c r="K696" s="21" t="s">
        <v>64</v>
      </c>
      <c r="L696" s="38"/>
      <c r="M696" s="54"/>
      <c r="N696" s="55"/>
      <c r="O696" s="56"/>
      <c r="P696" s="19" t="s">
        <v>49</v>
      </c>
      <c r="Q696" s="19" t="s">
        <v>771</v>
      </c>
      <c r="R696" s="38">
        <v>45966</v>
      </c>
      <c r="S696" s="20">
        <v>11</v>
      </c>
    </row>
    <row r="697" spans="1:19" ht="14.25" customHeight="1" x14ac:dyDescent="0.3">
      <c r="A697" s="17">
        <f t="shared" si="20"/>
        <v>696</v>
      </c>
      <c r="B697" s="30">
        <v>20608587854</v>
      </c>
      <c r="C697" s="19" t="s">
        <v>882</v>
      </c>
      <c r="D697" s="18">
        <v>98868771</v>
      </c>
      <c r="E697" s="18">
        <v>82513786</v>
      </c>
      <c r="F697" s="18" t="s">
        <v>333</v>
      </c>
      <c r="G697" s="18" t="s">
        <v>724</v>
      </c>
      <c r="H697" s="18">
        <v>84</v>
      </c>
      <c r="I697" s="18">
        <v>5</v>
      </c>
      <c r="J697" s="19" t="s">
        <v>416</v>
      </c>
      <c r="K697" s="21" t="s">
        <v>64</v>
      </c>
      <c r="L697" s="38"/>
      <c r="M697" s="54"/>
      <c r="N697" s="55"/>
      <c r="O697" s="56"/>
      <c r="P697" s="19" t="s">
        <v>49</v>
      </c>
      <c r="Q697" s="57" t="s">
        <v>771</v>
      </c>
      <c r="R697" s="38">
        <v>45967</v>
      </c>
      <c r="S697" s="20">
        <v>11</v>
      </c>
    </row>
    <row r="698" spans="1:19" ht="14.25" customHeight="1" x14ac:dyDescent="0.3">
      <c r="A698" s="17">
        <f t="shared" si="20"/>
        <v>697</v>
      </c>
      <c r="B698" s="30">
        <v>40769234</v>
      </c>
      <c r="C698" s="19" t="s">
        <v>883</v>
      </c>
      <c r="D698" s="18">
        <v>98883469</v>
      </c>
      <c r="E698" s="18">
        <v>82533128</v>
      </c>
      <c r="F698" s="18" t="s">
        <v>333</v>
      </c>
      <c r="G698" s="18" t="s">
        <v>337</v>
      </c>
      <c r="H698" s="18">
        <v>170</v>
      </c>
      <c r="I698" s="18">
        <v>6</v>
      </c>
      <c r="J698" s="19" t="s">
        <v>372</v>
      </c>
      <c r="K698" s="21" t="s">
        <v>64</v>
      </c>
      <c r="L698" s="38"/>
      <c r="M698" s="54"/>
      <c r="N698" s="55"/>
      <c r="O698" s="56"/>
      <c r="P698" s="19" t="s">
        <v>49</v>
      </c>
      <c r="Q698" s="57" t="s">
        <v>671</v>
      </c>
      <c r="R698" s="38">
        <v>45968</v>
      </c>
      <c r="S698" s="20">
        <v>11</v>
      </c>
    </row>
    <row r="699" spans="1:19" ht="14.25" customHeight="1" x14ac:dyDescent="0.3">
      <c r="A699" s="17">
        <f t="shared" si="20"/>
        <v>698</v>
      </c>
      <c r="B699" s="30">
        <v>71848382</v>
      </c>
      <c r="C699" s="19" t="s">
        <v>869</v>
      </c>
      <c r="D699" s="18">
        <v>98747916</v>
      </c>
      <c r="E699" s="18">
        <v>82400759</v>
      </c>
      <c r="F699" s="18" t="s">
        <v>333</v>
      </c>
      <c r="G699" s="18" t="s">
        <v>724</v>
      </c>
      <c r="H699" s="18">
        <v>84</v>
      </c>
      <c r="I699" s="18">
        <v>5</v>
      </c>
      <c r="J699" s="19" t="s">
        <v>541</v>
      </c>
      <c r="K699" s="21" t="s">
        <v>64</v>
      </c>
      <c r="L699" s="38"/>
      <c r="M699" s="54"/>
      <c r="N699" s="55"/>
      <c r="O699" s="56"/>
      <c r="P699" s="19" t="s">
        <v>49</v>
      </c>
      <c r="Q699" s="57" t="s">
        <v>524</v>
      </c>
      <c r="R699" s="38">
        <v>45961</v>
      </c>
      <c r="S699" s="20">
        <v>10</v>
      </c>
    </row>
    <row r="700" spans="1:19" ht="14.25" customHeight="1" x14ac:dyDescent="0.3">
      <c r="A700" s="17">
        <f t="shared" si="20"/>
        <v>699</v>
      </c>
      <c r="B700" s="30">
        <v>9590130</v>
      </c>
      <c r="C700" s="19" t="s">
        <v>871</v>
      </c>
      <c r="D700" s="18">
        <v>98784820</v>
      </c>
      <c r="E700" s="18">
        <v>82441308</v>
      </c>
      <c r="F700" s="18" t="s">
        <v>333</v>
      </c>
      <c r="G700" s="18" t="s">
        <v>769</v>
      </c>
      <c r="H700" s="18">
        <v>69</v>
      </c>
      <c r="I700" s="18">
        <v>8</v>
      </c>
      <c r="J700" s="19" t="s">
        <v>373</v>
      </c>
      <c r="K700" s="21" t="s">
        <v>64</v>
      </c>
      <c r="L700" s="38"/>
      <c r="M700" s="54"/>
      <c r="N700" s="55"/>
      <c r="O700" s="56"/>
      <c r="P700" s="19" t="s">
        <v>49</v>
      </c>
      <c r="Q700" s="57" t="s">
        <v>671</v>
      </c>
      <c r="R700" s="38">
        <v>45964</v>
      </c>
      <c r="S700" s="20">
        <v>11</v>
      </c>
    </row>
    <row r="701" spans="1:19" ht="14.25" customHeight="1" x14ac:dyDescent="0.3">
      <c r="A701" s="17">
        <f t="shared" si="20"/>
        <v>700</v>
      </c>
      <c r="B701" s="30">
        <v>75012414</v>
      </c>
      <c r="C701" s="19" t="s">
        <v>881</v>
      </c>
      <c r="D701" s="18">
        <v>98857595</v>
      </c>
      <c r="E701" s="18">
        <v>82507482</v>
      </c>
      <c r="F701" s="18" t="s">
        <v>334</v>
      </c>
      <c r="G701" s="18" t="s">
        <v>724</v>
      </c>
      <c r="H701" s="18">
        <v>84</v>
      </c>
      <c r="I701" s="18">
        <v>3</v>
      </c>
      <c r="J701" s="19" t="s">
        <v>604</v>
      </c>
      <c r="K701" s="21" t="s">
        <v>64</v>
      </c>
      <c r="L701" s="38"/>
      <c r="M701" s="54"/>
      <c r="N701" s="55"/>
      <c r="O701" s="56"/>
      <c r="P701" s="19" t="s">
        <v>49</v>
      </c>
      <c r="Q701" s="57" t="s">
        <v>747</v>
      </c>
      <c r="R701" s="38">
        <v>45967</v>
      </c>
      <c r="S701" s="20">
        <v>11</v>
      </c>
    </row>
    <row r="702" spans="1:19" ht="14.25" customHeight="1" x14ac:dyDescent="0.3">
      <c r="A702" s="17">
        <f t="shared" si="20"/>
        <v>701</v>
      </c>
      <c r="B702" s="30">
        <v>40890130</v>
      </c>
      <c r="C702" s="19" t="s">
        <v>884</v>
      </c>
      <c r="D702" s="18">
        <v>98885801</v>
      </c>
      <c r="E702" s="18">
        <v>82534347</v>
      </c>
      <c r="F702" s="18" t="s">
        <v>333</v>
      </c>
      <c r="G702" s="18" t="s">
        <v>414</v>
      </c>
      <c r="H702" s="18">
        <v>80</v>
      </c>
      <c r="I702" s="18">
        <v>6</v>
      </c>
      <c r="J702" s="19" t="s">
        <v>373</v>
      </c>
      <c r="K702" s="21" t="s">
        <v>64</v>
      </c>
      <c r="L702" s="38"/>
      <c r="M702" s="54"/>
      <c r="N702" s="55"/>
      <c r="O702" s="56"/>
      <c r="P702" s="19" t="s">
        <v>49</v>
      </c>
      <c r="Q702" s="57" t="s">
        <v>671</v>
      </c>
      <c r="R702" s="38">
        <v>45968</v>
      </c>
      <c r="S702" s="20">
        <v>11</v>
      </c>
    </row>
    <row r="703" spans="1:19" ht="14.25" customHeight="1" x14ac:dyDescent="0.3">
      <c r="A703" s="17">
        <f t="shared" si="20"/>
        <v>702</v>
      </c>
      <c r="B703" s="30">
        <v>48600022</v>
      </c>
      <c r="C703" s="19" t="s">
        <v>885</v>
      </c>
      <c r="D703" s="18">
        <v>98889275</v>
      </c>
      <c r="E703" s="18">
        <v>82536084</v>
      </c>
      <c r="F703" s="18" t="s">
        <v>333</v>
      </c>
      <c r="G703" s="18" t="s">
        <v>414</v>
      </c>
      <c r="H703" s="18">
        <v>80</v>
      </c>
      <c r="I703" s="18">
        <v>7</v>
      </c>
      <c r="J703" s="19" t="s">
        <v>541</v>
      </c>
      <c r="K703" s="21" t="s">
        <v>64</v>
      </c>
      <c r="L703" s="38"/>
      <c r="M703" s="54"/>
      <c r="N703" s="55"/>
      <c r="O703" s="56"/>
      <c r="P703" s="19" t="s">
        <v>49</v>
      </c>
      <c r="Q703" s="57" t="s">
        <v>770</v>
      </c>
      <c r="R703" s="38">
        <v>45968</v>
      </c>
      <c r="S703" s="20">
        <v>11</v>
      </c>
    </row>
    <row r="704" spans="1:19" ht="14.25" customHeight="1" x14ac:dyDescent="0.3">
      <c r="A704" s="17">
        <f t="shared" si="20"/>
        <v>703</v>
      </c>
      <c r="B704" s="30">
        <v>42620434</v>
      </c>
      <c r="C704" s="19" t="s">
        <v>877</v>
      </c>
      <c r="D704" s="18">
        <v>98819030</v>
      </c>
      <c r="E704" s="18">
        <v>82477561</v>
      </c>
      <c r="F704" s="18" t="s">
        <v>334</v>
      </c>
      <c r="G704" s="18" t="s">
        <v>724</v>
      </c>
      <c r="H704" s="18">
        <v>84</v>
      </c>
      <c r="I704" s="18">
        <v>7</v>
      </c>
      <c r="J704" s="19" t="s">
        <v>541</v>
      </c>
      <c r="K704" s="21" t="s">
        <v>64</v>
      </c>
      <c r="L704" s="38"/>
      <c r="M704" s="54"/>
      <c r="N704" s="55"/>
      <c r="O704" s="56"/>
      <c r="P704" s="19" t="s">
        <v>49</v>
      </c>
      <c r="Q704" s="57" t="s">
        <v>770</v>
      </c>
      <c r="R704" s="38">
        <v>45968</v>
      </c>
      <c r="S704" s="20">
        <v>11</v>
      </c>
    </row>
    <row r="705" spans="1:19" ht="14.25" customHeight="1" x14ac:dyDescent="0.3">
      <c r="A705" s="17">
        <f t="shared" si="20"/>
        <v>704</v>
      </c>
      <c r="B705" s="30">
        <v>40412888</v>
      </c>
      <c r="C705" s="19" t="s">
        <v>887</v>
      </c>
      <c r="D705" s="18">
        <v>98914325</v>
      </c>
      <c r="E705" s="18">
        <v>82551767</v>
      </c>
      <c r="F705" s="18" t="s">
        <v>334</v>
      </c>
      <c r="G705" s="18" t="s">
        <v>414</v>
      </c>
      <c r="H705" s="18">
        <v>80</v>
      </c>
      <c r="I705" s="18">
        <v>10</v>
      </c>
      <c r="J705" s="19" t="s">
        <v>373</v>
      </c>
      <c r="K705" s="21" t="s">
        <v>64</v>
      </c>
      <c r="L705" s="38"/>
      <c r="M705" s="54"/>
      <c r="N705" s="55"/>
      <c r="O705" s="56"/>
      <c r="P705" s="19" t="s">
        <v>49</v>
      </c>
      <c r="Q705" s="57" t="s">
        <v>771</v>
      </c>
      <c r="R705" s="38">
        <v>45969</v>
      </c>
      <c r="S705" s="20">
        <v>11</v>
      </c>
    </row>
    <row r="706" spans="1:19" ht="14.25" customHeight="1" x14ac:dyDescent="0.3">
      <c r="A706" s="17">
        <f t="shared" si="20"/>
        <v>705</v>
      </c>
      <c r="B706" s="30">
        <v>77052082</v>
      </c>
      <c r="C706" s="19" t="s">
        <v>888</v>
      </c>
      <c r="D706" s="18">
        <v>98958944</v>
      </c>
      <c r="E706" s="18">
        <v>82592753</v>
      </c>
      <c r="F706" s="18" t="s">
        <v>334</v>
      </c>
      <c r="G706" s="18" t="s">
        <v>724</v>
      </c>
      <c r="H706" s="18">
        <v>84</v>
      </c>
      <c r="I706" s="18">
        <v>6</v>
      </c>
      <c r="J706" s="19" t="s">
        <v>529</v>
      </c>
      <c r="K706" s="21" t="s">
        <v>64</v>
      </c>
      <c r="L706" s="38"/>
      <c r="M706" s="54"/>
      <c r="N706" s="55"/>
      <c r="O706" s="56"/>
      <c r="P706" s="19" t="s">
        <v>49</v>
      </c>
      <c r="Q706" s="57" t="s">
        <v>822</v>
      </c>
      <c r="R706" s="38">
        <v>45971</v>
      </c>
      <c r="S706" s="20">
        <v>11</v>
      </c>
    </row>
    <row r="707" spans="1:19" ht="14.25" customHeight="1" x14ac:dyDescent="0.3">
      <c r="A707" s="17">
        <f t="shared" si="20"/>
        <v>706</v>
      </c>
      <c r="B707" s="30">
        <v>3864641</v>
      </c>
      <c r="C707" s="19" t="s">
        <v>367</v>
      </c>
      <c r="D707" s="18">
        <v>98962363</v>
      </c>
      <c r="E707" s="18">
        <v>82594454</v>
      </c>
      <c r="F707" s="18" t="s">
        <v>333</v>
      </c>
      <c r="G707" s="18" t="s">
        <v>724</v>
      </c>
      <c r="H707" s="18">
        <v>84</v>
      </c>
      <c r="I707" s="18">
        <v>8</v>
      </c>
      <c r="J707" s="19" t="s">
        <v>372</v>
      </c>
      <c r="K707" s="21" t="s">
        <v>64</v>
      </c>
      <c r="L707" s="38"/>
      <c r="M707" s="54"/>
      <c r="N707" s="55"/>
      <c r="O707" s="56"/>
      <c r="P707" s="19" t="s">
        <v>49</v>
      </c>
      <c r="Q707" s="57" t="s">
        <v>822</v>
      </c>
      <c r="R707" s="38">
        <v>45971</v>
      </c>
      <c r="S707" s="20">
        <v>11</v>
      </c>
    </row>
    <row r="708" spans="1:19" ht="14.25" customHeight="1" x14ac:dyDescent="0.3">
      <c r="A708" s="17">
        <f t="shared" ref="A708:A771" si="21">A707+1</f>
        <v>707</v>
      </c>
      <c r="B708" s="30">
        <v>3237192</v>
      </c>
      <c r="C708" s="19" t="s">
        <v>889</v>
      </c>
      <c r="D708" s="18">
        <v>98984471</v>
      </c>
      <c r="E708" s="18">
        <v>82622443</v>
      </c>
      <c r="F708" s="18" t="s">
        <v>333</v>
      </c>
      <c r="G708" s="18" t="s">
        <v>724</v>
      </c>
      <c r="H708" s="18">
        <v>84</v>
      </c>
      <c r="I708" s="18">
        <v>10</v>
      </c>
      <c r="J708" s="19" t="s">
        <v>604</v>
      </c>
      <c r="K708" s="21" t="s">
        <v>64</v>
      </c>
      <c r="L708" s="38"/>
      <c r="M708" s="54"/>
      <c r="N708" s="55"/>
      <c r="O708" s="56"/>
      <c r="P708" s="19" t="s">
        <v>49</v>
      </c>
      <c r="Q708" s="57" t="s">
        <v>54</v>
      </c>
      <c r="R708" s="38">
        <v>45972</v>
      </c>
      <c r="S708" s="20">
        <v>11</v>
      </c>
    </row>
    <row r="709" spans="1:19" ht="14.25" customHeight="1" x14ac:dyDescent="0.3">
      <c r="A709" s="17">
        <f t="shared" si="21"/>
        <v>708</v>
      </c>
      <c r="B709" s="30">
        <v>73304094</v>
      </c>
      <c r="C709" s="19" t="s">
        <v>890</v>
      </c>
      <c r="D709" s="18">
        <v>99014111</v>
      </c>
      <c r="E709" s="18">
        <v>82647284</v>
      </c>
      <c r="F709" s="18" t="s">
        <v>333</v>
      </c>
      <c r="G709" s="18" t="s">
        <v>724</v>
      </c>
      <c r="H709" s="18">
        <v>84</v>
      </c>
      <c r="I709" s="18">
        <v>7</v>
      </c>
      <c r="J709" s="19" t="s">
        <v>541</v>
      </c>
      <c r="K709" s="21" t="s">
        <v>64</v>
      </c>
      <c r="L709" s="38"/>
      <c r="M709" s="54"/>
      <c r="N709" s="55"/>
      <c r="O709" s="56"/>
      <c r="P709" s="19" t="s">
        <v>49</v>
      </c>
      <c r="Q709" s="57" t="s">
        <v>54</v>
      </c>
      <c r="R709" s="38">
        <v>45973</v>
      </c>
      <c r="S709" s="20">
        <v>11</v>
      </c>
    </row>
    <row r="710" spans="1:19" ht="14.25" customHeight="1" x14ac:dyDescent="0.3">
      <c r="A710" s="17">
        <f t="shared" si="21"/>
        <v>709</v>
      </c>
      <c r="B710" s="30">
        <v>77052082</v>
      </c>
      <c r="C710" s="19" t="s">
        <v>888</v>
      </c>
      <c r="D710" s="18">
        <v>99025712</v>
      </c>
      <c r="E710" s="18">
        <v>82661208</v>
      </c>
      <c r="F710" s="18" t="s">
        <v>334</v>
      </c>
      <c r="G710" s="18" t="s">
        <v>724</v>
      </c>
      <c r="H710" s="18">
        <v>84</v>
      </c>
      <c r="I710" s="18">
        <v>6</v>
      </c>
      <c r="J710" s="19" t="s">
        <v>373</v>
      </c>
      <c r="K710" s="21" t="s">
        <v>64</v>
      </c>
      <c r="L710" s="38"/>
      <c r="M710" s="54"/>
      <c r="N710" s="55"/>
      <c r="O710" s="56"/>
      <c r="P710" s="19" t="s">
        <v>49</v>
      </c>
      <c r="Q710" s="57" t="s">
        <v>822</v>
      </c>
      <c r="R710" s="38">
        <v>45974</v>
      </c>
      <c r="S710" s="20">
        <v>11</v>
      </c>
    </row>
    <row r="711" spans="1:19" ht="14.25" customHeight="1" x14ac:dyDescent="0.3">
      <c r="A711" s="17">
        <f t="shared" si="21"/>
        <v>710</v>
      </c>
      <c r="B711" s="30">
        <v>73248976</v>
      </c>
      <c r="C711" s="19" t="s">
        <v>891</v>
      </c>
      <c r="D711" s="18">
        <v>99025250</v>
      </c>
      <c r="E711" s="18">
        <v>82661000</v>
      </c>
      <c r="F711" s="18" t="s">
        <v>333</v>
      </c>
      <c r="G711" s="18" t="s">
        <v>724</v>
      </c>
      <c r="H711" s="18">
        <v>84</v>
      </c>
      <c r="I711" s="18">
        <v>1</v>
      </c>
      <c r="J711" s="19" t="s">
        <v>373</v>
      </c>
      <c r="K711" s="21" t="s">
        <v>64</v>
      </c>
      <c r="L711" s="38"/>
      <c r="M711" s="54"/>
      <c r="N711" s="55"/>
      <c r="O711" s="56"/>
      <c r="P711" s="19" t="s">
        <v>49</v>
      </c>
      <c r="Q711" s="57" t="s">
        <v>518</v>
      </c>
      <c r="R711" s="38">
        <v>45974</v>
      </c>
      <c r="S711" s="20">
        <v>11</v>
      </c>
    </row>
    <row r="712" spans="1:19" ht="14.25" customHeight="1" x14ac:dyDescent="0.3">
      <c r="A712" s="17">
        <f t="shared" si="21"/>
        <v>711</v>
      </c>
      <c r="B712" s="30">
        <v>42322653</v>
      </c>
      <c r="C712" s="19" t="s">
        <v>893</v>
      </c>
      <c r="D712" s="18">
        <v>99037259</v>
      </c>
      <c r="E712" s="18">
        <v>82668371</v>
      </c>
      <c r="F712" s="18" t="s">
        <v>333</v>
      </c>
      <c r="G712" s="18" t="s">
        <v>724</v>
      </c>
      <c r="H712" s="18">
        <v>84</v>
      </c>
      <c r="I712" s="18">
        <v>1</v>
      </c>
      <c r="J712" s="19" t="s">
        <v>483</v>
      </c>
      <c r="K712" s="21" t="s">
        <v>64</v>
      </c>
      <c r="L712" s="38"/>
      <c r="M712" s="54"/>
      <c r="N712" s="55"/>
      <c r="O712" s="56"/>
      <c r="P712" s="19" t="s">
        <v>49</v>
      </c>
      <c r="Q712" s="57" t="s">
        <v>524</v>
      </c>
      <c r="R712" s="38">
        <v>45974</v>
      </c>
      <c r="S712" s="20">
        <v>11</v>
      </c>
    </row>
    <row r="713" spans="1:19" ht="14.25" customHeight="1" x14ac:dyDescent="0.3">
      <c r="A713" s="17">
        <f t="shared" si="21"/>
        <v>712</v>
      </c>
      <c r="B713" s="30">
        <v>75197864</v>
      </c>
      <c r="C713" s="19" t="s">
        <v>895</v>
      </c>
      <c r="D713" s="18">
        <v>99056187</v>
      </c>
      <c r="E713" s="18">
        <v>82697509</v>
      </c>
      <c r="F713" s="18" t="s">
        <v>333</v>
      </c>
      <c r="G713" s="18" t="s">
        <v>337</v>
      </c>
      <c r="H713" s="18">
        <v>170</v>
      </c>
      <c r="I713" s="18">
        <v>5</v>
      </c>
      <c r="J713" s="19" t="s">
        <v>373</v>
      </c>
      <c r="K713" s="21" t="s">
        <v>64</v>
      </c>
      <c r="L713" s="38"/>
      <c r="M713" s="54"/>
      <c r="N713" s="55"/>
      <c r="O713" s="56"/>
      <c r="P713" s="19" t="s">
        <v>49</v>
      </c>
      <c r="Q713" s="57" t="s">
        <v>518</v>
      </c>
      <c r="R713" s="38">
        <v>45975</v>
      </c>
      <c r="S713" s="20">
        <v>11</v>
      </c>
    </row>
    <row r="714" spans="1:19" ht="14.25" customHeight="1" x14ac:dyDescent="0.3">
      <c r="A714" s="17">
        <f t="shared" si="21"/>
        <v>713</v>
      </c>
      <c r="B714" s="30">
        <v>75258008</v>
      </c>
      <c r="C714" s="19" t="s">
        <v>896</v>
      </c>
      <c r="D714" s="18">
        <v>99057269</v>
      </c>
      <c r="E714" s="18">
        <v>82698144</v>
      </c>
      <c r="F714" s="18" t="s">
        <v>333</v>
      </c>
      <c r="G714" s="18" t="s">
        <v>337</v>
      </c>
      <c r="H714" s="18">
        <v>170</v>
      </c>
      <c r="I714" s="18">
        <v>6</v>
      </c>
      <c r="J714" s="19" t="s">
        <v>372</v>
      </c>
      <c r="K714" s="21" t="s">
        <v>64</v>
      </c>
      <c r="L714" s="38"/>
      <c r="M714" s="54"/>
      <c r="N714" s="55"/>
      <c r="O714" s="56"/>
      <c r="P714" s="19" t="s">
        <v>49</v>
      </c>
      <c r="Q714" s="57" t="s">
        <v>671</v>
      </c>
      <c r="R714" s="38">
        <v>45975</v>
      </c>
      <c r="S714" s="20">
        <v>11</v>
      </c>
    </row>
    <row r="715" spans="1:19" ht="14.25" customHeight="1" x14ac:dyDescent="0.3">
      <c r="A715" s="17">
        <f t="shared" si="21"/>
        <v>714</v>
      </c>
      <c r="B715" s="30">
        <v>74600119</v>
      </c>
      <c r="C715" s="19" t="s">
        <v>898</v>
      </c>
      <c r="D715" s="18">
        <v>99079535</v>
      </c>
      <c r="E715" s="18">
        <v>82720328</v>
      </c>
      <c r="F715" s="18" t="s">
        <v>333</v>
      </c>
      <c r="G715" s="18" t="s">
        <v>724</v>
      </c>
      <c r="H715" s="18">
        <v>84</v>
      </c>
      <c r="I715" s="18">
        <v>5</v>
      </c>
      <c r="J715" s="19" t="s">
        <v>604</v>
      </c>
      <c r="K715" s="21" t="s">
        <v>64</v>
      </c>
      <c r="L715" s="38"/>
      <c r="M715" s="54"/>
      <c r="N715" s="55"/>
      <c r="O715" s="56"/>
      <c r="P715" s="19" t="s">
        <v>49</v>
      </c>
      <c r="Q715" s="57" t="s">
        <v>771</v>
      </c>
      <c r="R715" s="38">
        <v>45976</v>
      </c>
      <c r="S715" s="20">
        <v>11</v>
      </c>
    </row>
    <row r="716" spans="1:19" ht="14.25" customHeight="1" x14ac:dyDescent="0.3">
      <c r="A716" s="17">
        <f t="shared" si="21"/>
        <v>715</v>
      </c>
      <c r="B716" s="30">
        <v>73562580</v>
      </c>
      <c r="C716" s="19" t="s">
        <v>899</v>
      </c>
      <c r="D716" s="18">
        <v>99082582</v>
      </c>
      <c r="E716" s="18">
        <v>82721686</v>
      </c>
      <c r="F716" s="18" t="s">
        <v>333</v>
      </c>
      <c r="G716" s="18" t="s">
        <v>724</v>
      </c>
      <c r="H716" s="18">
        <v>84</v>
      </c>
      <c r="I716" s="18">
        <v>5</v>
      </c>
      <c r="J716" s="19" t="s">
        <v>529</v>
      </c>
      <c r="K716" s="21" t="s">
        <v>64</v>
      </c>
      <c r="L716" s="38"/>
      <c r="M716" s="54"/>
      <c r="N716" s="55"/>
      <c r="O716" s="56"/>
      <c r="P716" s="19" t="s">
        <v>49</v>
      </c>
      <c r="Q716" s="57" t="s">
        <v>671</v>
      </c>
      <c r="R716" s="38">
        <v>45976</v>
      </c>
      <c r="S716" s="20">
        <v>11</v>
      </c>
    </row>
    <row r="717" spans="1:19" ht="14.25" customHeight="1" x14ac:dyDescent="0.3">
      <c r="A717" s="17">
        <f t="shared" si="21"/>
        <v>716</v>
      </c>
      <c r="B717" s="30">
        <v>75258008</v>
      </c>
      <c r="C717" s="19" t="s">
        <v>896</v>
      </c>
      <c r="D717" s="18">
        <v>99083337</v>
      </c>
      <c r="E717" s="18">
        <v>82721992</v>
      </c>
      <c r="F717" s="18" t="s">
        <v>333</v>
      </c>
      <c r="G717" s="18" t="s">
        <v>337</v>
      </c>
      <c r="H717" s="18">
        <v>170</v>
      </c>
      <c r="I717" s="18">
        <v>6</v>
      </c>
      <c r="J717" s="19" t="s">
        <v>372</v>
      </c>
      <c r="K717" s="21" t="s">
        <v>64</v>
      </c>
      <c r="L717" s="38"/>
      <c r="M717" s="54"/>
      <c r="N717" s="55"/>
      <c r="O717" s="56"/>
      <c r="P717" s="19" t="s">
        <v>49</v>
      </c>
      <c r="Q717" s="57" t="s">
        <v>671</v>
      </c>
      <c r="R717" s="38">
        <v>45976</v>
      </c>
      <c r="S717" s="20">
        <v>11</v>
      </c>
    </row>
    <row r="718" spans="1:19" ht="14.25" customHeight="1" x14ac:dyDescent="0.3">
      <c r="A718" s="17">
        <f t="shared" si="21"/>
        <v>717</v>
      </c>
      <c r="B718" s="30">
        <v>22241090</v>
      </c>
      <c r="C718" s="19" t="s">
        <v>900</v>
      </c>
      <c r="D718" s="18">
        <v>99087064</v>
      </c>
      <c r="E718" s="18">
        <v>82723516</v>
      </c>
      <c r="F718" s="18" t="s">
        <v>333</v>
      </c>
      <c r="G718" s="18" t="s">
        <v>724</v>
      </c>
      <c r="H718" s="18">
        <v>84</v>
      </c>
      <c r="I718" s="18">
        <v>2</v>
      </c>
      <c r="J718" s="19" t="s">
        <v>372</v>
      </c>
      <c r="K718" s="21" t="s">
        <v>64</v>
      </c>
      <c r="L718" s="38"/>
      <c r="M718" s="54"/>
      <c r="N718" s="55"/>
      <c r="O718" s="56"/>
      <c r="P718" s="19" t="s">
        <v>49</v>
      </c>
      <c r="Q718" s="57" t="s">
        <v>54</v>
      </c>
      <c r="R718" s="38">
        <v>45976</v>
      </c>
      <c r="S718" s="20">
        <v>11</v>
      </c>
    </row>
    <row r="719" spans="1:19" ht="14.25" customHeight="1" x14ac:dyDescent="0.3">
      <c r="A719" s="17">
        <f t="shared" si="21"/>
        <v>718</v>
      </c>
      <c r="B719" s="30">
        <v>73084157</v>
      </c>
      <c r="C719" s="19" t="s">
        <v>886</v>
      </c>
      <c r="D719" s="18">
        <v>98909148</v>
      </c>
      <c r="E719" s="18">
        <v>82549533</v>
      </c>
      <c r="F719" s="18" t="s">
        <v>333</v>
      </c>
      <c r="G719" s="18" t="s">
        <v>414</v>
      </c>
      <c r="H719" s="18">
        <v>80</v>
      </c>
      <c r="I719" s="18">
        <v>10</v>
      </c>
      <c r="J719" s="19" t="s">
        <v>529</v>
      </c>
      <c r="K719" s="21" t="s">
        <v>64</v>
      </c>
      <c r="L719" s="38"/>
      <c r="M719" s="54"/>
      <c r="N719" s="55"/>
      <c r="O719" s="56"/>
      <c r="P719" s="19" t="s">
        <v>49</v>
      </c>
      <c r="Q719" s="57" t="s">
        <v>771</v>
      </c>
      <c r="R719" s="38">
        <v>45969</v>
      </c>
      <c r="S719" s="20">
        <v>11</v>
      </c>
    </row>
    <row r="720" spans="1:19" ht="14.25" customHeight="1" x14ac:dyDescent="0.3">
      <c r="A720" s="17">
        <f t="shared" si="21"/>
        <v>719</v>
      </c>
      <c r="B720" s="30">
        <v>18112789</v>
      </c>
      <c r="C720" s="19" t="s">
        <v>892</v>
      </c>
      <c r="D720" s="18">
        <v>99031105</v>
      </c>
      <c r="E720" s="18">
        <v>82665225</v>
      </c>
      <c r="F720" s="18" t="s">
        <v>333</v>
      </c>
      <c r="G720" s="18" t="s">
        <v>337</v>
      </c>
      <c r="H720" s="18">
        <v>170</v>
      </c>
      <c r="I720" s="18">
        <v>10</v>
      </c>
      <c r="J720" s="19" t="s">
        <v>541</v>
      </c>
      <c r="K720" s="21" t="s">
        <v>64</v>
      </c>
      <c r="L720" s="38"/>
      <c r="M720" s="54"/>
      <c r="N720" s="55"/>
      <c r="O720" s="56"/>
      <c r="P720" s="19" t="s">
        <v>49</v>
      </c>
      <c r="Q720" s="57" t="s">
        <v>879</v>
      </c>
      <c r="R720" s="38">
        <v>45974</v>
      </c>
      <c r="S720" s="20">
        <v>11</v>
      </c>
    </row>
    <row r="721" spans="1:19" ht="14.25" customHeight="1" x14ac:dyDescent="0.3">
      <c r="A721" s="17">
        <f t="shared" si="21"/>
        <v>720</v>
      </c>
      <c r="B721" s="30">
        <v>6050934</v>
      </c>
      <c r="C721" s="19" t="s">
        <v>894</v>
      </c>
      <c r="D721" s="18">
        <v>99050253</v>
      </c>
      <c r="E721" s="18">
        <v>82694301</v>
      </c>
      <c r="F721" s="18" t="s">
        <v>334</v>
      </c>
      <c r="G721" s="18" t="s">
        <v>724</v>
      </c>
      <c r="H721" s="18">
        <v>84</v>
      </c>
      <c r="I721" s="18">
        <v>8</v>
      </c>
      <c r="J721" s="19" t="s">
        <v>529</v>
      </c>
      <c r="K721" s="21" t="s">
        <v>64</v>
      </c>
      <c r="L721" s="38"/>
      <c r="M721" s="54"/>
      <c r="N721" s="55"/>
      <c r="O721" s="56"/>
      <c r="P721" s="19" t="s">
        <v>49</v>
      </c>
      <c r="Q721" s="57" t="s">
        <v>518</v>
      </c>
      <c r="R721" s="38">
        <v>45975</v>
      </c>
      <c r="S721" s="20">
        <v>11</v>
      </c>
    </row>
    <row r="722" spans="1:19" ht="14.25" customHeight="1" x14ac:dyDescent="0.3">
      <c r="A722" s="17">
        <f t="shared" si="21"/>
        <v>721</v>
      </c>
      <c r="B722" s="30">
        <v>45821809</v>
      </c>
      <c r="C722" s="19" t="s">
        <v>897</v>
      </c>
      <c r="D722" s="18">
        <v>99057646</v>
      </c>
      <c r="E722" s="18">
        <v>82698327</v>
      </c>
      <c r="F722" s="18" t="s">
        <v>333</v>
      </c>
      <c r="G722" s="18" t="s">
        <v>724</v>
      </c>
      <c r="H722" s="18">
        <v>84</v>
      </c>
      <c r="I722" s="18">
        <v>5</v>
      </c>
      <c r="J722" s="19" t="s">
        <v>373</v>
      </c>
      <c r="K722" s="21" t="s">
        <v>64</v>
      </c>
      <c r="L722" s="38"/>
      <c r="M722" s="54"/>
      <c r="N722" s="55"/>
      <c r="O722" s="56"/>
      <c r="P722" s="19" t="s">
        <v>49</v>
      </c>
      <c r="Q722" s="57" t="s">
        <v>524</v>
      </c>
      <c r="R722" s="38">
        <v>45975</v>
      </c>
      <c r="S722" s="20">
        <v>11</v>
      </c>
    </row>
    <row r="723" spans="1:19" ht="14.25" customHeight="1" x14ac:dyDescent="0.3">
      <c r="A723" s="17">
        <f t="shared" si="21"/>
        <v>722</v>
      </c>
      <c r="B723" s="30">
        <v>10156397</v>
      </c>
      <c r="C723" s="19" t="s">
        <v>901</v>
      </c>
      <c r="D723" s="18">
        <v>99110265</v>
      </c>
      <c r="E723" s="18">
        <v>82745741</v>
      </c>
      <c r="F723" s="18" t="s">
        <v>333</v>
      </c>
      <c r="G723" s="18" t="s">
        <v>724</v>
      </c>
      <c r="H723" s="18">
        <v>84</v>
      </c>
      <c r="I723" s="18">
        <v>10</v>
      </c>
      <c r="J723" s="19" t="s">
        <v>475</v>
      </c>
      <c r="K723" s="21" t="s">
        <v>64</v>
      </c>
      <c r="L723" s="38"/>
      <c r="M723" s="54"/>
      <c r="N723" s="55"/>
      <c r="O723" s="56"/>
      <c r="P723" s="19" t="s">
        <v>49</v>
      </c>
      <c r="Q723" s="57" t="s">
        <v>770</v>
      </c>
      <c r="R723" s="38">
        <v>45978</v>
      </c>
      <c r="S723" s="20">
        <v>11</v>
      </c>
    </row>
    <row r="724" spans="1:19" ht="14.25" customHeight="1" x14ac:dyDescent="0.3">
      <c r="A724" s="17">
        <f t="shared" si="21"/>
        <v>723</v>
      </c>
      <c r="B724" s="30">
        <v>42081698</v>
      </c>
      <c r="C724" s="19" t="s">
        <v>902</v>
      </c>
      <c r="D724" s="18">
        <v>99123555</v>
      </c>
      <c r="E724" s="18">
        <v>82752135</v>
      </c>
      <c r="F724" s="18" t="s">
        <v>333</v>
      </c>
      <c r="G724" s="18" t="s">
        <v>724</v>
      </c>
      <c r="H724" s="18">
        <v>84</v>
      </c>
      <c r="I724" s="18">
        <v>3</v>
      </c>
      <c r="J724" s="19" t="s">
        <v>541</v>
      </c>
      <c r="K724" s="21" t="s">
        <v>64</v>
      </c>
      <c r="L724" s="38"/>
      <c r="M724" s="54"/>
      <c r="N724" s="55"/>
      <c r="O724" s="56"/>
      <c r="P724" s="19" t="s">
        <v>49</v>
      </c>
      <c r="Q724" s="57" t="s">
        <v>524</v>
      </c>
      <c r="R724" s="38">
        <v>45978</v>
      </c>
      <c r="S724" s="20">
        <v>11</v>
      </c>
    </row>
    <row r="725" spans="1:19" ht="14.25" customHeight="1" x14ac:dyDescent="0.3">
      <c r="A725" s="17">
        <f t="shared" si="21"/>
        <v>724</v>
      </c>
      <c r="B725" s="30">
        <v>17913817</v>
      </c>
      <c r="C725" s="19" t="s">
        <v>903</v>
      </c>
      <c r="D725" s="18">
        <v>99125960</v>
      </c>
      <c r="E725" s="18">
        <v>82753201</v>
      </c>
      <c r="F725" s="18" t="s">
        <v>333</v>
      </c>
      <c r="G725" s="18" t="s">
        <v>774</v>
      </c>
      <c r="H725" s="18">
        <v>175</v>
      </c>
      <c r="I725" s="18">
        <v>4</v>
      </c>
      <c r="J725" s="19" t="s">
        <v>372</v>
      </c>
      <c r="K725" s="21" t="s">
        <v>64</v>
      </c>
      <c r="L725" s="38"/>
      <c r="M725" s="54"/>
      <c r="N725" s="55"/>
      <c r="O725" s="56"/>
      <c r="P725" s="19" t="s">
        <v>49</v>
      </c>
      <c r="Q725" s="57" t="s">
        <v>54</v>
      </c>
      <c r="R725" s="38">
        <v>45978</v>
      </c>
      <c r="S725" s="20">
        <v>11</v>
      </c>
    </row>
    <row r="726" spans="1:19" ht="14.25" customHeight="1" x14ac:dyDescent="0.3">
      <c r="A726" s="17">
        <f t="shared" si="21"/>
        <v>725</v>
      </c>
      <c r="B726" s="30">
        <v>10156397</v>
      </c>
      <c r="C726" s="19" t="s">
        <v>901</v>
      </c>
      <c r="D726" s="18">
        <v>99136026</v>
      </c>
      <c r="E726" s="18">
        <v>82774576</v>
      </c>
      <c r="F726" s="18" t="s">
        <v>333</v>
      </c>
      <c r="G726" s="18" t="s">
        <v>724</v>
      </c>
      <c r="H726" s="18">
        <v>84</v>
      </c>
      <c r="I726" s="18">
        <v>10</v>
      </c>
      <c r="J726" s="19" t="s">
        <v>373</v>
      </c>
      <c r="K726" s="21" t="s">
        <v>64</v>
      </c>
      <c r="L726" s="38"/>
      <c r="M726" s="54"/>
      <c r="N726" s="55"/>
      <c r="O726" s="56"/>
      <c r="P726" s="19" t="s">
        <v>49</v>
      </c>
      <c r="Q726" s="57" t="s">
        <v>770</v>
      </c>
      <c r="R726" s="38">
        <v>45979</v>
      </c>
      <c r="S726" s="20">
        <v>11</v>
      </c>
    </row>
    <row r="727" spans="1:19" ht="14.25" customHeight="1" x14ac:dyDescent="0.3">
      <c r="A727" s="17">
        <f t="shared" si="21"/>
        <v>726</v>
      </c>
      <c r="B727" s="30">
        <v>6098369</v>
      </c>
      <c r="C727" s="19" t="s">
        <v>904</v>
      </c>
      <c r="D727" s="18">
        <v>99149086</v>
      </c>
      <c r="E727" s="18">
        <v>82783009</v>
      </c>
      <c r="F727" s="18" t="s">
        <v>333</v>
      </c>
      <c r="G727" s="18" t="s">
        <v>724</v>
      </c>
      <c r="H727" s="18">
        <v>84</v>
      </c>
      <c r="I727" s="18">
        <v>7</v>
      </c>
      <c r="J727" s="19" t="s">
        <v>475</v>
      </c>
      <c r="K727" s="21" t="s">
        <v>64</v>
      </c>
      <c r="L727" s="38"/>
      <c r="M727" s="54"/>
      <c r="N727" s="55"/>
      <c r="O727" s="56"/>
      <c r="P727" s="19" t="s">
        <v>49</v>
      </c>
      <c r="Q727" s="57" t="s">
        <v>524</v>
      </c>
      <c r="R727" s="38">
        <v>45980</v>
      </c>
      <c r="S727" s="20">
        <v>11</v>
      </c>
    </row>
    <row r="728" spans="1:19" ht="14.25" customHeight="1" x14ac:dyDescent="0.3">
      <c r="A728" s="17">
        <f t="shared" si="21"/>
        <v>727</v>
      </c>
      <c r="B728" s="30">
        <v>75530186</v>
      </c>
      <c r="C728" s="19" t="s">
        <v>906</v>
      </c>
      <c r="D728" s="18">
        <v>99170328</v>
      </c>
      <c r="E728" s="18">
        <v>82799276</v>
      </c>
      <c r="F728" s="18" t="s">
        <v>333</v>
      </c>
      <c r="G728" s="18" t="s">
        <v>337</v>
      </c>
      <c r="H728" s="18">
        <v>170</v>
      </c>
      <c r="I728" s="18">
        <v>7</v>
      </c>
      <c r="J728" s="19" t="s">
        <v>373</v>
      </c>
      <c r="K728" s="21" t="s">
        <v>64</v>
      </c>
      <c r="L728" s="38"/>
      <c r="M728" s="54"/>
      <c r="N728" s="55"/>
      <c r="O728" s="56"/>
      <c r="P728" s="19" t="s">
        <v>49</v>
      </c>
      <c r="Q728" s="57" t="s">
        <v>771</v>
      </c>
      <c r="R728" s="38">
        <v>45980</v>
      </c>
      <c r="S728" s="20">
        <v>11</v>
      </c>
    </row>
    <row r="729" spans="1:19" ht="14.25" customHeight="1" x14ac:dyDescent="0.3">
      <c r="A729" s="17">
        <f t="shared" si="21"/>
        <v>728</v>
      </c>
      <c r="B729" s="30">
        <v>47872618</v>
      </c>
      <c r="C729" s="19" t="s">
        <v>907</v>
      </c>
      <c r="D729" s="18">
        <v>99174260</v>
      </c>
      <c r="E729" s="18">
        <v>82801248</v>
      </c>
      <c r="F729" s="18" t="s">
        <v>333</v>
      </c>
      <c r="G729" s="18" t="s">
        <v>337</v>
      </c>
      <c r="H729" s="18">
        <v>170</v>
      </c>
      <c r="I729" s="18">
        <v>10</v>
      </c>
      <c r="J729" s="19" t="s">
        <v>373</v>
      </c>
      <c r="K729" s="21" t="s">
        <v>64</v>
      </c>
      <c r="L729" s="38"/>
      <c r="M729" s="54"/>
      <c r="N729" s="55"/>
      <c r="O729" s="56"/>
      <c r="P729" s="19" t="s">
        <v>49</v>
      </c>
      <c r="Q729" s="57" t="s">
        <v>833</v>
      </c>
      <c r="R729" s="38">
        <v>45980</v>
      </c>
      <c r="S729" s="20">
        <v>11</v>
      </c>
    </row>
    <row r="730" spans="1:19" ht="14.25" customHeight="1" x14ac:dyDescent="0.3">
      <c r="A730" s="17">
        <f t="shared" si="21"/>
        <v>729</v>
      </c>
      <c r="B730" s="30">
        <v>24486605</v>
      </c>
      <c r="C730" s="19" t="s">
        <v>909</v>
      </c>
      <c r="D730" s="18">
        <v>99198143</v>
      </c>
      <c r="E730" s="18">
        <v>82824184</v>
      </c>
      <c r="F730" s="18" t="s">
        <v>333</v>
      </c>
      <c r="G730" s="18" t="s">
        <v>724</v>
      </c>
      <c r="H730" s="18">
        <v>84</v>
      </c>
      <c r="I730" s="18">
        <v>10</v>
      </c>
      <c r="J730" s="19" t="s">
        <v>373</v>
      </c>
      <c r="K730" s="21" t="s">
        <v>64</v>
      </c>
      <c r="L730" s="38"/>
      <c r="M730" s="54"/>
      <c r="N730" s="55"/>
      <c r="O730" s="56"/>
      <c r="P730" s="19" t="s">
        <v>49</v>
      </c>
      <c r="Q730" s="57" t="s">
        <v>725</v>
      </c>
      <c r="R730" s="38">
        <v>45981</v>
      </c>
      <c r="S730" s="20">
        <v>11</v>
      </c>
    </row>
    <row r="731" spans="1:19" ht="14.25" customHeight="1" x14ac:dyDescent="0.3">
      <c r="A731" s="17">
        <f t="shared" si="21"/>
        <v>730</v>
      </c>
      <c r="B731" s="30">
        <v>75258008</v>
      </c>
      <c r="C731" s="19" t="s">
        <v>896</v>
      </c>
      <c r="D731" s="18">
        <v>99113711</v>
      </c>
      <c r="E731" s="18">
        <v>82747254</v>
      </c>
      <c r="F731" s="18" t="s">
        <v>333</v>
      </c>
      <c r="G731" s="18" t="s">
        <v>337</v>
      </c>
      <c r="H731" s="18">
        <v>170</v>
      </c>
      <c r="I731" s="18">
        <v>6</v>
      </c>
      <c r="J731" s="19" t="s">
        <v>913</v>
      </c>
      <c r="K731" s="21" t="s">
        <v>64</v>
      </c>
      <c r="L731" s="38"/>
      <c r="M731" s="54"/>
      <c r="N731" s="55"/>
      <c r="O731" s="56"/>
      <c r="P731" s="19" t="s">
        <v>49</v>
      </c>
      <c r="Q731" s="57" t="s">
        <v>671</v>
      </c>
      <c r="R731" s="38">
        <v>45978</v>
      </c>
      <c r="S731" s="20">
        <v>11</v>
      </c>
    </row>
    <row r="732" spans="1:19" ht="14.25" customHeight="1" x14ac:dyDescent="0.3">
      <c r="A732" s="17">
        <f t="shared" si="21"/>
        <v>731</v>
      </c>
      <c r="B732" s="30">
        <v>73824209</v>
      </c>
      <c r="C732" s="19" t="s">
        <v>905</v>
      </c>
      <c r="D732" s="18">
        <v>99162428</v>
      </c>
      <c r="E732" s="18">
        <v>82795708</v>
      </c>
      <c r="F732" s="18" t="s">
        <v>333</v>
      </c>
      <c r="G732" s="18" t="s">
        <v>414</v>
      </c>
      <c r="H732" s="18">
        <v>80</v>
      </c>
      <c r="I732" s="18">
        <v>8</v>
      </c>
      <c r="J732" s="19" t="s">
        <v>913</v>
      </c>
      <c r="K732" s="21" t="s">
        <v>64</v>
      </c>
      <c r="L732" s="38"/>
      <c r="M732" s="54"/>
      <c r="N732" s="55"/>
      <c r="O732" s="56"/>
      <c r="P732" s="19" t="s">
        <v>49</v>
      </c>
      <c r="Q732" s="57" t="s">
        <v>771</v>
      </c>
      <c r="R732" s="38">
        <v>45980</v>
      </c>
      <c r="S732" s="20">
        <v>11</v>
      </c>
    </row>
    <row r="733" spans="1:19" ht="14.25" customHeight="1" x14ac:dyDescent="0.3">
      <c r="A733" s="17">
        <f t="shared" si="21"/>
        <v>732</v>
      </c>
      <c r="B733" s="30">
        <v>80663157</v>
      </c>
      <c r="C733" s="19" t="s">
        <v>908</v>
      </c>
      <c r="D733" s="18">
        <v>99192463</v>
      </c>
      <c r="E733" s="18">
        <v>82820813</v>
      </c>
      <c r="F733" s="18" t="s">
        <v>333</v>
      </c>
      <c r="G733" s="18" t="s">
        <v>724</v>
      </c>
      <c r="H733" s="18">
        <v>84</v>
      </c>
      <c r="I733" s="18">
        <v>2</v>
      </c>
      <c r="J733" s="19" t="s">
        <v>373</v>
      </c>
      <c r="K733" s="21" t="s">
        <v>64</v>
      </c>
      <c r="L733" s="38"/>
      <c r="M733" s="54"/>
      <c r="N733" s="55"/>
      <c r="O733" s="56"/>
      <c r="P733" s="19" t="s">
        <v>49</v>
      </c>
      <c r="Q733" s="57" t="s">
        <v>879</v>
      </c>
      <c r="R733" s="38">
        <v>45981</v>
      </c>
      <c r="S733" s="20">
        <v>11</v>
      </c>
    </row>
    <row r="734" spans="1:19" ht="14.25" customHeight="1" x14ac:dyDescent="0.3">
      <c r="A734" s="17">
        <f t="shared" si="21"/>
        <v>733</v>
      </c>
      <c r="B734" s="30">
        <v>45367588</v>
      </c>
      <c r="C734" s="19" t="s">
        <v>910</v>
      </c>
      <c r="D734" s="18">
        <v>99214051</v>
      </c>
      <c r="E734" s="18">
        <v>82842320</v>
      </c>
      <c r="F734" s="18" t="s">
        <v>333</v>
      </c>
      <c r="G734" s="18" t="s">
        <v>414</v>
      </c>
      <c r="H734" s="18">
        <v>80</v>
      </c>
      <c r="I734" s="18">
        <v>5</v>
      </c>
      <c r="J734" s="19" t="s">
        <v>372</v>
      </c>
      <c r="K734" s="21" t="s">
        <v>64</v>
      </c>
      <c r="L734" s="38"/>
      <c r="M734" s="54"/>
      <c r="N734" s="55"/>
      <c r="O734" s="56"/>
      <c r="P734" s="19" t="s">
        <v>49</v>
      </c>
      <c r="Q734" s="57" t="s">
        <v>833</v>
      </c>
      <c r="R734" s="38">
        <v>45982</v>
      </c>
      <c r="S734" s="20">
        <v>11</v>
      </c>
    </row>
    <row r="735" spans="1:19" ht="14.25" customHeight="1" x14ac:dyDescent="0.3">
      <c r="A735" s="17">
        <f t="shared" si="21"/>
        <v>734</v>
      </c>
      <c r="B735" s="30">
        <v>8852392</v>
      </c>
      <c r="C735" s="19" t="s">
        <v>912</v>
      </c>
      <c r="D735" s="18">
        <v>99247905</v>
      </c>
      <c r="E735" s="18">
        <v>82861188</v>
      </c>
      <c r="F735" s="18" t="s">
        <v>333</v>
      </c>
      <c r="G735" s="18" t="s">
        <v>337</v>
      </c>
      <c r="H735" s="18">
        <v>170</v>
      </c>
      <c r="I735" s="18">
        <v>7</v>
      </c>
      <c r="J735" s="19" t="s">
        <v>541</v>
      </c>
      <c r="K735" s="21" t="s">
        <v>64</v>
      </c>
      <c r="L735" s="38"/>
      <c r="M735" s="54"/>
      <c r="N735" s="55"/>
      <c r="O735" s="56"/>
      <c r="P735" s="19" t="s">
        <v>49</v>
      </c>
      <c r="Q735" s="57" t="s">
        <v>771</v>
      </c>
      <c r="R735" s="38">
        <v>45983</v>
      </c>
      <c r="S735" s="20">
        <v>11</v>
      </c>
    </row>
    <row r="736" spans="1:19" ht="14.25" customHeight="1" x14ac:dyDescent="0.3">
      <c r="A736" s="17">
        <f t="shared" si="21"/>
        <v>735</v>
      </c>
      <c r="B736" s="30">
        <v>17869986</v>
      </c>
      <c r="C736" s="19" t="s">
        <v>914</v>
      </c>
      <c r="D736" s="18">
        <v>99289618</v>
      </c>
      <c r="E736" s="18">
        <v>82897792</v>
      </c>
      <c r="F736" s="18" t="s">
        <v>333</v>
      </c>
      <c r="G736" s="18" t="s">
        <v>337</v>
      </c>
      <c r="H736" s="18">
        <v>170</v>
      </c>
      <c r="I736" s="18">
        <v>8</v>
      </c>
      <c r="J736" s="19" t="s">
        <v>373</v>
      </c>
      <c r="K736" s="21" t="s">
        <v>64</v>
      </c>
      <c r="L736" s="38"/>
      <c r="M736" s="54"/>
      <c r="N736" s="55"/>
      <c r="O736" s="56"/>
      <c r="P736" s="19" t="s">
        <v>49</v>
      </c>
      <c r="Q736" s="57" t="s">
        <v>822</v>
      </c>
      <c r="R736" s="38">
        <v>45985</v>
      </c>
      <c r="S736" s="20">
        <v>11</v>
      </c>
    </row>
    <row r="737" spans="1:19" ht="14.25" customHeight="1" x14ac:dyDescent="0.3">
      <c r="A737" s="17">
        <f t="shared" si="21"/>
        <v>736</v>
      </c>
      <c r="B737" s="30">
        <v>45066242</v>
      </c>
      <c r="C737" s="19" t="s">
        <v>916</v>
      </c>
      <c r="D737" s="18">
        <v>99290739</v>
      </c>
      <c r="E737" s="18">
        <v>82898397</v>
      </c>
      <c r="F737" s="18" t="s">
        <v>333</v>
      </c>
      <c r="G737" s="18" t="s">
        <v>724</v>
      </c>
      <c r="H737" s="18">
        <v>84</v>
      </c>
      <c r="I737" s="18">
        <v>6</v>
      </c>
      <c r="J737" s="19" t="s">
        <v>471</v>
      </c>
      <c r="K737" s="21" t="s">
        <v>64</v>
      </c>
      <c r="L737" s="38"/>
      <c r="M737" s="54"/>
      <c r="N737" s="55"/>
      <c r="O737" s="56"/>
      <c r="P737" s="19" t="s">
        <v>49</v>
      </c>
      <c r="Q737" s="57" t="s">
        <v>524</v>
      </c>
      <c r="R737" s="38">
        <v>45985</v>
      </c>
      <c r="S737" s="20">
        <v>11</v>
      </c>
    </row>
    <row r="738" spans="1:19" ht="14.25" customHeight="1" x14ac:dyDescent="0.3">
      <c r="A738" s="17">
        <f t="shared" si="21"/>
        <v>737</v>
      </c>
      <c r="B738" s="30">
        <v>46406340</v>
      </c>
      <c r="C738" s="19" t="s">
        <v>917</v>
      </c>
      <c r="D738" s="18">
        <v>99291368</v>
      </c>
      <c r="E738" s="18">
        <v>82898763</v>
      </c>
      <c r="F738" s="18" t="s">
        <v>333</v>
      </c>
      <c r="G738" s="18" t="s">
        <v>724</v>
      </c>
      <c r="H738" s="18">
        <v>84</v>
      </c>
      <c r="I738" s="18">
        <v>4</v>
      </c>
      <c r="J738" s="19" t="s">
        <v>604</v>
      </c>
      <c r="K738" s="21" t="s">
        <v>64</v>
      </c>
      <c r="L738" s="38"/>
      <c r="M738" s="54"/>
      <c r="N738" s="55"/>
      <c r="O738" s="56"/>
      <c r="P738" s="19" t="s">
        <v>49</v>
      </c>
      <c r="Q738" s="57" t="s">
        <v>671</v>
      </c>
      <c r="R738" s="38">
        <v>45985</v>
      </c>
      <c r="S738" s="20">
        <v>11</v>
      </c>
    </row>
    <row r="739" spans="1:19" ht="14.25" customHeight="1" x14ac:dyDescent="0.3">
      <c r="A739" s="17">
        <f t="shared" si="21"/>
        <v>738</v>
      </c>
      <c r="B739" s="30">
        <v>16540028</v>
      </c>
      <c r="C739" s="19" t="s">
        <v>918</v>
      </c>
      <c r="D739" s="18">
        <v>99300155</v>
      </c>
      <c r="E739" s="18">
        <v>82921110</v>
      </c>
      <c r="F739" s="18" t="s">
        <v>333</v>
      </c>
      <c r="G739" s="18" t="s">
        <v>641</v>
      </c>
      <c r="H739" s="18">
        <v>105</v>
      </c>
      <c r="I739" s="18">
        <v>8</v>
      </c>
      <c r="J739" s="19" t="s">
        <v>475</v>
      </c>
      <c r="K739" s="21" t="s">
        <v>64</v>
      </c>
      <c r="L739" s="38"/>
      <c r="M739" s="54"/>
      <c r="N739" s="55"/>
      <c r="O739" s="56"/>
      <c r="P739" s="19" t="s">
        <v>49</v>
      </c>
      <c r="Q739" s="57" t="s">
        <v>747</v>
      </c>
      <c r="R739" s="38">
        <v>45986</v>
      </c>
      <c r="S739" s="20">
        <v>11</v>
      </c>
    </row>
    <row r="740" spans="1:19" ht="14.25" customHeight="1" x14ac:dyDescent="0.3">
      <c r="A740" s="17">
        <f t="shared" si="21"/>
        <v>739</v>
      </c>
      <c r="B740" s="30">
        <v>6776307</v>
      </c>
      <c r="C740" s="19" t="s">
        <v>919</v>
      </c>
      <c r="D740" s="18">
        <v>99310878</v>
      </c>
      <c r="E740" s="18">
        <v>82928256</v>
      </c>
      <c r="F740" s="18" t="s">
        <v>334</v>
      </c>
      <c r="G740" s="18" t="s">
        <v>337</v>
      </c>
      <c r="H740" s="18">
        <v>170</v>
      </c>
      <c r="I740" s="18">
        <v>7</v>
      </c>
      <c r="J740" s="19" t="s">
        <v>373</v>
      </c>
      <c r="K740" s="21" t="s">
        <v>64</v>
      </c>
      <c r="L740" s="38"/>
      <c r="M740" s="54"/>
      <c r="N740" s="55"/>
      <c r="O740" s="56"/>
      <c r="P740" s="19" t="s">
        <v>49</v>
      </c>
      <c r="Q740" s="57" t="s">
        <v>822</v>
      </c>
      <c r="R740" s="38">
        <v>45986</v>
      </c>
      <c r="S740" s="20">
        <v>11</v>
      </c>
    </row>
    <row r="741" spans="1:19" ht="14.25" customHeight="1" x14ac:dyDescent="0.3">
      <c r="A741" s="17">
        <f t="shared" si="21"/>
        <v>740</v>
      </c>
      <c r="B741" s="30">
        <v>10077948045</v>
      </c>
      <c r="C741" s="19" t="s">
        <v>920</v>
      </c>
      <c r="D741" s="18">
        <v>99316261</v>
      </c>
      <c r="E741" s="18">
        <v>82931113</v>
      </c>
      <c r="F741" s="18" t="s">
        <v>334</v>
      </c>
      <c r="G741" s="18" t="s">
        <v>724</v>
      </c>
      <c r="H741" s="18">
        <v>84</v>
      </c>
      <c r="I741" s="18">
        <v>6</v>
      </c>
      <c r="J741" s="19" t="s">
        <v>372</v>
      </c>
      <c r="K741" s="21" t="s">
        <v>64</v>
      </c>
      <c r="L741" s="38"/>
      <c r="M741" s="54"/>
      <c r="N741" s="55"/>
      <c r="O741" s="56"/>
      <c r="P741" s="19" t="s">
        <v>49</v>
      </c>
      <c r="Q741" s="57" t="s">
        <v>54</v>
      </c>
      <c r="R741" s="38">
        <v>45986</v>
      </c>
      <c r="S741" s="20">
        <v>11</v>
      </c>
    </row>
    <row r="742" spans="1:19" ht="14.25" customHeight="1" x14ac:dyDescent="0.3">
      <c r="A742" s="17">
        <f t="shared" si="21"/>
        <v>741</v>
      </c>
      <c r="B742" s="30">
        <v>48065693</v>
      </c>
      <c r="C742" s="19" t="s">
        <v>565</v>
      </c>
      <c r="D742" s="18">
        <v>99361584</v>
      </c>
      <c r="E742" s="18">
        <v>82970544</v>
      </c>
      <c r="F742" s="18" t="s">
        <v>333</v>
      </c>
      <c r="G742" s="18" t="s">
        <v>566</v>
      </c>
      <c r="H742" s="18">
        <v>99</v>
      </c>
      <c r="I742" s="18">
        <v>10</v>
      </c>
      <c r="J742" s="19" t="s">
        <v>372</v>
      </c>
      <c r="K742" s="21" t="s">
        <v>64</v>
      </c>
      <c r="L742" s="38"/>
      <c r="M742" s="54"/>
      <c r="N742" s="55"/>
      <c r="O742" s="56"/>
      <c r="P742" s="19" t="s">
        <v>49</v>
      </c>
      <c r="Q742" s="57" t="s">
        <v>518</v>
      </c>
      <c r="R742" s="38">
        <v>45988</v>
      </c>
      <c r="S742" s="20">
        <v>11</v>
      </c>
    </row>
    <row r="743" spans="1:19" ht="14.25" customHeight="1" x14ac:dyDescent="0.3">
      <c r="A743" s="17">
        <f t="shared" si="21"/>
        <v>742</v>
      </c>
      <c r="B743" s="30">
        <v>32973347</v>
      </c>
      <c r="C743" s="19" t="s">
        <v>104</v>
      </c>
      <c r="D743" s="18">
        <v>98988587</v>
      </c>
      <c r="E743" s="18">
        <v>82624691</v>
      </c>
      <c r="F743" s="18" t="s">
        <v>333</v>
      </c>
      <c r="G743" s="18" t="s">
        <v>414</v>
      </c>
      <c r="H743" s="18">
        <v>80</v>
      </c>
      <c r="I743" s="18">
        <v>9</v>
      </c>
      <c r="J743" s="19" t="s">
        <v>529</v>
      </c>
      <c r="K743" s="21" t="s">
        <v>64</v>
      </c>
      <c r="L743" s="38"/>
      <c r="M743" s="54"/>
      <c r="N743" s="55"/>
      <c r="O743" s="56"/>
      <c r="P743" s="19" t="s">
        <v>49</v>
      </c>
      <c r="Q743" s="57" t="s">
        <v>54</v>
      </c>
      <c r="R743" s="38">
        <v>45972</v>
      </c>
      <c r="S743" s="20">
        <v>11</v>
      </c>
    </row>
    <row r="744" spans="1:19" ht="14.25" customHeight="1" x14ac:dyDescent="0.3">
      <c r="A744" s="17">
        <f t="shared" si="21"/>
        <v>743</v>
      </c>
      <c r="B744" s="30">
        <v>10467711771</v>
      </c>
      <c r="C744" s="19" t="s">
        <v>232</v>
      </c>
      <c r="D744" s="18">
        <v>99056643</v>
      </c>
      <c r="E744" s="18">
        <v>82697767</v>
      </c>
      <c r="F744" s="18" t="s">
        <v>333</v>
      </c>
      <c r="G744" s="18" t="s">
        <v>724</v>
      </c>
      <c r="H744" s="18">
        <v>84</v>
      </c>
      <c r="I744" s="18">
        <v>6</v>
      </c>
      <c r="J744" s="19" t="s">
        <v>529</v>
      </c>
      <c r="K744" s="21" t="s">
        <v>64</v>
      </c>
      <c r="L744" s="38"/>
      <c r="M744" s="54"/>
      <c r="N744" s="55"/>
      <c r="O744" s="56"/>
      <c r="P744" s="19" t="s">
        <v>49</v>
      </c>
      <c r="Q744" s="57" t="s">
        <v>54</v>
      </c>
      <c r="R744" s="38">
        <v>45975</v>
      </c>
      <c r="S744" s="20">
        <v>11</v>
      </c>
    </row>
    <row r="745" spans="1:19" ht="14.25" customHeight="1" x14ac:dyDescent="0.3">
      <c r="A745" s="17">
        <f t="shared" si="21"/>
        <v>744</v>
      </c>
      <c r="B745" s="30">
        <v>73084157</v>
      </c>
      <c r="C745" s="19" t="s">
        <v>886</v>
      </c>
      <c r="D745" s="18">
        <v>98909148</v>
      </c>
      <c r="E745" s="18">
        <v>82549533</v>
      </c>
      <c r="F745" s="18" t="s">
        <v>333</v>
      </c>
      <c r="G745" s="18" t="s">
        <v>414</v>
      </c>
      <c r="H745" s="18">
        <v>80</v>
      </c>
      <c r="I745" s="18">
        <v>10</v>
      </c>
      <c r="J745" s="19" t="s">
        <v>529</v>
      </c>
      <c r="K745" s="21" t="s">
        <v>64</v>
      </c>
      <c r="L745" s="38"/>
      <c r="M745" s="54"/>
      <c r="N745" s="55"/>
      <c r="O745" s="56"/>
      <c r="P745" s="19" t="s">
        <v>49</v>
      </c>
      <c r="Q745" s="57" t="s">
        <v>771</v>
      </c>
      <c r="R745" s="38">
        <v>45983</v>
      </c>
      <c r="S745" s="20">
        <v>11</v>
      </c>
    </row>
    <row r="746" spans="1:19" ht="14.25" customHeight="1" x14ac:dyDescent="0.3">
      <c r="A746" s="17">
        <f t="shared" si="21"/>
        <v>745</v>
      </c>
      <c r="B746" s="30">
        <v>4009676</v>
      </c>
      <c r="C746" s="19" t="s">
        <v>911</v>
      </c>
      <c r="D746" s="18">
        <v>99246152</v>
      </c>
      <c r="E746" s="18">
        <v>82859961</v>
      </c>
      <c r="F746" s="18" t="s">
        <v>333</v>
      </c>
      <c r="G746" s="18" t="s">
        <v>724</v>
      </c>
      <c r="H746" s="18">
        <v>84</v>
      </c>
      <c r="I746" s="18">
        <v>6</v>
      </c>
      <c r="J746" s="19" t="s">
        <v>529</v>
      </c>
      <c r="K746" s="21" t="s">
        <v>64</v>
      </c>
      <c r="L746" s="38"/>
      <c r="M746" s="54"/>
      <c r="N746" s="55"/>
      <c r="O746" s="56"/>
      <c r="P746" s="19" t="s">
        <v>49</v>
      </c>
      <c r="Q746" s="57" t="s">
        <v>54</v>
      </c>
      <c r="R746" s="38">
        <v>45983</v>
      </c>
      <c r="S746" s="20">
        <v>11</v>
      </c>
    </row>
    <row r="747" spans="1:19" ht="14.25" customHeight="1" x14ac:dyDescent="0.3">
      <c r="A747" s="17">
        <f t="shared" si="21"/>
        <v>746</v>
      </c>
      <c r="B747" s="30">
        <v>10738242098</v>
      </c>
      <c r="C747" s="19" t="s">
        <v>905</v>
      </c>
      <c r="D747" s="18">
        <v>99247387</v>
      </c>
      <c r="E747" s="18">
        <v>82860450</v>
      </c>
      <c r="F747" s="18" t="s">
        <v>333</v>
      </c>
      <c r="G747" s="18" t="s">
        <v>414</v>
      </c>
      <c r="H747" s="18">
        <v>80</v>
      </c>
      <c r="I747" s="18">
        <v>8</v>
      </c>
      <c r="J747" s="19" t="s">
        <v>541</v>
      </c>
      <c r="K747" s="21" t="s">
        <v>64</v>
      </c>
      <c r="L747" s="38"/>
      <c r="M747" s="54"/>
      <c r="N747" s="55"/>
      <c r="O747" s="56"/>
      <c r="P747" s="19" t="s">
        <v>49</v>
      </c>
      <c r="Q747" s="57" t="s">
        <v>771</v>
      </c>
      <c r="R747" s="38">
        <v>45983</v>
      </c>
      <c r="S747" s="20">
        <v>11</v>
      </c>
    </row>
    <row r="748" spans="1:19" ht="14.25" customHeight="1" x14ac:dyDescent="0.3">
      <c r="A748" s="17">
        <f t="shared" si="21"/>
        <v>747</v>
      </c>
      <c r="B748" s="30">
        <v>45984624</v>
      </c>
      <c r="C748" s="19" t="s">
        <v>685</v>
      </c>
      <c r="D748" s="18">
        <v>99274948</v>
      </c>
      <c r="E748" s="18">
        <v>82889609</v>
      </c>
      <c r="F748" s="18" t="s">
        <v>333</v>
      </c>
      <c r="G748" s="18" t="s">
        <v>724</v>
      </c>
      <c r="H748" s="18">
        <v>84</v>
      </c>
      <c r="I748" s="18">
        <v>4</v>
      </c>
      <c r="J748" s="19" t="s">
        <v>529</v>
      </c>
      <c r="K748" s="21" t="s">
        <v>64</v>
      </c>
      <c r="L748" s="38"/>
      <c r="M748" s="54"/>
      <c r="N748" s="55"/>
      <c r="O748" s="56"/>
      <c r="P748" s="19" t="s">
        <v>49</v>
      </c>
      <c r="Q748" s="57" t="s">
        <v>518</v>
      </c>
      <c r="R748" s="38">
        <v>45985</v>
      </c>
      <c r="S748" s="20">
        <v>11</v>
      </c>
    </row>
    <row r="749" spans="1:19" ht="14.25" customHeight="1" x14ac:dyDescent="0.3">
      <c r="A749" s="17">
        <f t="shared" si="21"/>
        <v>748</v>
      </c>
      <c r="B749" s="30">
        <v>45066242</v>
      </c>
      <c r="C749" s="19" t="s">
        <v>916</v>
      </c>
      <c r="D749" s="18">
        <v>99290496</v>
      </c>
      <c r="E749" s="18">
        <v>82898289</v>
      </c>
      <c r="F749" s="18" t="s">
        <v>333</v>
      </c>
      <c r="G749" s="18" t="s">
        <v>724</v>
      </c>
      <c r="H749" s="18">
        <v>84</v>
      </c>
      <c r="I749" s="18">
        <v>6</v>
      </c>
      <c r="J749" s="19" t="s">
        <v>529</v>
      </c>
      <c r="K749" s="21" t="s">
        <v>64</v>
      </c>
      <c r="L749" s="38"/>
      <c r="M749" s="54"/>
      <c r="N749" s="55"/>
      <c r="O749" s="56"/>
      <c r="P749" s="19" t="s">
        <v>49</v>
      </c>
      <c r="Q749" s="57" t="s">
        <v>524</v>
      </c>
      <c r="R749" s="38">
        <v>45985</v>
      </c>
      <c r="S749" s="20">
        <v>11</v>
      </c>
    </row>
    <row r="750" spans="1:19" ht="14.25" customHeight="1" x14ac:dyDescent="0.3">
      <c r="A750" s="17">
        <f t="shared" si="21"/>
        <v>749</v>
      </c>
      <c r="B750" s="30">
        <v>10418969097</v>
      </c>
      <c r="C750" s="19" t="s">
        <v>921</v>
      </c>
      <c r="D750" s="18">
        <v>99328179</v>
      </c>
      <c r="E750" s="18">
        <v>82944947</v>
      </c>
      <c r="F750" s="18" t="s">
        <v>333</v>
      </c>
      <c r="G750" s="18" t="s">
        <v>724</v>
      </c>
      <c r="H750" s="18">
        <v>84</v>
      </c>
      <c r="I750" s="18">
        <v>6</v>
      </c>
      <c r="J750" s="19" t="s">
        <v>529</v>
      </c>
      <c r="K750" s="21" t="s">
        <v>64</v>
      </c>
      <c r="L750" s="38"/>
      <c r="M750" s="54"/>
      <c r="N750" s="55"/>
      <c r="O750" s="56"/>
      <c r="P750" s="19" t="s">
        <v>49</v>
      </c>
      <c r="Q750" s="57" t="s">
        <v>524</v>
      </c>
      <c r="R750" s="38">
        <v>45987</v>
      </c>
      <c r="S750" s="20">
        <v>11</v>
      </c>
    </row>
    <row r="751" spans="1:19" ht="14.25" customHeight="1" x14ac:dyDescent="0.3">
      <c r="A751" s="17">
        <f t="shared" si="21"/>
        <v>750</v>
      </c>
      <c r="B751" s="30">
        <v>9148518</v>
      </c>
      <c r="C751" s="19" t="s">
        <v>923</v>
      </c>
      <c r="D751" s="18">
        <v>99389565</v>
      </c>
      <c r="E751" s="18">
        <v>83004987</v>
      </c>
      <c r="F751" s="18" t="s">
        <v>333</v>
      </c>
      <c r="G751" s="18" t="s">
        <v>337</v>
      </c>
      <c r="H751" s="18">
        <v>170</v>
      </c>
      <c r="I751" s="18">
        <v>9</v>
      </c>
      <c r="J751" s="19" t="s">
        <v>372</v>
      </c>
      <c r="K751" s="21" t="s">
        <v>64</v>
      </c>
      <c r="L751" s="38"/>
      <c r="M751" s="54"/>
      <c r="N751" s="55"/>
      <c r="O751" s="56"/>
      <c r="P751" s="19" t="s">
        <v>49</v>
      </c>
      <c r="Q751" s="57" t="s">
        <v>524</v>
      </c>
      <c r="R751" s="38">
        <v>45989</v>
      </c>
      <c r="S751" s="20">
        <v>11</v>
      </c>
    </row>
    <row r="752" spans="1:19" ht="14.25" customHeight="1" x14ac:dyDescent="0.3">
      <c r="A752" s="17">
        <f t="shared" si="21"/>
        <v>751</v>
      </c>
      <c r="B752" s="30">
        <v>72421646</v>
      </c>
      <c r="C752" s="19" t="s">
        <v>924</v>
      </c>
      <c r="D752" s="18">
        <v>99392600</v>
      </c>
      <c r="E752" s="18">
        <v>83005530</v>
      </c>
      <c r="F752" s="18" t="s">
        <v>334</v>
      </c>
      <c r="G752" s="18" t="s">
        <v>724</v>
      </c>
      <c r="H752" s="18">
        <v>84</v>
      </c>
      <c r="I752" s="18">
        <v>5</v>
      </c>
      <c r="J752" s="19" t="s">
        <v>602</v>
      </c>
      <c r="K752" s="21" t="s">
        <v>64</v>
      </c>
      <c r="L752" s="38"/>
      <c r="M752" s="54"/>
      <c r="N752" s="55"/>
      <c r="O752" s="56"/>
      <c r="P752" s="19" t="s">
        <v>49</v>
      </c>
      <c r="Q752" s="57" t="s">
        <v>518</v>
      </c>
      <c r="R752" s="38">
        <v>45989</v>
      </c>
      <c r="S752" s="20">
        <v>11</v>
      </c>
    </row>
    <row r="753" spans="1:25" ht="14.25" customHeight="1" x14ac:dyDescent="0.3">
      <c r="A753" s="17">
        <f t="shared" si="21"/>
        <v>752</v>
      </c>
      <c r="B753" s="30">
        <v>10425154406</v>
      </c>
      <c r="C753" s="19" t="s">
        <v>925</v>
      </c>
      <c r="D753" s="18">
        <v>99399330</v>
      </c>
      <c r="E753" s="18">
        <v>83012971</v>
      </c>
      <c r="F753" s="18" t="s">
        <v>334</v>
      </c>
      <c r="G753" s="18" t="s">
        <v>337</v>
      </c>
      <c r="H753" s="18">
        <v>170</v>
      </c>
      <c r="I753" s="18">
        <v>9</v>
      </c>
      <c r="J753" s="19" t="s">
        <v>475</v>
      </c>
      <c r="K753" s="21" t="s">
        <v>64</v>
      </c>
      <c r="L753" s="38"/>
      <c r="M753" s="54"/>
      <c r="N753" s="55"/>
      <c r="O753" s="56"/>
      <c r="P753" s="19" t="s">
        <v>49</v>
      </c>
      <c r="Q753" s="57" t="s">
        <v>822</v>
      </c>
      <c r="R753" s="38">
        <v>45990</v>
      </c>
      <c r="S753" s="20">
        <v>11</v>
      </c>
    </row>
    <row r="754" spans="1:25" ht="14.25" customHeight="1" x14ac:dyDescent="0.3">
      <c r="A754" s="17">
        <f t="shared" si="21"/>
        <v>753</v>
      </c>
      <c r="B754" s="30">
        <v>25597223</v>
      </c>
      <c r="C754" s="19" t="s">
        <v>928</v>
      </c>
      <c r="D754" s="18">
        <v>99444220</v>
      </c>
      <c r="E754" s="18">
        <v>83071039</v>
      </c>
      <c r="F754" s="18" t="s">
        <v>333</v>
      </c>
      <c r="G754" s="18" t="s">
        <v>724</v>
      </c>
      <c r="H754" s="18">
        <v>84</v>
      </c>
      <c r="I754" s="18">
        <v>6</v>
      </c>
      <c r="J754" s="19" t="s">
        <v>475</v>
      </c>
      <c r="K754" s="21" t="s">
        <v>64</v>
      </c>
      <c r="L754" s="38"/>
      <c r="M754" s="54"/>
      <c r="N754" s="55"/>
      <c r="O754" s="56"/>
      <c r="P754" s="19" t="s">
        <v>49</v>
      </c>
      <c r="Q754" s="57" t="s">
        <v>879</v>
      </c>
      <c r="R754" s="38">
        <v>45992</v>
      </c>
      <c r="S754" s="20">
        <v>12</v>
      </c>
    </row>
    <row r="755" spans="1:25" ht="14.25" customHeight="1" x14ac:dyDescent="0.3">
      <c r="A755" s="17">
        <f t="shared" si="21"/>
        <v>754</v>
      </c>
      <c r="B755" s="30">
        <v>76534578</v>
      </c>
      <c r="C755" s="19" t="s">
        <v>915</v>
      </c>
      <c r="D755" s="18">
        <v>99290179</v>
      </c>
      <c r="E755" s="18">
        <v>82898137</v>
      </c>
      <c r="F755" s="18" t="s">
        <v>333</v>
      </c>
      <c r="G755" s="18" t="s">
        <v>724</v>
      </c>
      <c r="H755" s="18">
        <v>84</v>
      </c>
      <c r="I755" s="18">
        <v>1</v>
      </c>
      <c r="J755" s="19"/>
      <c r="K755" s="21" t="s">
        <v>64</v>
      </c>
      <c r="L755" s="38"/>
      <c r="M755" s="54"/>
      <c r="N755" s="55"/>
      <c r="O755" s="56"/>
      <c r="P755" s="19" t="s">
        <v>49</v>
      </c>
      <c r="Q755" s="57" t="s">
        <v>671</v>
      </c>
      <c r="R755" s="38">
        <v>45985</v>
      </c>
      <c r="S755" s="20">
        <v>11</v>
      </c>
    </row>
    <row r="756" spans="1:25" ht="14.25" customHeight="1" x14ac:dyDescent="0.3">
      <c r="A756" s="17">
        <f t="shared" si="21"/>
        <v>755</v>
      </c>
      <c r="B756" s="30">
        <v>43587524</v>
      </c>
      <c r="C756" s="19" t="s">
        <v>927</v>
      </c>
      <c r="D756" s="18">
        <v>99443504</v>
      </c>
      <c r="E756" s="18">
        <v>83070759</v>
      </c>
      <c r="F756" s="18" t="s">
        <v>333</v>
      </c>
      <c r="G756" s="18" t="s">
        <v>774</v>
      </c>
      <c r="H756" s="18">
        <v>175</v>
      </c>
      <c r="I756" s="18">
        <v>8</v>
      </c>
      <c r="J756" s="19" t="s">
        <v>483</v>
      </c>
      <c r="K756" s="21" t="s">
        <v>64</v>
      </c>
      <c r="L756" s="38"/>
      <c r="M756" s="54"/>
      <c r="N756" s="55"/>
      <c r="O756" s="56"/>
      <c r="P756" s="19" t="s">
        <v>49</v>
      </c>
      <c r="Q756" s="57" t="s">
        <v>833</v>
      </c>
      <c r="R756" s="38">
        <v>45992</v>
      </c>
      <c r="S756" s="20">
        <v>12</v>
      </c>
    </row>
    <row r="757" spans="1:25" ht="14.25" customHeight="1" x14ac:dyDescent="0.3">
      <c r="A757" s="17">
        <f t="shared" si="21"/>
        <v>756</v>
      </c>
      <c r="B757" s="30">
        <v>18179616</v>
      </c>
      <c r="C757" s="19" t="s">
        <v>929</v>
      </c>
      <c r="D757" s="18">
        <v>99442835</v>
      </c>
      <c r="E757" s="18">
        <v>83075039</v>
      </c>
      <c r="F757" s="18" t="s">
        <v>334</v>
      </c>
      <c r="G757" s="18" t="s">
        <v>337</v>
      </c>
      <c r="H757" s="18">
        <v>170</v>
      </c>
      <c r="I757" s="18">
        <v>9</v>
      </c>
      <c r="J757" s="19" t="s">
        <v>373</v>
      </c>
      <c r="K757" s="21" t="s">
        <v>64</v>
      </c>
      <c r="L757" s="38"/>
      <c r="M757" s="54"/>
      <c r="N757" s="55"/>
      <c r="O757" s="56"/>
      <c r="P757" s="19" t="s">
        <v>49</v>
      </c>
      <c r="Q757" s="57" t="s">
        <v>771</v>
      </c>
      <c r="R757" s="38">
        <v>45992</v>
      </c>
      <c r="S757" s="20">
        <v>12</v>
      </c>
    </row>
    <row r="758" spans="1:25" ht="14.25" customHeight="1" x14ac:dyDescent="0.3">
      <c r="A758" s="17">
        <f t="shared" si="21"/>
        <v>757</v>
      </c>
      <c r="B758" s="30">
        <v>40717045</v>
      </c>
      <c r="C758" s="19" t="s">
        <v>930</v>
      </c>
      <c r="D758" s="18">
        <v>99467119</v>
      </c>
      <c r="E758" s="18">
        <v>83094495</v>
      </c>
      <c r="F758" s="18" t="s">
        <v>334</v>
      </c>
      <c r="G758" s="18" t="s">
        <v>724</v>
      </c>
      <c r="H758" s="18">
        <v>84</v>
      </c>
      <c r="I758" s="18">
        <v>1</v>
      </c>
      <c r="J758" s="19" t="s">
        <v>541</v>
      </c>
      <c r="K758" s="21" t="s">
        <v>64</v>
      </c>
      <c r="L758" s="38"/>
      <c r="M758" s="54"/>
      <c r="N758" s="55"/>
      <c r="O758" s="56"/>
      <c r="P758" s="19" t="s">
        <v>49</v>
      </c>
      <c r="Q758" s="57" t="s">
        <v>747</v>
      </c>
      <c r="R758" s="38">
        <v>45993</v>
      </c>
      <c r="S758" s="20">
        <v>12</v>
      </c>
    </row>
    <row r="759" spans="1:25" ht="14.25" customHeight="1" x14ac:dyDescent="0.3">
      <c r="A759" s="17">
        <f t="shared" si="21"/>
        <v>758</v>
      </c>
      <c r="B759" s="30">
        <v>73133918</v>
      </c>
      <c r="C759" s="19" t="s">
        <v>932</v>
      </c>
      <c r="D759" s="18">
        <v>99470144</v>
      </c>
      <c r="E759" s="18">
        <v>83097109</v>
      </c>
      <c r="F759" s="18" t="s">
        <v>333</v>
      </c>
      <c r="G759" s="18" t="s">
        <v>724</v>
      </c>
      <c r="H759" s="18">
        <v>84</v>
      </c>
      <c r="I759" s="18">
        <v>2</v>
      </c>
      <c r="J759" s="19" t="s">
        <v>373</v>
      </c>
      <c r="K759" s="21" t="s">
        <v>64</v>
      </c>
      <c r="L759" s="38"/>
      <c r="M759" s="54"/>
      <c r="N759" s="55"/>
      <c r="O759" s="56"/>
      <c r="P759" s="19" t="s">
        <v>49</v>
      </c>
      <c r="Q759" s="57" t="s">
        <v>933</v>
      </c>
      <c r="R759" s="38">
        <v>45993</v>
      </c>
      <c r="S759" s="20">
        <v>12</v>
      </c>
    </row>
    <row r="760" spans="1:25" ht="14.25" customHeight="1" x14ac:dyDescent="0.3">
      <c r="A760" s="17">
        <f t="shared" si="21"/>
        <v>759</v>
      </c>
      <c r="B760" s="30">
        <v>4828766</v>
      </c>
      <c r="C760" s="19" t="s">
        <v>940</v>
      </c>
      <c r="D760" s="18">
        <v>99517565</v>
      </c>
      <c r="E760" s="18">
        <v>83147589</v>
      </c>
      <c r="F760" s="18" t="s">
        <v>333</v>
      </c>
      <c r="G760" s="18" t="s">
        <v>724</v>
      </c>
      <c r="H760" s="18">
        <v>84</v>
      </c>
      <c r="I760" s="18">
        <v>9</v>
      </c>
      <c r="J760" s="19" t="s">
        <v>416</v>
      </c>
      <c r="K760" s="21" t="s">
        <v>64</v>
      </c>
      <c r="L760" s="38"/>
      <c r="M760" s="54"/>
      <c r="N760" s="55"/>
      <c r="O760" s="56"/>
      <c r="P760" s="19" t="s">
        <v>49</v>
      </c>
      <c r="Q760" s="57" t="s">
        <v>771</v>
      </c>
      <c r="R760" s="38">
        <v>45995</v>
      </c>
      <c r="S760" s="20">
        <v>12</v>
      </c>
    </row>
    <row r="761" spans="1:25" ht="14.25" customHeight="1" x14ac:dyDescent="0.3">
      <c r="A761" s="17">
        <f t="shared" si="21"/>
        <v>760</v>
      </c>
      <c r="B761" s="30">
        <v>43214158</v>
      </c>
      <c r="C761" s="19" t="s">
        <v>931</v>
      </c>
      <c r="D761" s="18">
        <v>99469009</v>
      </c>
      <c r="E761" s="18">
        <v>83095436</v>
      </c>
      <c r="F761" s="18" t="s">
        <v>333</v>
      </c>
      <c r="G761" s="18" t="s">
        <v>724</v>
      </c>
      <c r="H761" s="18">
        <v>84</v>
      </c>
      <c r="I761" s="18">
        <v>4</v>
      </c>
      <c r="J761" s="19" t="s">
        <v>604</v>
      </c>
      <c r="K761" s="21" t="s">
        <v>64</v>
      </c>
      <c r="L761" s="38"/>
      <c r="M761" s="54"/>
      <c r="N761" s="55"/>
      <c r="O761" s="56"/>
      <c r="P761" s="19" t="s">
        <v>49</v>
      </c>
      <c r="Q761" s="57" t="s">
        <v>671</v>
      </c>
      <c r="R761" s="38">
        <v>45993</v>
      </c>
      <c r="S761" s="20">
        <v>12</v>
      </c>
      <c r="T761" s="20" t="s">
        <v>0</v>
      </c>
      <c r="U761" s="18">
        <v>998872113</v>
      </c>
      <c r="V761" s="19"/>
      <c r="W761" s="20">
        <v>2025</v>
      </c>
      <c r="X761" s="20" t="s">
        <v>0</v>
      </c>
      <c r="Y761" s="58" t="s">
        <v>400</v>
      </c>
    </row>
    <row r="762" spans="1:25" ht="14.25" customHeight="1" x14ac:dyDescent="0.3">
      <c r="A762" s="17">
        <f t="shared" si="21"/>
        <v>761</v>
      </c>
      <c r="B762" s="30">
        <v>71582972</v>
      </c>
      <c r="C762" s="19" t="s">
        <v>934</v>
      </c>
      <c r="D762" s="18">
        <v>99470493</v>
      </c>
      <c r="E762" s="18">
        <v>83097331</v>
      </c>
      <c r="F762" s="18" t="s">
        <v>333</v>
      </c>
      <c r="G762" s="18" t="s">
        <v>724</v>
      </c>
      <c r="H762" s="18">
        <v>84</v>
      </c>
      <c r="I762" s="18">
        <v>7</v>
      </c>
      <c r="J762" s="19" t="s">
        <v>529</v>
      </c>
      <c r="K762" s="21" t="s">
        <v>64</v>
      </c>
      <c r="L762" s="38"/>
      <c r="M762" s="54"/>
      <c r="N762" s="55"/>
      <c r="O762" s="56"/>
      <c r="P762" s="19" t="s">
        <v>49</v>
      </c>
      <c r="Q762" s="57" t="s">
        <v>771</v>
      </c>
      <c r="R762" s="38">
        <v>45993</v>
      </c>
      <c r="S762" s="20">
        <v>12</v>
      </c>
      <c r="T762" s="20" t="s">
        <v>0</v>
      </c>
      <c r="U762" s="18">
        <v>941405968</v>
      </c>
      <c r="V762" s="19"/>
      <c r="W762" s="20">
        <v>2025</v>
      </c>
      <c r="X762" s="20" t="s">
        <v>0</v>
      </c>
      <c r="Y762" s="58" t="s">
        <v>397</v>
      </c>
    </row>
    <row r="763" spans="1:25" ht="14.25" customHeight="1" x14ac:dyDescent="0.3">
      <c r="A763" s="17">
        <f t="shared" si="21"/>
        <v>762</v>
      </c>
      <c r="B763" s="30">
        <v>73885659</v>
      </c>
      <c r="C763" s="19" t="s">
        <v>935</v>
      </c>
      <c r="D763" s="18">
        <v>99484095</v>
      </c>
      <c r="E763" s="18">
        <v>83106166</v>
      </c>
      <c r="F763" s="18" t="s">
        <v>333</v>
      </c>
      <c r="G763" s="18" t="s">
        <v>724</v>
      </c>
      <c r="H763" s="18">
        <v>84</v>
      </c>
      <c r="I763" s="18">
        <v>9</v>
      </c>
      <c r="J763" s="19" t="s">
        <v>541</v>
      </c>
      <c r="K763" s="21" t="s">
        <v>64</v>
      </c>
      <c r="L763" s="38"/>
      <c r="M763" s="54"/>
      <c r="N763" s="55"/>
      <c r="O763" s="56"/>
      <c r="P763" s="19" t="s">
        <v>49</v>
      </c>
      <c r="Q763" s="57" t="s">
        <v>822</v>
      </c>
      <c r="R763" s="38">
        <v>45993</v>
      </c>
      <c r="S763" s="20">
        <v>12</v>
      </c>
      <c r="T763" s="20" t="s">
        <v>0</v>
      </c>
      <c r="U763" s="18">
        <v>925787314</v>
      </c>
      <c r="V763" s="19"/>
      <c r="W763" s="20">
        <v>2025</v>
      </c>
      <c r="X763" s="20" t="s">
        <v>0</v>
      </c>
      <c r="Y763" s="58" t="s">
        <v>402</v>
      </c>
    </row>
    <row r="764" spans="1:25" ht="14.25" customHeight="1" x14ac:dyDescent="0.3">
      <c r="A764" s="17">
        <f t="shared" si="21"/>
        <v>763</v>
      </c>
      <c r="B764" s="30">
        <v>73489358</v>
      </c>
      <c r="C764" s="19" t="s">
        <v>936</v>
      </c>
      <c r="D764" s="18">
        <v>99496419</v>
      </c>
      <c r="E764" s="18">
        <v>83123680</v>
      </c>
      <c r="F764" s="18" t="s">
        <v>333</v>
      </c>
      <c r="G764" s="18" t="s">
        <v>724</v>
      </c>
      <c r="H764" s="18">
        <v>84</v>
      </c>
      <c r="I764" s="18">
        <v>10</v>
      </c>
      <c r="J764" s="19" t="s">
        <v>529</v>
      </c>
      <c r="K764" s="21" t="s">
        <v>64</v>
      </c>
      <c r="L764" s="38"/>
      <c r="M764" s="54"/>
      <c r="N764" s="55"/>
      <c r="O764" s="56"/>
      <c r="P764" s="19" t="s">
        <v>49</v>
      </c>
      <c r="Q764" s="57" t="s">
        <v>922</v>
      </c>
      <c r="R764" s="38">
        <v>45994</v>
      </c>
      <c r="S764" s="20">
        <v>12</v>
      </c>
      <c r="T764" s="20" t="s">
        <v>0</v>
      </c>
      <c r="U764" s="18">
        <v>968925495</v>
      </c>
      <c r="V764" s="19"/>
      <c r="W764" s="20">
        <v>2025</v>
      </c>
      <c r="X764" s="20" t="s">
        <v>0</v>
      </c>
      <c r="Y764" s="58" t="s">
        <v>393</v>
      </c>
    </row>
    <row r="765" spans="1:25" ht="14.25" customHeight="1" x14ac:dyDescent="0.3">
      <c r="A765" s="17">
        <f t="shared" si="21"/>
        <v>764</v>
      </c>
      <c r="B765" s="30">
        <v>41605451</v>
      </c>
      <c r="C765" s="19" t="s">
        <v>937</v>
      </c>
      <c r="D765" s="18">
        <v>99522907</v>
      </c>
      <c r="E765" s="18">
        <v>83152847</v>
      </c>
      <c r="F765" s="18" t="s">
        <v>333</v>
      </c>
      <c r="G765" s="18" t="s">
        <v>774</v>
      </c>
      <c r="H765" s="18">
        <v>185</v>
      </c>
      <c r="I765" s="18">
        <v>10</v>
      </c>
      <c r="J765" s="19" t="s">
        <v>529</v>
      </c>
      <c r="K765" s="21" t="s">
        <v>64</v>
      </c>
      <c r="L765" s="38"/>
      <c r="M765" s="54"/>
      <c r="N765" s="55"/>
      <c r="O765" s="56"/>
      <c r="P765" s="19" t="s">
        <v>49</v>
      </c>
      <c r="Q765" s="57" t="s">
        <v>54</v>
      </c>
      <c r="R765" s="38">
        <v>45995</v>
      </c>
      <c r="S765" s="20">
        <v>12</v>
      </c>
      <c r="T765" s="20" t="s">
        <v>0</v>
      </c>
      <c r="U765" s="18">
        <v>994477431</v>
      </c>
      <c r="V765" s="19"/>
      <c r="W765" s="20">
        <v>2025</v>
      </c>
      <c r="X765" s="20" t="s">
        <v>0</v>
      </c>
      <c r="Y765" s="58" t="s">
        <v>402</v>
      </c>
    </row>
    <row r="766" spans="1:25" ht="14.25" customHeight="1" x14ac:dyDescent="0.3">
      <c r="A766" s="17">
        <f t="shared" si="21"/>
        <v>765</v>
      </c>
      <c r="B766" s="30">
        <v>75285008</v>
      </c>
      <c r="C766" s="19" t="s">
        <v>939</v>
      </c>
      <c r="D766" s="18">
        <v>99517290</v>
      </c>
      <c r="E766" s="18">
        <v>83147490</v>
      </c>
      <c r="F766" s="18" t="s">
        <v>333</v>
      </c>
      <c r="G766" s="18" t="s">
        <v>724</v>
      </c>
      <c r="H766" s="18">
        <v>84</v>
      </c>
      <c r="I766" s="18">
        <v>6</v>
      </c>
      <c r="J766" s="19" t="s">
        <v>369</v>
      </c>
      <c r="K766" s="21" t="s">
        <v>64</v>
      </c>
      <c r="L766" s="38"/>
      <c r="M766" s="54"/>
      <c r="N766" s="55"/>
      <c r="O766" s="56"/>
      <c r="P766" s="19" t="s">
        <v>49</v>
      </c>
      <c r="Q766" s="57" t="s">
        <v>671</v>
      </c>
      <c r="R766" s="38">
        <v>45995</v>
      </c>
      <c r="S766" s="20">
        <v>12</v>
      </c>
      <c r="T766" s="20" t="s">
        <v>0</v>
      </c>
      <c r="U766" s="18">
        <v>970756047</v>
      </c>
      <c r="V766" s="19"/>
      <c r="W766" s="20">
        <v>2025</v>
      </c>
      <c r="X766" s="20" t="s">
        <v>0</v>
      </c>
      <c r="Y766" s="58" t="s">
        <v>397</v>
      </c>
    </row>
    <row r="767" spans="1:25" ht="14.25" customHeight="1" x14ac:dyDescent="0.3">
      <c r="A767" s="17">
        <f t="shared" si="21"/>
        <v>766</v>
      </c>
      <c r="B767" s="30">
        <v>48369325</v>
      </c>
      <c r="C767" s="19" t="s">
        <v>941</v>
      </c>
      <c r="D767" s="18">
        <v>99529709</v>
      </c>
      <c r="E767" s="18">
        <v>83156538</v>
      </c>
      <c r="F767" s="18" t="s">
        <v>333</v>
      </c>
      <c r="G767" s="18" t="s">
        <v>414</v>
      </c>
      <c r="H767" s="18">
        <v>80</v>
      </c>
      <c r="I767" s="18">
        <v>1</v>
      </c>
      <c r="J767" s="19" t="s">
        <v>529</v>
      </c>
      <c r="K767" s="21" t="s">
        <v>64</v>
      </c>
      <c r="L767" s="38"/>
      <c r="M767" s="54"/>
      <c r="N767" s="55"/>
      <c r="O767" s="56"/>
      <c r="P767" s="19" t="s">
        <v>49</v>
      </c>
      <c r="Q767" s="57" t="s">
        <v>822</v>
      </c>
      <c r="R767" s="38">
        <v>45995</v>
      </c>
      <c r="S767" s="20">
        <v>12</v>
      </c>
      <c r="T767" s="20" t="s">
        <v>0</v>
      </c>
      <c r="U767" s="18">
        <v>937701377</v>
      </c>
      <c r="V767" s="19"/>
      <c r="W767" s="20">
        <v>2025</v>
      </c>
      <c r="X767" s="20" t="s">
        <v>0</v>
      </c>
      <c r="Y767" s="58" t="s">
        <v>394</v>
      </c>
    </row>
    <row r="768" spans="1:25" ht="14.25" customHeight="1" x14ac:dyDescent="0.3">
      <c r="A768" s="17">
        <f t="shared" si="21"/>
        <v>767</v>
      </c>
      <c r="B768" s="30">
        <v>75828994</v>
      </c>
      <c r="C768" s="19" t="s">
        <v>942</v>
      </c>
      <c r="D768" s="18">
        <v>99542532</v>
      </c>
      <c r="E768" s="18">
        <v>83183272</v>
      </c>
      <c r="F768" s="18" t="s">
        <v>333</v>
      </c>
      <c r="G768" s="18" t="s">
        <v>337</v>
      </c>
      <c r="H768" s="18">
        <v>170</v>
      </c>
      <c r="I768" s="18">
        <v>5</v>
      </c>
      <c r="J768" s="19" t="s">
        <v>529</v>
      </c>
      <c r="K768" s="21" t="s">
        <v>64</v>
      </c>
      <c r="L768" s="38"/>
      <c r="M768" s="54"/>
      <c r="N768" s="55"/>
      <c r="O768" s="56"/>
      <c r="P768" s="19" t="s">
        <v>49</v>
      </c>
      <c r="Q768" s="57" t="s">
        <v>922</v>
      </c>
      <c r="R768" s="38">
        <v>45996</v>
      </c>
      <c r="S768" s="20">
        <v>12</v>
      </c>
      <c r="T768" s="20" t="s">
        <v>0</v>
      </c>
      <c r="U768" s="18">
        <v>917425029</v>
      </c>
      <c r="V768" s="19"/>
      <c r="W768" s="20">
        <v>2025</v>
      </c>
      <c r="X768" s="20" t="s">
        <v>0</v>
      </c>
      <c r="Y768" s="58" t="s">
        <v>396</v>
      </c>
    </row>
    <row r="769" spans="1:26" ht="14.25" customHeight="1" x14ac:dyDescent="0.3">
      <c r="A769" s="17">
        <f t="shared" si="21"/>
        <v>768</v>
      </c>
      <c r="B769" s="30">
        <v>47508075</v>
      </c>
      <c r="C769" s="19" t="s">
        <v>943</v>
      </c>
      <c r="D769" s="18">
        <v>99557813</v>
      </c>
      <c r="E769" s="18">
        <v>83191431</v>
      </c>
      <c r="F769" s="18" t="s">
        <v>333</v>
      </c>
      <c r="G769" s="18" t="s">
        <v>337</v>
      </c>
      <c r="H769" s="18">
        <v>170</v>
      </c>
      <c r="I769" s="18">
        <v>5</v>
      </c>
      <c r="J769" s="19" t="s">
        <v>372</v>
      </c>
      <c r="K769" s="21" t="s">
        <v>64</v>
      </c>
      <c r="L769" s="38"/>
      <c r="M769" s="54"/>
      <c r="N769" s="55"/>
      <c r="O769" s="56"/>
      <c r="P769" s="19" t="s">
        <v>49</v>
      </c>
      <c r="Q769" s="57" t="s">
        <v>879</v>
      </c>
      <c r="R769" s="38">
        <v>45996</v>
      </c>
      <c r="S769" s="20">
        <v>12</v>
      </c>
      <c r="T769" s="20" t="s">
        <v>0</v>
      </c>
      <c r="U769" s="18">
        <v>988113668</v>
      </c>
      <c r="V769" s="19"/>
      <c r="W769" s="20">
        <v>2025</v>
      </c>
      <c r="X769" s="20" t="s">
        <v>0</v>
      </c>
      <c r="Y769" s="58" t="s">
        <v>395</v>
      </c>
    </row>
    <row r="770" spans="1:26" ht="14.25" customHeight="1" x14ac:dyDescent="0.3">
      <c r="A770" s="17">
        <f t="shared" si="21"/>
        <v>769</v>
      </c>
      <c r="B770" s="30">
        <v>75285008</v>
      </c>
      <c r="C770" s="19" t="s">
        <v>939</v>
      </c>
      <c r="D770" s="18">
        <v>99557094</v>
      </c>
      <c r="E770" s="18">
        <v>83191080</v>
      </c>
      <c r="F770" s="18" t="s">
        <v>333</v>
      </c>
      <c r="G770" s="18" t="s">
        <v>724</v>
      </c>
      <c r="H770" s="18">
        <v>84</v>
      </c>
      <c r="I770" s="18">
        <v>6</v>
      </c>
      <c r="J770" s="19" t="s">
        <v>369</v>
      </c>
      <c r="K770" s="21" t="s">
        <v>64</v>
      </c>
      <c r="L770" s="38"/>
      <c r="M770" s="54"/>
      <c r="N770" s="55"/>
      <c r="O770" s="56"/>
      <c r="P770" s="19" t="s">
        <v>49</v>
      </c>
      <c r="Q770" s="57" t="s">
        <v>671</v>
      </c>
      <c r="R770" s="38">
        <v>45996</v>
      </c>
      <c r="S770" s="20">
        <v>12</v>
      </c>
      <c r="T770" s="20" t="s">
        <v>0</v>
      </c>
      <c r="U770" s="18">
        <v>970756047</v>
      </c>
      <c r="V770" s="19"/>
      <c r="W770" s="20">
        <v>2025</v>
      </c>
      <c r="X770" s="20" t="s">
        <v>0</v>
      </c>
      <c r="Y770" s="58" t="s">
        <v>397</v>
      </c>
    </row>
    <row r="771" spans="1:26" ht="14.25" customHeight="1" x14ac:dyDescent="0.3">
      <c r="A771" s="17">
        <f t="shared" si="21"/>
        <v>770</v>
      </c>
      <c r="B771" s="30">
        <v>25700273</v>
      </c>
      <c r="C771" s="19" t="s">
        <v>944</v>
      </c>
      <c r="D771" s="18">
        <v>99569537</v>
      </c>
      <c r="E771" s="18">
        <v>83199439</v>
      </c>
      <c r="F771" s="18" t="s">
        <v>333</v>
      </c>
      <c r="G771" s="18" t="s">
        <v>337</v>
      </c>
      <c r="H771" s="18">
        <v>170</v>
      </c>
      <c r="I771" s="18">
        <v>4</v>
      </c>
      <c r="J771" s="19" t="s">
        <v>372</v>
      </c>
      <c r="K771" s="21" t="s">
        <v>64</v>
      </c>
      <c r="L771" s="38"/>
      <c r="M771" s="54"/>
      <c r="N771" s="55"/>
      <c r="O771" s="56"/>
      <c r="P771" s="19" t="s">
        <v>49</v>
      </c>
      <c r="Q771" s="57" t="s">
        <v>922</v>
      </c>
      <c r="R771" s="38">
        <v>45997</v>
      </c>
      <c r="S771" s="20">
        <v>12</v>
      </c>
      <c r="T771" s="20" t="s">
        <v>0</v>
      </c>
      <c r="U771" s="18">
        <v>999473675</v>
      </c>
      <c r="V771" s="19"/>
      <c r="W771" s="20">
        <v>2025</v>
      </c>
      <c r="X771" s="20" t="s">
        <v>0</v>
      </c>
      <c r="Y771" s="58" t="s">
        <v>397</v>
      </c>
    </row>
    <row r="772" spans="1:26" ht="14.25" customHeight="1" x14ac:dyDescent="0.3">
      <c r="A772" s="17">
        <f t="shared" ref="A772:A835" si="22">A771+1</f>
        <v>771</v>
      </c>
      <c r="B772" s="30">
        <v>73489358</v>
      </c>
      <c r="C772" s="19" t="s">
        <v>936</v>
      </c>
      <c r="D772" s="18">
        <v>99496419</v>
      </c>
      <c r="E772" s="18">
        <v>83123680</v>
      </c>
      <c r="F772" s="18" t="s">
        <v>333</v>
      </c>
      <c r="G772" s="18" t="s">
        <v>724</v>
      </c>
      <c r="H772" s="18">
        <v>84</v>
      </c>
      <c r="I772" s="18">
        <v>10</v>
      </c>
      <c r="J772" s="19" t="s">
        <v>529</v>
      </c>
      <c r="K772" s="21" t="s">
        <v>64</v>
      </c>
      <c r="L772" s="38"/>
      <c r="M772" s="54"/>
      <c r="N772" s="55"/>
      <c r="O772" s="56"/>
      <c r="P772" s="19" t="s">
        <v>49</v>
      </c>
      <c r="Q772" s="57" t="s">
        <v>922</v>
      </c>
      <c r="R772" s="38">
        <v>45997</v>
      </c>
      <c r="S772" s="20">
        <v>12</v>
      </c>
      <c r="T772" s="20" t="s">
        <v>0</v>
      </c>
      <c r="U772" s="18">
        <v>968925495</v>
      </c>
      <c r="V772" s="19"/>
      <c r="W772" s="20">
        <v>2025</v>
      </c>
      <c r="X772" s="20" t="s">
        <v>0</v>
      </c>
      <c r="Y772" s="58" t="s">
        <v>393</v>
      </c>
    </row>
    <row r="773" spans="1:26" ht="14.25" customHeight="1" x14ac:dyDescent="0.3">
      <c r="A773" s="17">
        <f t="shared" si="22"/>
        <v>772</v>
      </c>
      <c r="B773" s="30">
        <v>74875711</v>
      </c>
      <c r="C773" s="19" t="s">
        <v>947</v>
      </c>
      <c r="D773" s="18">
        <v>99581066</v>
      </c>
      <c r="E773" s="18">
        <v>83205763</v>
      </c>
      <c r="F773" s="18" t="s">
        <v>333</v>
      </c>
      <c r="G773" s="18" t="s">
        <v>724</v>
      </c>
      <c r="H773" s="18">
        <v>84</v>
      </c>
      <c r="I773" s="18">
        <v>1</v>
      </c>
      <c r="J773" s="19" t="s">
        <v>529</v>
      </c>
      <c r="K773" s="21" t="s">
        <v>64</v>
      </c>
      <c r="L773" s="38"/>
      <c r="M773" s="54"/>
      <c r="N773" s="55"/>
      <c r="O773" s="56"/>
      <c r="P773" s="19" t="s">
        <v>49</v>
      </c>
      <c r="Q773" s="57" t="s">
        <v>922</v>
      </c>
      <c r="R773" s="38">
        <v>45997</v>
      </c>
      <c r="S773" s="20">
        <v>12</v>
      </c>
      <c r="T773" s="20" t="s">
        <v>0</v>
      </c>
      <c r="U773" s="18">
        <v>920049728</v>
      </c>
      <c r="V773" s="19"/>
      <c r="W773" s="20">
        <v>2025</v>
      </c>
      <c r="X773" s="20" t="s">
        <v>0</v>
      </c>
      <c r="Y773" s="58" t="s">
        <v>393</v>
      </c>
    </row>
    <row r="774" spans="1:26" ht="14.25" customHeight="1" x14ac:dyDescent="0.3">
      <c r="A774" s="17">
        <f t="shared" si="22"/>
        <v>773</v>
      </c>
      <c r="B774" s="30">
        <v>75285008</v>
      </c>
      <c r="C774" s="19" t="s">
        <v>939</v>
      </c>
      <c r="D774" s="18">
        <v>99517290</v>
      </c>
      <c r="E774" s="18">
        <v>83147490</v>
      </c>
      <c r="F774" s="18" t="s">
        <v>333</v>
      </c>
      <c r="G774" s="18" t="s">
        <v>724</v>
      </c>
      <c r="H774" s="18">
        <v>84</v>
      </c>
      <c r="I774" s="18">
        <v>6</v>
      </c>
      <c r="J774" s="19" t="s">
        <v>475</v>
      </c>
      <c r="K774" s="21" t="s">
        <v>64</v>
      </c>
      <c r="L774" s="38"/>
      <c r="M774" s="54"/>
      <c r="N774" s="55"/>
      <c r="O774" s="56"/>
      <c r="P774" s="19" t="s">
        <v>49</v>
      </c>
      <c r="Q774" s="57" t="s">
        <v>671</v>
      </c>
      <c r="R774" s="38">
        <v>45999</v>
      </c>
      <c r="S774" s="20">
        <v>12</v>
      </c>
      <c r="T774" s="20" t="s">
        <v>0</v>
      </c>
      <c r="U774" s="18">
        <v>970756047</v>
      </c>
      <c r="V774" s="19"/>
      <c r="W774" s="20">
        <v>2025</v>
      </c>
      <c r="X774" s="20" t="s">
        <v>0</v>
      </c>
      <c r="Y774" s="58" t="s">
        <v>397</v>
      </c>
    </row>
    <row r="775" spans="1:26" ht="14.25" customHeight="1" x14ac:dyDescent="0.3">
      <c r="A775" s="17">
        <f t="shared" si="22"/>
        <v>774</v>
      </c>
      <c r="B775" s="30">
        <v>75656824</v>
      </c>
      <c r="C775" s="19" t="s">
        <v>938</v>
      </c>
      <c r="D775" s="18">
        <v>99514880</v>
      </c>
      <c r="E775" s="18">
        <v>83145768</v>
      </c>
      <c r="F775" s="18" t="s">
        <v>333</v>
      </c>
      <c r="G775" s="18" t="s">
        <v>414</v>
      </c>
      <c r="H775" s="18">
        <v>80</v>
      </c>
      <c r="I775" s="18">
        <v>7</v>
      </c>
      <c r="J775" s="19" t="s">
        <v>475</v>
      </c>
      <c r="K775" s="21" t="s">
        <v>64</v>
      </c>
      <c r="L775" s="38"/>
      <c r="M775" s="54"/>
      <c r="N775" s="55"/>
      <c r="O775" s="56"/>
      <c r="P775" s="19" t="s">
        <v>49</v>
      </c>
      <c r="Q775" s="57" t="s">
        <v>833</v>
      </c>
      <c r="R775" s="38">
        <v>45995</v>
      </c>
      <c r="S775" s="20">
        <v>12</v>
      </c>
      <c r="T775" s="20" t="s">
        <v>0</v>
      </c>
      <c r="U775" s="18">
        <v>981920988</v>
      </c>
      <c r="V775" s="19"/>
      <c r="W775" s="20">
        <v>2025</v>
      </c>
      <c r="X775" s="20" t="s">
        <v>0</v>
      </c>
      <c r="Y775" s="58" t="s">
        <v>393</v>
      </c>
      <c r="Z775" t="s">
        <v>538</v>
      </c>
    </row>
    <row r="776" spans="1:26" ht="14.25" customHeight="1" x14ac:dyDescent="0.3">
      <c r="A776" s="17">
        <f t="shared" si="22"/>
        <v>775</v>
      </c>
      <c r="B776" s="30">
        <v>76318072</v>
      </c>
      <c r="C776" s="19" t="s">
        <v>945</v>
      </c>
      <c r="D776" s="18">
        <v>99573090</v>
      </c>
      <c r="E776" s="18">
        <v>83200623</v>
      </c>
      <c r="F776" s="18" t="s">
        <v>333</v>
      </c>
      <c r="G776" s="18" t="s">
        <v>724</v>
      </c>
      <c r="H776" s="18">
        <v>84</v>
      </c>
      <c r="I776" s="18">
        <v>7</v>
      </c>
      <c r="J776" s="19"/>
      <c r="K776" s="21" t="s">
        <v>64</v>
      </c>
      <c r="L776" s="38"/>
      <c r="M776" s="54"/>
      <c r="N776" s="55"/>
      <c r="O776" s="56"/>
      <c r="P776" s="19" t="s">
        <v>49</v>
      </c>
      <c r="Q776" s="57" t="s">
        <v>747</v>
      </c>
      <c r="R776" s="38">
        <v>45997</v>
      </c>
      <c r="S776" s="20">
        <v>12</v>
      </c>
      <c r="T776" s="20" t="s">
        <v>0</v>
      </c>
      <c r="U776" s="18">
        <v>941935780</v>
      </c>
      <c r="V776" s="19"/>
      <c r="W776" s="20">
        <v>2025</v>
      </c>
      <c r="X776" s="20" t="s">
        <v>0</v>
      </c>
      <c r="Y776" s="58" t="s">
        <v>396</v>
      </c>
      <c r="Z776" t="s">
        <v>538</v>
      </c>
    </row>
    <row r="777" spans="1:26" ht="14.25" customHeight="1" x14ac:dyDescent="0.3">
      <c r="A777" s="17">
        <f t="shared" si="22"/>
        <v>776</v>
      </c>
      <c r="B777" s="30">
        <v>40764075</v>
      </c>
      <c r="C777" s="19" t="s">
        <v>949</v>
      </c>
      <c r="D777" s="18">
        <v>99632667</v>
      </c>
      <c r="E777" s="18">
        <v>83234177</v>
      </c>
      <c r="F777" s="18" t="s">
        <v>334</v>
      </c>
      <c r="G777" s="18" t="s">
        <v>337</v>
      </c>
      <c r="H777" s="18">
        <v>170</v>
      </c>
      <c r="I777" s="18">
        <v>8</v>
      </c>
      <c r="J777" s="19" t="s">
        <v>372</v>
      </c>
      <c r="K777" s="21" t="s">
        <v>64</v>
      </c>
      <c r="L777" s="38"/>
      <c r="M777" s="54"/>
      <c r="N777" s="55"/>
      <c r="O777" s="56"/>
      <c r="P777" s="19" t="s">
        <v>49</v>
      </c>
      <c r="Q777" s="57" t="s">
        <v>933</v>
      </c>
      <c r="R777" s="38">
        <v>46000</v>
      </c>
      <c r="S777" s="20">
        <v>12</v>
      </c>
      <c r="T777" s="20" t="s">
        <v>0</v>
      </c>
      <c r="U777" s="18">
        <v>963282755</v>
      </c>
      <c r="V777" s="19"/>
      <c r="W777" s="20">
        <v>2025</v>
      </c>
      <c r="X777" s="20" t="s">
        <v>0</v>
      </c>
      <c r="Y777" s="58" t="s">
        <v>402</v>
      </c>
      <c r="Z777" t="s">
        <v>538</v>
      </c>
    </row>
    <row r="778" spans="1:26" ht="14.25" customHeight="1" x14ac:dyDescent="0.3">
      <c r="A778" s="17">
        <f t="shared" si="22"/>
        <v>777</v>
      </c>
      <c r="B778" s="30">
        <v>73489358</v>
      </c>
      <c r="C778" s="19" t="s">
        <v>936</v>
      </c>
      <c r="D778" s="18">
        <v>99627422</v>
      </c>
      <c r="E778" s="18">
        <v>83227543</v>
      </c>
      <c r="F778" s="18" t="s">
        <v>333</v>
      </c>
      <c r="G778" s="18" t="s">
        <v>724</v>
      </c>
      <c r="H778" s="18">
        <v>84</v>
      </c>
      <c r="I778" s="18">
        <v>10</v>
      </c>
      <c r="J778" s="19" t="s">
        <v>373</v>
      </c>
      <c r="K778" s="21" t="s">
        <v>64</v>
      </c>
      <c r="L778" s="38"/>
      <c r="M778" s="54"/>
      <c r="N778" s="55"/>
      <c r="O778" s="56"/>
      <c r="P778" s="19" t="s">
        <v>49</v>
      </c>
      <c r="Q778" s="57" t="s">
        <v>922</v>
      </c>
      <c r="R778" s="38">
        <v>46000</v>
      </c>
      <c r="S778" s="20">
        <v>12</v>
      </c>
      <c r="T778" s="20" t="s">
        <v>0</v>
      </c>
      <c r="U778" s="18">
        <v>968925495</v>
      </c>
      <c r="V778" s="19"/>
      <c r="W778" s="20">
        <v>2025</v>
      </c>
      <c r="X778" s="20" t="s">
        <v>0</v>
      </c>
      <c r="Y778" s="58" t="s">
        <v>393</v>
      </c>
      <c r="Z778" t="s">
        <v>537</v>
      </c>
    </row>
    <row r="779" spans="1:26" ht="14.25" customHeight="1" x14ac:dyDescent="0.3">
      <c r="A779" s="17">
        <f t="shared" si="22"/>
        <v>778</v>
      </c>
      <c r="B779" s="30">
        <v>23942532</v>
      </c>
      <c r="C779" s="19" t="s">
        <v>951</v>
      </c>
      <c r="D779" s="18">
        <v>99636159</v>
      </c>
      <c r="E779" s="18">
        <v>83234238</v>
      </c>
      <c r="F779" s="18" t="s">
        <v>333</v>
      </c>
      <c r="G779" s="18" t="s">
        <v>724</v>
      </c>
      <c r="H779" s="18">
        <v>84</v>
      </c>
      <c r="I779" s="18">
        <v>7</v>
      </c>
      <c r="J779" s="19" t="s">
        <v>372</v>
      </c>
      <c r="K779" s="21" t="s">
        <v>64</v>
      </c>
      <c r="L779" s="38"/>
      <c r="M779" s="54"/>
      <c r="N779" s="55"/>
      <c r="O779" s="56"/>
      <c r="P779" s="19" t="s">
        <v>49</v>
      </c>
      <c r="Q779" s="57" t="s">
        <v>671</v>
      </c>
      <c r="R779" s="38">
        <v>46000</v>
      </c>
      <c r="S779" s="20">
        <v>12</v>
      </c>
      <c r="T779" s="20" t="s">
        <v>0</v>
      </c>
      <c r="U779" s="18">
        <v>959573072</v>
      </c>
      <c r="V779" s="19"/>
      <c r="W779" s="20">
        <v>2025</v>
      </c>
      <c r="X779" s="20" t="s">
        <v>0</v>
      </c>
      <c r="Y779" s="58" t="s">
        <v>402</v>
      </c>
      <c r="Z779" t="s">
        <v>538</v>
      </c>
    </row>
    <row r="780" spans="1:26" ht="14.25" customHeight="1" x14ac:dyDescent="0.3">
      <c r="A780" s="17">
        <f t="shared" si="22"/>
        <v>779</v>
      </c>
      <c r="B780" s="30">
        <v>76318072</v>
      </c>
      <c r="C780" s="19" t="s">
        <v>945</v>
      </c>
      <c r="D780" s="18">
        <v>99573090</v>
      </c>
      <c r="E780" s="18">
        <v>83200623</v>
      </c>
      <c r="F780" s="18" t="s">
        <v>333</v>
      </c>
      <c r="G780" s="18" t="s">
        <v>724</v>
      </c>
      <c r="H780" s="18">
        <v>84</v>
      </c>
      <c r="I780" s="18">
        <v>7</v>
      </c>
      <c r="J780" s="19"/>
      <c r="K780" s="21" t="s">
        <v>64</v>
      </c>
      <c r="L780" s="38"/>
      <c r="M780" s="54"/>
      <c r="N780" s="55"/>
      <c r="O780" s="56"/>
      <c r="P780" s="19" t="s">
        <v>49</v>
      </c>
      <c r="Q780" s="57" t="s">
        <v>747</v>
      </c>
      <c r="R780" s="38">
        <v>46000</v>
      </c>
      <c r="S780" s="20">
        <v>12</v>
      </c>
      <c r="T780" s="20" t="s">
        <v>0</v>
      </c>
      <c r="U780" s="18">
        <v>941935780</v>
      </c>
      <c r="V780" s="19"/>
      <c r="W780" s="20">
        <v>2025</v>
      </c>
      <c r="X780" s="20" t="s">
        <v>0</v>
      </c>
      <c r="Y780" s="58" t="s">
        <v>396</v>
      </c>
      <c r="Z780" t="s">
        <v>538</v>
      </c>
    </row>
    <row r="781" spans="1:26" ht="14.25" customHeight="1" x14ac:dyDescent="0.3">
      <c r="A781" s="17">
        <f t="shared" si="22"/>
        <v>780</v>
      </c>
      <c r="B781" s="30">
        <v>75656824</v>
      </c>
      <c r="C781" s="19" t="s">
        <v>938</v>
      </c>
      <c r="D781" s="18">
        <v>99651533</v>
      </c>
      <c r="E781" s="18">
        <v>83261575</v>
      </c>
      <c r="F781" s="18" t="s">
        <v>333</v>
      </c>
      <c r="G781" s="18" t="s">
        <v>414</v>
      </c>
      <c r="H781" s="18">
        <v>80</v>
      </c>
      <c r="I781" s="18">
        <v>7</v>
      </c>
      <c r="J781" s="19" t="s">
        <v>372</v>
      </c>
      <c r="K781" s="21" t="s">
        <v>64</v>
      </c>
      <c r="L781" s="38"/>
      <c r="M781" s="54"/>
      <c r="N781" s="55"/>
      <c r="O781" s="56"/>
      <c r="P781" s="19" t="s">
        <v>49</v>
      </c>
      <c r="Q781" s="57" t="s">
        <v>833</v>
      </c>
      <c r="R781" s="38">
        <v>46001</v>
      </c>
      <c r="S781" s="20">
        <v>12</v>
      </c>
      <c r="T781" s="20" t="s">
        <v>0</v>
      </c>
      <c r="U781" s="18">
        <v>981920988</v>
      </c>
      <c r="V781" s="19"/>
      <c r="W781" s="20">
        <v>2025</v>
      </c>
      <c r="X781" s="20" t="s">
        <v>0</v>
      </c>
      <c r="Y781" s="58" t="s">
        <v>393</v>
      </c>
      <c r="Z781" t="s">
        <v>538</v>
      </c>
    </row>
    <row r="782" spans="1:26" ht="14.25" customHeight="1" x14ac:dyDescent="0.3">
      <c r="A782" s="17">
        <f t="shared" si="22"/>
        <v>781</v>
      </c>
      <c r="B782" s="30">
        <v>43014210</v>
      </c>
      <c r="C782" s="19" t="s">
        <v>955</v>
      </c>
      <c r="D782" s="18">
        <v>99652683</v>
      </c>
      <c r="E782" s="18">
        <v>83262237</v>
      </c>
      <c r="F782" s="18" t="s">
        <v>334</v>
      </c>
      <c r="G782" s="18" t="s">
        <v>724</v>
      </c>
      <c r="H782" s="18">
        <v>84</v>
      </c>
      <c r="I782" s="18">
        <v>1</v>
      </c>
      <c r="J782" s="19" t="s">
        <v>602</v>
      </c>
      <c r="K782" s="21" t="s">
        <v>64</v>
      </c>
      <c r="L782" s="38"/>
      <c r="M782" s="54"/>
      <c r="N782" s="55"/>
      <c r="O782" s="56"/>
      <c r="P782" s="19" t="s">
        <v>49</v>
      </c>
      <c r="Q782" s="57" t="s">
        <v>770</v>
      </c>
      <c r="R782" s="38">
        <v>46001</v>
      </c>
      <c r="S782" s="20">
        <v>12</v>
      </c>
      <c r="T782" s="20" t="s">
        <v>0</v>
      </c>
      <c r="U782" s="18">
        <v>990059777</v>
      </c>
      <c r="V782" s="19"/>
      <c r="W782" s="20">
        <v>2025</v>
      </c>
      <c r="X782" s="20" t="s">
        <v>0</v>
      </c>
      <c r="Y782" s="58" t="s">
        <v>396</v>
      </c>
      <c r="Z782" t="s">
        <v>538</v>
      </c>
    </row>
    <row r="783" spans="1:26" ht="14.25" customHeight="1" x14ac:dyDescent="0.3">
      <c r="A783" s="17">
        <f t="shared" si="22"/>
        <v>782</v>
      </c>
      <c r="B783" s="30">
        <v>10239425327</v>
      </c>
      <c r="C783" s="19" t="s">
        <v>951</v>
      </c>
      <c r="D783" s="18">
        <v>99636159</v>
      </c>
      <c r="E783" s="18">
        <v>83234238</v>
      </c>
      <c r="F783" s="18" t="s">
        <v>333</v>
      </c>
      <c r="G783" s="18" t="s">
        <v>724</v>
      </c>
      <c r="H783" s="18">
        <v>84</v>
      </c>
      <c r="I783" s="18">
        <v>7</v>
      </c>
      <c r="J783" s="19" t="s">
        <v>372</v>
      </c>
      <c r="K783" s="21" t="s">
        <v>64</v>
      </c>
      <c r="L783" s="38"/>
      <c r="M783" s="54"/>
      <c r="N783" s="55"/>
      <c r="O783" s="56"/>
      <c r="P783" s="19" t="s">
        <v>49</v>
      </c>
      <c r="Q783" s="57" t="s">
        <v>671</v>
      </c>
      <c r="R783" s="38">
        <v>46001</v>
      </c>
      <c r="S783" s="20">
        <v>12</v>
      </c>
      <c r="T783" s="20" t="s">
        <v>0</v>
      </c>
      <c r="U783" s="18">
        <v>959573072</v>
      </c>
      <c r="V783" s="19"/>
      <c r="W783" s="20">
        <v>2025</v>
      </c>
      <c r="X783" s="20" t="s">
        <v>0</v>
      </c>
      <c r="Y783" s="58" t="s">
        <v>402</v>
      </c>
      <c r="Z783" t="s">
        <v>538</v>
      </c>
    </row>
    <row r="784" spans="1:26" ht="14.25" customHeight="1" x14ac:dyDescent="0.3">
      <c r="A784" s="17">
        <f t="shared" si="22"/>
        <v>783</v>
      </c>
      <c r="B784" s="30">
        <v>47542990</v>
      </c>
      <c r="C784" s="19" t="s">
        <v>926</v>
      </c>
      <c r="D784" s="18">
        <v>99440714</v>
      </c>
      <c r="E784" s="18">
        <v>83067422</v>
      </c>
      <c r="F784" s="18" t="s">
        <v>333</v>
      </c>
      <c r="G784" s="18" t="s">
        <v>724</v>
      </c>
      <c r="H784" s="18">
        <v>84</v>
      </c>
      <c r="I784" s="18">
        <v>5</v>
      </c>
      <c r="J784" s="19" t="s">
        <v>373</v>
      </c>
      <c r="K784" s="21" t="s">
        <v>64</v>
      </c>
      <c r="L784" s="38"/>
      <c r="M784" s="54"/>
      <c r="N784" s="55"/>
      <c r="O784" s="56"/>
      <c r="P784" s="19" t="s">
        <v>49</v>
      </c>
      <c r="Q784" s="57" t="s">
        <v>879</v>
      </c>
      <c r="R784" s="38">
        <v>45992</v>
      </c>
      <c r="S784" s="20">
        <v>12</v>
      </c>
      <c r="T784" s="20" t="s">
        <v>0</v>
      </c>
      <c r="U784" s="18">
        <v>985189554</v>
      </c>
      <c r="V784" s="19"/>
      <c r="W784" s="20">
        <v>2025</v>
      </c>
      <c r="X784" s="20" t="s">
        <v>0</v>
      </c>
      <c r="Y784" s="58" t="s">
        <v>404</v>
      </c>
      <c r="Z784" t="s">
        <v>537</v>
      </c>
    </row>
    <row r="785" spans="1:26" ht="14.25" customHeight="1" x14ac:dyDescent="0.3">
      <c r="A785" s="17">
        <f t="shared" si="22"/>
        <v>784</v>
      </c>
      <c r="B785" s="30">
        <v>42574154</v>
      </c>
      <c r="C785" s="19" t="s">
        <v>948</v>
      </c>
      <c r="D785" s="18">
        <v>99615107</v>
      </c>
      <c r="E785" s="18">
        <v>83220369</v>
      </c>
      <c r="F785" s="18" t="s">
        <v>333</v>
      </c>
      <c r="G785" s="18" t="s">
        <v>724</v>
      </c>
      <c r="H785" s="18">
        <v>84</v>
      </c>
      <c r="I785" s="18">
        <v>3</v>
      </c>
      <c r="J785" s="19" t="s">
        <v>541</v>
      </c>
      <c r="K785" s="21" t="s">
        <v>64</v>
      </c>
      <c r="L785" s="38"/>
      <c r="M785" s="54"/>
      <c r="N785" s="55"/>
      <c r="O785" s="56"/>
      <c r="P785" s="19" t="s">
        <v>49</v>
      </c>
      <c r="Q785" s="57" t="s">
        <v>54</v>
      </c>
      <c r="R785" s="38">
        <v>45999</v>
      </c>
      <c r="S785" s="20">
        <v>12</v>
      </c>
      <c r="T785" s="20" t="s">
        <v>0</v>
      </c>
      <c r="U785" s="18">
        <v>968297763</v>
      </c>
      <c r="V785" s="19"/>
      <c r="W785" s="20">
        <v>2025</v>
      </c>
      <c r="X785" s="20" t="s">
        <v>0</v>
      </c>
      <c r="Y785" s="58" t="s">
        <v>396</v>
      </c>
      <c r="Z785" t="s">
        <v>537</v>
      </c>
    </row>
    <row r="786" spans="1:26" ht="14.25" customHeight="1" x14ac:dyDescent="0.3">
      <c r="A786" s="17">
        <f t="shared" si="22"/>
        <v>785</v>
      </c>
      <c r="B786" s="30">
        <v>16721726</v>
      </c>
      <c r="C786" s="19" t="s">
        <v>952</v>
      </c>
      <c r="D786" s="18">
        <v>99637752</v>
      </c>
      <c r="E786" s="18">
        <v>83234737</v>
      </c>
      <c r="F786" s="18" t="s">
        <v>333</v>
      </c>
      <c r="G786" s="18" t="s">
        <v>724</v>
      </c>
      <c r="H786" s="18">
        <v>84</v>
      </c>
      <c r="I786" s="18">
        <v>10</v>
      </c>
      <c r="J786" s="19" t="s">
        <v>475</v>
      </c>
      <c r="K786" s="21" t="s">
        <v>64</v>
      </c>
      <c r="L786" s="38"/>
      <c r="M786" s="54"/>
      <c r="N786" s="55"/>
      <c r="O786" s="56"/>
      <c r="P786" s="19" t="s">
        <v>49</v>
      </c>
      <c r="Q786" s="57" t="s">
        <v>54</v>
      </c>
      <c r="R786" s="38">
        <v>46000</v>
      </c>
      <c r="S786" s="20">
        <v>12</v>
      </c>
      <c r="T786" s="20" t="s">
        <v>0</v>
      </c>
      <c r="U786" s="18">
        <v>932744194</v>
      </c>
      <c r="V786" s="19"/>
      <c r="W786" s="20">
        <v>2025</v>
      </c>
      <c r="X786" s="20" t="s">
        <v>0</v>
      </c>
      <c r="Y786" s="58" t="s">
        <v>393</v>
      </c>
      <c r="Z786" t="s">
        <v>537</v>
      </c>
    </row>
    <row r="787" spans="1:26" ht="14.25" customHeight="1" x14ac:dyDescent="0.3">
      <c r="A787" s="17">
        <f t="shared" si="22"/>
        <v>786</v>
      </c>
      <c r="B787" s="30">
        <v>16721726</v>
      </c>
      <c r="C787" s="19" t="s">
        <v>952</v>
      </c>
      <c r="D787" s="18">
        <v>99637752</v>
      </c>
      <c r="E787" s="18">
        <v>83234737</v>
      </c>
      <c r="F787" s="18" t="s">
        <v>333</v>
      </c>
      <c r="G787" s="18" t="s">
        <v>724</v>
      </c>
      <c r="H787" s="18">
        <v>84</v>
      </c>
      <c r="I787" s="18">
        <v>10</v>
      </c>
      <c r="J787" s="19" t="s">
        <v>373</v>
      </c>
      <c r="K787" s="21" t="s">
        <v>64</v>
      </c>
      <c r="L787" s="38"/>
      <c r="M787" s="54"/>
      <c r="N787" s="55"/>
      <c r="O787" s="56"/>
      <c r="P787" s="19" t="s">
        <v>49</v>
      </c>
      <c r="Q787" s="57" t="s">
        <v>54</v>
      </c>
      <c r="R787" s="38">
        <v>46000</v>
      </c>
      <c r="S787" s="20">
        <v>12</v>
      </c>
      <c r="T787" s="20" t="s">
        <v>0</v>
      </c>
      <c r="U787" s="18">
        <v>932744194</v>
      </c>
      <c r="V787" s="19"/>
      <c r="W787" s="20">
        <v>2025</v>
      </c>
      <c r="X787" s="20" t="s">
        <v>0</v>
      </c>
      <c r="Y787" s="58" t="s">
        <v>393</v>
      </c>
      <c r="Z787" t="s">
        <v>537</v>
      </c>
    </row>
    <row r="788" spans="1:26" ht="14.25" customHeight="1" x14ac:dyDescent="0.3">
      <c r="A788" s="17">
        <f t="shared" si="22"/>
        <v>787</v>
      </c>
      <c r="B788" s="30">
        <v>46856033</v>
      </c>
      <c r="C788" s="19" t="s">
        <v>953</v>
      </c>
      <c r="D788" s="18">
        <v>99638796</v>
      </c>
      <c r="E788" s="18">
        <v>83235113</v>
      </c>
      <c r="F788" s="18" t="s">
        <v>333</v>
      </c>
      <c r="G788" s="18" t="s">
        <v>724</v>
      </c>
      <c r="H788" s="18">
        <v>84</v>
      </c>
      <c r="I788" s="18">
        <v>9</v>
      </c>
      <c r="J788" s="19" t="s">
        <v>529</v>
      </c>
      <c r="K788" s="21" t="s">
        <v>64</v>
      </c>
      <c r="L788" s="38"/>
      <c r="M788" s="54"/>
      <c r="N788" s="55"/>
      <c r="O788" s="56"/>
      <c r="P788" s="19" t="s">
        <v>49</v>
      </c>
      <c r="Q788" s="57" t="s">
        <v>524</v>
      </c>
      <c r="R788" s="38">
        <v>46000</v>
      </c>
      <c r="S788" s="20">
        <v>12</v>
      </c>
      <c r="T788" s="20" t="s">
        <v>0</v>
      </c>
      <c r="U788" s="18">
        <v>953813712</v>
      </c>
      <c r="V788" s="19"/>
      <c r="W788" s="20">
        <v>2025</v>
      </c>
      <c r="X788" s="20" t="s">
        <v>0</v>
      </c>
      <c r="Y788" s="58" t="s">
        <v>404</v>
      </c>
      <c r="Z788" t="s">
        <v>537</v>
      </c>
    </row>
    <row r="789" spans="1:26" ht="14.25" customHeight="1" x14ac:dyDescent="0.3">
      <c r="A789" s="17">
        <f t="shared" si="22"/>
        <v>788</v>
      </c>
      <c r="B789" s="30">
        <v>20608384473</v>
      </c>
      <c r="C789" s="19" t="s">
        <v>954</v>
      </c>
      <c r="D789" s="18">
        <v>99658534</v>
      </c>
      <c r="E789" s="18">
        <v>83266024</v>
      </c>
      <c r="F789" s="18" t="s">
        <v>334</v>
      </c>
      <c r="G789" s="18" t="s">
        <v>724</v>
      </c>
      <c r="H789" s="18">
        <v>84</v>
      </c>
      <c r="I789" s="18">
        <v>8</v>
      </c>
      <c r="J789" s="19" t="s">
        <v>541</v>
      </c>
      <c r="K789" s="21" t="s">
        <v>64</v>
      </c>
      <c r="L789" s="38"/>
      <c r="M789" s="54"/>
      <c r="N789" s="55"/>
      <c r="O789" s="56"/>
      <c r="P789" s="19" t="s">
        <v>49</v>
      </c>
      <c r="Q789" s="57" t="s">
        <v>922</v>
      </c>
      <c r="R789" s="38">
        <v>46001</v>
      </c>
      <c r="S789" s="20">
        <v>12</v>
      </c>
      <c r="T789" s="20" t="s">
        <v>0</v>
      </c>
      <c r="U789" s="18">
        <v>943876958</v>
      </c>
      <c r="V789" s="19"/>
      <c r="W789" s="20">
        <v>2025</v>
      </c>
      <c r="X789" s="20" t="s">
        <v>0</v>
      </c>
      <c r="Y789" s="58" t="s">
        <v>396</v>
      </c>
      <c r="Z789" t="s">
        <v>538</v>
      </c>
    </row>
    <row r="790" spans="1:26" ht="14.25" customHeight="1" x14ac:dyDescent="0.3">
      <c r="A790" s="17">
        <f t="shared" si="22"/>
        <v>789</v>
      </c>
      <c r="B790" s="30">
        <v>70754615</v>
      </c>
      <c r="C790" s="19" t="s">
        <v>956</v>
      </c>
      <c r="D790" s="18">
        <v>99653325</v>
      </c>
      <c r="E790" s="18">
        <v>83262586</v>
      </c>
      <c r="F790" s="18" t="s">
        <v>333</v>
      </c>
      <c r="G790" s="18" t="s">
        <v>724</v>
      </c>
      <c r="H790" s="18">
        <v>84</v>
      </c>
      <c r="I790" s="18">
        <v>8</v>
      </c>
      <c r="J790" s="19" t="s">
        <v>529</v>
      </c>
      <c r="K790" s="21" t="s">
        <v>64</v>
      </c>
      <c r="L790" s="38"/>
      <c r="M790" s="54"/>
      <c r="N790" s="55"/>
      <c r="O790" s="56"/>
      <c r="P790" s="19" t="s">
        <v>49</v>
      </c>
      <c r="Q790" s="57" t="s">
        <v>922</v>
      </c>
      <c r="R790" s="38">
        <v>46001</v>
      </c>
      <c r="S790" s="20">
        <v>12</v>
      </c>
      <c r="T790" s="20" t="s">
        <v>0</v>
      </c>
      <c r="U790" s="18">
        <v>986532774</v>
      </c>
      <c r="V790" s="19"/>
      <c r="W790" s="20">
        <v>2025</v>
      </c>
      <c r="X790" s="20" t="s">
        <v>0</v>
      </c>
      <c r="Y790" s="58" t="s">
        <v>405</v>
      </c>
      <c r="Z790" t="s">
        <v>537</v>
      </c>
    </row>
    <row r="791" spans="1:26" ht="14.25" customHeight="1" x14ac:dyDescent="0.3">
      <c r="A791" s="17">
        <f t="shared" si="22"/>
        <v>790</v>
      </c>
      <c r="B791" s="30">
        <v>21402207</v>
      </c>
      <c r="C791" s="19" t="s">
        <v>957</v>
      </c>
      <c r="D791" s="18">
        <v>99662107</v>
      </c>
      <c r="E791" s="18">
        <v>83268563</v>
      </c>
      <c r="F791" s="18" t="s">
        <v>334</v>
      </c>
      <c r="G791" s="18" t="s">
        <v>337</v>
      </c>
      <c r="H791" s="18">
        <v>170</v>
      </c>
      <c r="I791" s="18">
        <v>6</v>
      </c>
      <c r="J791" s="19" t="s">
        <v>372</v>
      </c>
      <c r="K791" s="21" t="s">
        <v>64</v>
      </c>
      <c r="L791" s="38"/>
      <c r="M791" s="54"/>
      <c r="N791" s="55"/>
      <c r="O791" s="56"/>
      <c r="P791" s="19" t="s">
        <v>49</v>
      </c>
      <c r="Q791" s="57" t="s">
        <v>54</v>
      </c>
      <c r="R791" s="38">
        <v>46001</v>
      </c>
      <c r="S791" s="20">
        <v>12</v>
      </c>
      <c r="T791" s="20" t="s">
        <v>0</v>
      </c>
      <c r="U791" s="18">
        <v>946322774</v>
      </c>
      <c r="V791" s="19"/>
      <c r="W791" s="20">
        <v>2025</v>
      </c>
      <c r="X791" s="20" t="s">
        <v>0</v>
      </c>
      <c r="Y791" s="58" t="s">
        <v>399</v>
      </c>
      <c r="Z791" t="s">
        <v>537</v>
      </c>
    </row>
    <row r="792" spans="1:26" ht="14.25" customHeight="1" x14ac:dyDescent="0.3">
      <c r="A792" s="17">
        <f t="shared" si="22"/>
        <v>791</v>
      </c>
      <c r="B792" s="30">
        <v>18033325</v>
      </c>
      <c r="C792" s="19" t="s">
        <v>958</v>
      </c>
      <c r="D792" s="18">
        <v>99660581</v>
      </c>
      <c r="E792" s="18">
        <v>83267605</v>
      </c>
      <c r="F792" s="18" t="s">
        <v>333</v>
      </c>
      <c r="G792" s="18" t="s">
        <v>414</v>
      </c>
      <c r="H792" s="18">
        <v>80</v>
      </c>
      <c r="I792" s="18">
        <v>7</v>
      </c>
      <c r="J792" s="19" t="s">
        <v>372</v>
      </c>
      <c r="K792" s="21" t="s">
        <v>64</v>
      </c>
      <c r="L792" s="38"/>
      <c r="M792" s="54"/>
      <c r="N792" s="55"/>
      <c r="O792" s="56"/>
      <c r="P792" s="19" t="s">
        <v>49</v>
      </c>
      <c r="Q792" s="57" t="s">
        <v>518</v>
      </c>
      <c r="R792" s="38">
        <v>46001</v>
      </c>
      <c r="S792" s="20">
        <v>12</v>
      </c>
      <c r="T792" s="20" t="s">
        <v>0</v>
      </c>
      <c r="U792" s="18">
        <v>926087289</v>
      </c>
      <c r="V792" s="19"/>
      <c r="W792" s="20">
        <v>2025</v>
      </c>
      <c r="X792" s="20" t="s">
        <v>0</v>
      </c>
      <c r="Y792" s="58" t="s">
        <v>393</v>
      </c>
      <c r="Z792" t="s">
        <v>538</v>
      </c>
    </row>
    <row r="793" spans="1:26" ht="14.25" customHeight="1" x14ac:dyDescent="0.3">
      <c r="A793" s="17">
        <f t="shared" si="22"/>
        <v>792</v>
      </c>
      <c r="B793" s="30">
        <v>70513638</v>
      </c>
      <c r="C793" s="19" t="s">
        <v>959</v>
      </c>
      <c r="D793" s="18">
        <v>99660408</v>
      </c>
      <c r="E793" s="18">
        <v>83267522</v>
      </c>
      <c r="F793" s="18" t="s">
        <v>333</v>
      </c>
      <c r="G793" s="18" t="s">
        <v>724</v>
      </c>
      <c r="H793" s="18">
        <v>84</v>
      </c>
      <c r="I793" s="18">
        <v>1</v>
      </c>
      <c r="J793" s="19" t="s">
        <v>529</v>
      </c>
      <c r="K793" s="21" t="s">
        <v>64</v>
      </c>
      <c r="L793" s="38"/>
      <c r="M793" s="54"/>
      <c r="N793" s="55"/>
      <c r="O793" s="56"/>
      <c r="P793" s="19" t="s">
        <v>49</v>
      </c>
      <c r="Q793" s="57" t="s">
        <v>671</v>
      </c>
      <c r="R793" s="38">
        <v>46001</v>
      </c>
      <c r="S793" s="20">
        <v>12</v>
      </c>
      <c r="T793" s="20" t="s">
        <v>0</v>
      </c>
      <c r="U793" s="18">
        <v>966116011</v>
      </c>
      <c r="V793" s="19"/>
      <c r="W793" s="20">
        <v>2025</v>
      </c>
      <c r="X793" s="20" t="s">
        <v>0</v>
      </c>
      <c r="Y793" s="58" t="s">
        <v>402</v>
      </c>
      <c r="Z793" t="s">
        <v>538</v>
      </c>
    </row>
    <row r="794" spans="1:26" ht="14.25" customHeight="1" x14ac:dyDescent="0.3">
      <c r="A794" s="17">
        <f t="shared" si="22"/>
        <v>793</v>
      </c>
      <c r="B794" s="30">
        <v>70472712</v>
      </c>
      <c r="C794" s="19" t="s">
        <v>961</v>
      </c>
      <c r="D794" s="18">
        <v>99679728</v>
      </c>
      <c r="E794" s="18">
        <v>83302703</v>
      </c>
      <c r="F794" s="18" t="s">
        <v>333</v>
      </c>
      <c r="G794" s="18" t="s">
        <v>724</v>
      </c>
      <c r="H794" s="18">
        <v>84</v>
      </c>
      <c r="I794" s="18">
        <v>8</v>
      </c>
      <c r="J794" s="19" t="s">
        <v>372</v>
      </c>
      <c r="K794" s="21" t="s">
        <v>64</v>
      </c>
      <c r="L794" s="38"/>
      <c r="M794" s="54"/>
      <c r="N794" s="55"/>
      <c r="O794" s="56"/>
      <c r="P794" s="19" t="s">
        <v>49</v>
      </c>
      <c r="Q794" s="57" t="s">
        <v>725</v>
      </c>
      <c r="R794" s="38">
        <v>46002</v>
      </c>
      <c r="S794" s="20">
        <v>12</v>
      </c>
      <c r="T794" s="20" t="s">
        <v>0</v>
      </c>
      <c r="U794" s="18">
        <v>950808050</v>
      </c>
      <c r="V794" s="19"/>
      <c r="W794" s="20">
        <v>2025</v>
      </c>
      <c r="X794" s="20" t="s">
        <v>0</v>
      </c>
      <c r="Y794" s="58" t="s">
        <v>404</v>
      </c>
      <c r="Z794" t="s">
        <v>537</v>
      </c>
    </row>
    <row r="795" spans="1:26" ht="14.25" customHeight="1" x14ac:dyDescent="0.3">
      <c r="A795" s="17">
        <f t="shared" si="22"/>
        <v>794</v>
      </c>
      <c r="B795" s="30">
        <v>26626722</v>
      </c>
      <c r="C795" s="19" t="s">
        <v>962</v>
      </c>
      <c r="D795" s="18">
        <v>99676907</v>
      </c>
      <c r="E795" s="18">
        <v>83300884</v>
      </c>
      <c r="F795" s="18" t="s">
        <v>334</v>
      </c>
      <c r="G795" s="18" t="s">
        <v>724</v>
      </c>
      <c r="H795" s="18">
        <v>84</v>
      </c>
      <c r="I795" s="18">
        <v>2</v>
      </c>
      <c r="J795" s="19" t="s">
        <v>373</v>
      </c>
      <c r="K795" s="21" t="s">
        <v>64</v>
      </c>
      <c r="L795" s="38"/>
      <c r="M795" s="54"/>
      <c r="N795" s="55"/>
      <c r="O795" s="56"/>
      <c r="P795" s="19" t="s">
        <v>49</v>
      </c>
      <c r="Q795" s="57" t="s">
        <v>747</v>
      </c>
      <c r="R795" s="38">
        <v>46002</v>
      </c>
      <c r="S795" s="20">
        <v>12</v>
      </c>
      <c r="T795" s="20" t="s">
        <v>0</v>
      </c>
      <c r="U795" s="18">
        <v>944823459</v>
      </c>
      <c r="V795" s="19"/>
      <c r="W795" s="20">
        <v>2025</v>
      </c>
      <c r="X795" s="20" t="s">
        <v>0</v>
      </c>
      <c r="Y795" s="58" t="s">
        <v>400</v>
      </c>
      <c r="Z795" t="s">
        <v>537</v>
      </c>
    </row>
    <row r="796" spans="1:26" ht="14.25" customHeight="1" x14ac:dyDescent="0.3">
      <c r="A796" s="17">
        <f t="shared" si="22"/>
        <v>795</v>
      </c>
      <c r="B796" s="30">
        <v>40341550</v>
      </c>
      <c r="C796" s="19" t="s">
        <v>963</v>
      </c>
      <c r="D796" s="18">
        <v>99688639</v>
      </c>
      <c r="E796" s="18">
        <v>83310201</v>
      </c>
      <c r="F796" s="18" t="s">
        <v>333</v>
      </c>
      <c r="G796" s="18" t="s">
        <v>337</v>
      </c>
      <c r="H796" s="18">
        <v>170</v>
      </c>
      <c r="I796" s="18">
        <v>8</v>
      </c>
      <c r="J796" s="19" t="s">
        <v>529</v>
      </c>
      <c r="K796" s="21" t="s">
        <v>64</v>
      </c>
      <c r="L796" s="38"/>
      <c r="M796" s="54"/>
      <c r="N796" s="55"/>
      <c r="O796" s="56"/>
      <c r="P796" s="19" t="s">
        <v>49</v>
      </c>
      <c r="Q796" s="57" t="s">
        <v>770</v>
      </c>
      <c r="R796" s="38">
        <v>46002</v>
      </c>
      <c r="S796" s="20">
        <v>12</v>
      </c>
      <c r="T796" s="20" t="s">
        <v>0</v>
      </c>
      <c r="U796" s="18">
        <v>920819929</v>
      </c>
      <c r="V796" s="19"/>
      <c r="W796" s="20">
        <v>2025</v>
      </c>
      <c r="X796" s="20" t="s">
        <v>0</v>
      </c>
      <c r="Y796" s="58" t="s">
        <v>402</v>
      </c>
      <c r="Z796" t="s">
        <v>538</v>
      </c>
    </row>
    <row r="797" spans="1:26" ht="14.25" customHeight="1" x14ac:dyDescent="0.3">
      <c r="A797" s="17">
        <f t="shared" si="22"/>
        <v>796</v>
      </c>
      <c r="B797" s="30">
        <v>20609070774</v>
      </c>
      <c r="C797" s="19" t="s">
        <v>964</v>
      </c>
      <c r="D797" s="18">
        <v>99690468</v>
      </c>
      <c r="E797" s="18">
        <v>83311292</v>
      </c>
      <c r="F797" s="18" t="s">
        <v>333</v>
      </c>
      <c r="G797" s="18" t="s">
        <v>724</v>
      </c>
      <c r="H797" s="18">
        <v>84</v>
      </c>
      <c r="I797" s="18">
        <v>5</v>
      </c>
      <c r="J797" s="19" t="s">
        <v>443</v>
      </c>
      <c r="K797" s="21" t="s">
        <v>64</v>
      </c>
      <c r="L797" s="38"/>
      <c r="M797" s="54"/>
      <c r="N797" s="55"/>
      <c r="O797" s="56"/>
      <c r="P797" s="19" t="s">
        <v>49</v>
      </c>
      <c r="Q797" s="57" t="s">
        <v>54</v>
      </c>
      <c r="R797" s="38">
        <v>46002</v>
      </c>
      <c r="S797" s="20">
        <v>12</v>
      </c>
      <c r="T797" s="20" t="s">
        <v>0</v>
      </c>
      <c r="U797" s="18">
        <v>926914389</v>
      </c>
      <c r="V797" s="19"/>
      <c r="W797" s="20">
        <v>2025</v>
      </c>
      <c r="X797" s="20" t="s">
        <v>0</v>
      </c>
      <c r="Y797" s="58" t="s">
        <v>393</v>
      </c>
      <c r="Z797" t="s">
        <v>538</v>
      </c>
    </row>
    <row r="798" spans="1:26" ht="14.25" customHeight="1" x14ac:dyDescent="0.3">
      <c r="A798" s="17">
        <f t="shared" si="22"/>
        <v>797</v>
      </c>
      <c r="B798" s="30">
        <v>74753060</v>
      </c>
      <c r="C798" s="19" t="s">
        <v>966</v>
      </c>
      <c r="D798" s="18">
        <v>99701834</v>
      </c>
      <c r="E798" s="18">
        <v>83330479</v>
      </c>
      <c r="F798" s="18" t="s">
        <v>333</v>
      </c>
      <c r="G798" s="18" t="s">
        <v>724</v>
      </c>
      <c r="H798" s="18">
        <v>84</v>
      </c>
      <c r="I798" s="18">
        <v>6</v>
      </c>
      <c r="J798" s="19" t="s">
        <v>541</v>
      </c>
      <c r="K798" s="21" t="s">
        <v>64</v>
      </c>
      <c r="L798" s="38"/>
      <c r="M798" s="54"/>
      <c r="N798" s="55"/>
      <c r="O798" s="56"/>
      <c r="P798" s="19" t="s">
        <v>49</v>
      </c>
      <c r="Q798" s="57" t="s">
        <v>833</v>
      </c>
      <c r="R798" s="38">
        <v>46003</v>
      </c>
      <c r="S798" s="20">
        <v>12</v>
      </c>
      <c r="T798" s="20" t="s">
        <v>0</v>
      </c>
      <c r="U798" s="18">
        <v>950617677</v>
      </c>
      <c r="V798" s="19"/>
      <c r="W798" s="20">
        <v>2025</v>
      </c>
      <c r="X798" s="20" t="s">
        <v>0</v>
      </c>
      <c r="Y798" s="58" t="s">
        <v>393</v>
      </c>
      <c r="Z798" t="s">
        <v>538</v>
      </c>
    </row>
    <row r="799" spans="1:26" ht="14.25" customHeight="1" x14ac:dyDescent="0.3">
      <c r="A799" s="17">
        <f t="shared" si="22"/>
        <v>798</v>
      </c>
      <c r="B799" s="30">
        <v>10429265342</v>
      </c>
      <c r="C799" s="19" t="s">
        <v>972</v>
      </c>
      <c r="D799" s="18">
        <v>99702997</v>
      </c>
      <c r="E799" s="18">
        <v>83353019</v>
      </c>
      <c r="F799" s="18" t="s">
        <v>333</v>
      </c>
      <c r="G799" s="18" t="s">
        <v>724</v>
      </c>
      <c r="H799" s="18">
        <v>84</v>
      </c>
      <c r="I799" s="18">
        <v>6</v>
      </c>
      <c r="J799" s="19" t="s">
        <v>372</v>
      </c>
      <c r="K799" s="21" t="s">
        <v>64</v>
      </c>
      <c r="L799" s="38"/>
      <c r="M799" s="54"/>
      <c r="N799" s="55"/>
      <c r="O799" s="56"/>
      <c r="P799" s="19" t="s">
        <v>49</v>
      </c>
      <c r="Q799" s="57" t="s">
        <v>518</v>
      </c>
      <c r="R799" s="38">
        <v>46004</v>
      </c>
      <c r="S799" s="20">
        <v>12</v>
      </c>
      <c r="T799" s="20" t="s">
        <v>0</v>
      </c>
      <c r="U799" s="18">
        <v>963617979</v>
      </c>
      <c r="V799" s="19"/>
      <c r="W799" s="20">
        <v>2025</v>
      </c>
      <c r="X799" s="20" t="s">
        <v>0</v>
      </c>
      <c r="Y799" s="58" t="s">
        <v>404</v>
      </c>
      <c r="Z799" t="s">
        <v>538</v>
      </c>
    </row>
    <row r="800" spans="1:26" ht="14.25" customHeight="1" x14ac:dyDescent="0.3">
      <c r="A800" s="17">
        <f t="shared" si="22"/>
        <v>799</v>
      </c>
      <c r="B800" s="30">
        <v>10091485180</v>
      </c>
      <c r="C800" s="19" t="s">
        <v>923</v>
      </c>
      <c r="D800" s="18">
        <v>99408951</v>
      </c>
      <c r="E800" s="18">
        <v>83016381</v>
      </c>
      <c r="F800" s="18" t="s">
        <v>333</v>
      </c>
      <c r="G800" s="18" t="s">
        <v>337</v>
      </c>
      <c r="H800" s="18">
        <v>170</v>
      </c>
      <c r="I800" s="18">
        <v>9</v>
      </c>
      <c r="J800" s="19" t="s">
        <v>529</v>
      </c>
      <c r="K800" s="21" t="s">
        <v>64</v>
      </c>
      <c r="L800" s="38"/>
      <c r="M800" s="54"/>
      <c r="N800" s="55"/>
      <c r="O800" s="56"/>
      <c r="P800" s="19" t="s">
        <v>49</v>
      </c>
      <c r="Q800" s="57" t="s">
        <v>524</v>
      </c>
      <c r="R800" s="38">
        <v>45990</v>
      </c>
      <c r="S800" s="20">
        <v>11</v>
      </c>
      <c r="T800" s="20" t="s">
        <v>0</v>
      </c>
      <c r="U800" s="18">
        <v>998701244</v>
      </c>
      <c r="V800" s="19"/>
      <c r="W800" s="20">
        <v>2025</v>
      </c>
      <c r="X800" s="20" t="s">
        <v>0</v>
      </c>
      <c r="Y800" s="58" t="s">
        <v>397</v>
      </c>
    </row>
    <row r="801" spans="1:26" ht="14.25" customHeight="1" x14ac:dyDescent="0.3">
      <c r="A801" s="17">
        <f t="shared" si="22"/>
        <v>800</v>
      </c>
      <c r="B801" s="30">
        <v>44425448</v>
      </c>
      <c r="C801" s="19" t="s">
        <v>946</v>
      </c>
      <c r="D801" s="18">
        <v>99577818</v>
      </c>
      <c r="E801" s="18">
        <v>83204559</v>
      </c>
      <c r="F801" s="18" t="s">
        <v>333</v>
      </c>
      <c r="G801" s="18" t="s">
        <v>724</v>
      </c>
      <c r="H801" s="18">
        <v>84</v>
      </c>
      <c r="I801" s="18">
        <v>7</v>
      </c>
      <c r="J801" s="19" t="s">
        <v>373</v>
      </c>
      <c r="K801" s="21" t="s">
        <v>64</v>
      </c>
      <c r="L801" s="38"/>
      <c r="M801" s="54"/>
      <c r="N801" s="55"/>
      <c r="O801" s="56"/>
      <c r="P801" s="19" t="s">
        <v>49</v>
      </c>
      <c r="Q801" s="57" t="s">
        <v>518</v>
      </c>
      <c r="R801" s="38">
        <v>45997</v>
      </c>
      <c r="S801" s="20">
        <v>12</v>
      </c>
      <c r="T801" s="20" t="s">
        <v>0</v>
      </c>
      <c r="U801" s="18">
        <v>950801033</v>
      </c>
      <c r="V801" s="19"/>
      <c r="W801" s="20">
        <v>2025</v>
      </c>
      <c r="X801" s="20" t="s">
        <v>0</v>
      </c>
      <c r="Y801" s="58" t="s">
        <v>404</v>
      </c>
    </row>
    <row r="802" spans="1:26" ht="14.25" customHeight="1" x14ac:dyDescent="0.3">
      <c r="A802" s="17">
        <f t="shared" si="22"/>
        <v>801</v>
      </c>
      <c r="B802" s="30">
        <v>45947145</v>
      </c>
      <c r="C802" s="19" t="s">
        <v>960</v>
      </c>
      <c r="D802" s="18">
        <v>99681737</v>
      </c>
      <c r="E802" s="18">
        <v>83304030</v>
      </c>
      <c r="F802" s="18" t="s">
        <v>334</v>
      </c>
      <c r="G802" s="18" t="s">
        <v>724</v>
      </c>
      <c r="H802" s="18">
        <v>84</v>
      </c>
      <c r="I802" s="18">
        <v>10</v>
      </c>
      <c r="J802" s="19" t="s">
        <v>529</v>
      </c>
      <c r="K802" s="21" t="s">
        <v>64</v>
      </c>
      <c r="L802" s="38"/>
      <c r="M802" s="54"/>
      <c r="N802" s="55"/>
      <c r="O802" s="56"/>
      <c r="P802" s="19" t="s">
        <v>49</v>
      </c>
      <c r="Q802" s="57" t="s">
        <v>770</v>
      </c>
      <c r="R802" s="38">
        <v>46002</v>
      </c>
      <c r="S802" s="20">
        <v>12</v>
      </c>
      <c r="T802" s="20" t="s">
        <v>0</v>
      </c>
      <c r="U802" s="18">
        <v>934112211</v>
      </c>
      <c r="V802" s="19"/>
      <c r="W802" s="20">
        <v>2025</v>
      </c>
      <c r="X802" s="20" t="s">
        <v>0</v>
      </c>
      <c r="Y802" s="58" t="s">
        <v>405</v>
      </c>
    </row>
    <row r="803" spans="1:26" ht="14.25" customHeight="1" x14ac:dyDescent="0.3">
      <c r="A803" s="17">
        <f t="shared" si="22"/>
        <v>802</v>
      </c>
      <c r="B803" s="30">
        <v>16721726</v>
      </c>
      <c r="C803" s="19" t="s">
        <v>952</v>
      </c>
      <c r="D803" s="18">
        <v>99686563</v>
      </c>
      <c r="E803" s="18">
        <v>83308837</v>
      </c>
      <c r="F803" s="18" t="s">
        <v>333</v>
      </c>
      <c r="G803" s="18" t="s">
        <v>724</v>
      </c>
      <c r="H803" s="18">
        <v>84</v>
      </c>
      <c r="I803" s="18">
        <v>10</v>
      </c>
      <c r="J803" s="19" t="s">
        <v>529</v>
      </c>
      <c r="K803" s="21" t="s">
        <v>64</v>
      </c>
      <c r="L803" s="38"/>
      <c r="M803" s="54"/>
      <c r="N803" s="55"/>
      <c r="O803" s="56"/>
      <c r="P803" s="19" t="s">
        <v>49</v>
      </c>
      <c r="Q803" s="57" t="s">
        <v>54</v>
      </c>
      <c r="R803" s="38">
        <v>46002</v>
      </c>
      <c r="S803" s="20">
        <v>12</v>
      </c>
      <c r="T803" s="20" t="s">
        <v>0</v>
      </c>
      <c r="U803" s="18">
        <v>932744194</v>
      </c>
      <c r="V803" s="19"/>
      <c r="W803" s="20">
        <v>2025</v>
      </c>
      <c r="X803" s="20" t="s">
        <v>0</v>
      </c>
      <c r="Y803" s="58" t="s">
        <v>395</v>
      </c>
    </row>
    <row r="804" spans="1:26" ht="14.25" customHeight="1" x14ac:dyDescent="0.3">
      <c r="A804" s="17">
        <f t="shared" si="22"/>
        <v>803</v>
      </c>
      <c r="B804" s="30">
        <v>43833194</v>
      </c>
      <c r="C804" s="19" t="s">
        <v>965</v>
      </c>
      <c r="D804" s="18">
        <v>99691701</v>
      </c>
      <c r="E804" s="18">
        <v>83311925</v>
      </c>
      <c r="F804" s="18" t="s">
        <v>333</v>
      </c>
      <c r="G804" s="18" t="s">
        <v>724</v>
      </c>
      <c r="H804" s="18">
        <v>84</v>
      </c>
      <c r="I804" s="18">
        <v>5</v>
      </c>
      <c r="J804" s="19" t="s">
        <v>529</v>
      </c>
      <c r="K804" s="21" t="s">
        <v>64</v>
      </c>
      <c r="L804" s="38"/>
      <c r="M804" s="54"/>
      <c r="N804" s="55"/>
      <c r="O804" s="56"/>
      <c r="P804" s="19" t="s">
        <v>49</v>
      </c>
      <c r="Q804" s="57" t="s">
        <v>524</v>
      </c>
      <c r="R804" s="38">
        <v>46002</v>
      </c>
      <c r="S804" s="20">
        <v>12</v>
      </c>
      <c r="T804" s="20" t="s">
        <v>0</v>
      </c>
      <c r="U804" s="18">
        <v>953758370</v>
      </c>
      <c r="V804" s="19"/>
      <c r="W804" s="20">
        <v>2025</v>
      </c>
      <c r="X804" s="20" t="s">
        <v>0</v>
      </c>
      <c r="Y804" s="58" t="s">
        <v>394</v>
      </c>
    </row>
    <row r="805" spans="1:26" ht="14.25" customHeight="1" x14ac:dyDescent="0.3">
      <c r="A805" s="17">
        <f t="shared" si="22"/>
        <v>804</v>
      </c>
      <c r="B805" s="30">
        <v>41397048</v>
      </c>
      <c r="C805" s="19" t="s">
        <v>968</v>
      </c>
      <c r="D805" s="18">
        <v>99709814</v>
      </c>
      <c r="E805" s="18">
        <v>83336677</v>
      </c>
      <c r="F805" s="18" t="s">
        <v>333</v>
      </c>
      <c r="G805" s="18" t="s">
        <v>724</v>
      </c>
      <c r="H805" s="18">
        <v>84</v>
      </c>
      <c r="I805" s="18">
        <v>4</v>
      </c>
      <c r="J805" s="19" t="s">
        <v>529</v>
      </c>
      <c r="K805" s="21" t="s">
        <v>64</v>
      </c>
      <c r="L805" s="38"/>
      <c r="M805" s="54"/>
      <c r="N805" s="55"/>
      <c r="O805" s="56"/>
      <c r="P805" s="19" t="s">
        <v>49</v>
      </c>
      <c r="Q805" s="57" t="s">
        <v>518</v>
      </c>
      <c r="R805" s="38">
        <v>46003</v>
      </c>
      <c r="S805" s="20">
        <v>12</v>
      </c>
      <c r="T805" s="20" t="s">
        <v>0</v>
      </c>
      <c r="U805" s="18">
        <v>945582375</v>
      </c>
      <c r="V805" s="19"/>
      <c r="W805" s="20">
        <v>2025</v>
      </c>
      <c r="X805" s="20" t="s">
        <v>0</v>
      </c>
      <c r="Y805" s="58" t="s">
        <v>393</v>
      </c>
    </row>
    <row r="806" spans="1:26" ht="14.25" customHeight="1" x14ac:dyDescent="0.3">
      <c r="A806" s="17">
        <f t="shared" si="22"/>
        <v>805</v>
      </c>
      <c r="B806" s="30">
        <v>20608384473</v>
      </c>
      <c r="C806" s="19" t="s">
        <v>954</v>
      </c>
      <c r="D806" s="18">
        <v>99717559</v>
      </c>
      <c r="E806" s="18">
        <v>83340694</v>
      </c>
      <c r="F806" s="18" t="s">
        <v>334</v>
      </c>
      <c r="G806" s="18" t="s">
        <v>724</v>
      </c>
      <c r="H806" s="18">
        <v>84</v>
      </c>
      <c r="I806" s="18">
        <v>8</v>
      </c>
      <c r="J806" s="19" t="s">
        <v>626</v>
      </c>
      <c r="K806" s="21" t="s">
        <v>64</v>
      </c>
      <c r="L806" s="38"/>
      <c r="M806" s="54"/>
      <c r="N806" s="55"/>
      <c r="O806" s="56"/>
      <c r="P806" s="19" t="s">
        <v>49</v>
      </c>
      <c r="Q806" s="57" t="s">
        <v>922</v>
      </c>
      <c r="R806" s="38">
        <v>46003</v>
      </c>
      <c r="S806" s="20">
        <v>12</v>
      </c>
      <c r="T806" s="20" t="s">
        <v>0</v>
      </c>
      <c r="U806" s="18">
        <v>943876958</v>
      </c>
      <c r="V806" s="19"/>
      <c r="W806" s="20">
        <v>2025</v>
      </c>
      <c r="X806" s="20" t="s">
        <v>0</v>
      </c>
      <c r="Y806" s="58" t="s">
        <v>396</v>
      </c>
    </row>
    <row r="807" spans="1:26" ht="14.25" customHeight="1" x14ac:dyDescent="0.3">
      <c r="A807" s="17">
        <f t="shared" si="22"/>
        <v>806</v>
      </c>
      <c r="B807" s="30">
        <v>42987744</v>
      </c>
      <c r="C807" s="19" t="s">
        <v>971</v>
      </c>
      <c r="D807" s="18">
        <v>99732791</v>
      </c>
      <c r="E807" s="18">
        <v>83353613</v>
      </c>
      <c r="F807" s="18" t="s">
        <v>333</v>
      </c>
      <c r="G807" s="18" t="s">
        <v>724</v>
      </c>
      <c r="H807" s="18">
        <v>84</v>
      </c>
      <c r="I807" s="18">
        <v>9</v>
      </c>
      <c r="J807" s="19" t="s">
        <v>529</v>
      </c>
      <c r="K807" s="21" t="s">
        <v>64</v>
      </c>
      <c r="L807" s="38"/>
      <c r="M807" s="54"/>
      <c r="N807" s="55"/>
      <c r="O807" s="56"/>
      <c r="P807" s="19" t="s">
        <v>49</v>
      </c>
      <c r="Q807" s="57" t="s">
        <v>770</v>
      </c>
      <c r="R807" s="38">
        <v>46004</v>
      </c>
      <c r="S807" s="20">
        <v>12</v>
      </c>
      <c r="T807" s="20" t="s">
        <v>0</v>
      </c>
      <c r="U807" s="18">
        <v>999596431</v>
      </c>
      <c r="V807" s="19"/>
      <c r="W807" s="20">
        <v>2025</v>
      </c>
      <c r="X807" s="20" t="s">
        <v>0</v>
      </c>
      <c r="Y807" s="58" t="s">
        <v>397</v>
      </c>
    </row>
    <row r="808" spans="1:26" ht="14.25" customHeight="1" x14ac:dyDescent="0.3">
      <c r="A808" s="17">
        <f t="shared" si="22"/>
        <v>807</v>
      </c>
      <c r="B808" s="30">
        <v>70513638</v>
      </c>
      <c r="C808" s="19" t="s">
        <v>959</v>
      </c>
      <c r="D808" s="18">
        <v>99660408</v>
      </c>
      <c r="E808" s="18">
        <v>83267522</v>
      </c>
      <c r="F808" s="18" t="s">
        <v>333</v>
      </c>
      <c r="G808" s="18" t="s">
        <v>724</v>
      </c>
      <c r="H808" s="18">
        <v>84</v>
      </c>
      <c r="I808" s="18">
        <v>1</v>
      </c>
      <c r="J808" s="19" t="s">
        <v>529</v>
      </c>
      <c r="K808" s="21" t="s">
        <v>64</v>
      </c>
      <c r="L808" s="38"/>
      <c r="M808" s="54"/>
      <c r="N808" s="55"/>
      <c r="O808" s="56"/>
      <c r="P808" s="19" t="s">
        <v>49</v>
      </c>
      <c r="Q808" s="57" t="s">
        <v>671</v>
      </c>
      <c r="R808" s="38">
        <v>46004</v>
      </c>
      <c r="S808" s="20">
        <v>12</v>
      </c>
      <c r="T808" s="20" t="s">
        <v>0</v>
      </c>
      <c r="U808" s="18">
        <v>966116011</v>
      </c>
      <c r="V808" s="19"/>
      <c r="W808" s="20">
        <v>2025</v>
      </c>
      <c r="X808" s="20" t="s">
        <v>0</v>
      </c>
      <c r="Y808" s="58" t="s">
        <v>402</v>
      </c>
    </row>
    <row r="809" spans="1:26" ht="14.25" customHeight="1" x14ac:dyDescent="0.3">
      <c r="A809" s="17">
        <f t="shared" si="22"/>
        <v>808</v>
      </c>
      <c r="B809" s="30">
        <v>10256034927</v>
      </c>
      <c r="C809" s="19" t="s">
        <v>975</v>
      </c>
      <c r="D809" s="18">
        <v>99777971</v>
      </c>
      <c r="E809" s="18">
        <v>83391483</v>
      </c>
      <c r="F809" s="18" t="s">
        <v>333</v>
      </c>
      <c r="G809" s="18" t="s">
        <v>724</v>
      </c>
      <c r="H809" s="18">
        <v>84</v>
      </c>
      <c r="I809" s="18">
        <v>7</v>
      </c>
      <c r="J809" s="19" t="s">
        <v>372</v>
      </c>
      <c r="K809" s="21" t="s">
        <v>64</v>
      </c>
      <c r="L809" s="38"/>
      <c r="M809" s="54"/>
      <c r="N809" s="55"/>
      <c r="O809" s="56"/>
      <c r="P809" s="19" t="s">
        <v>49</v>
      </c>
      <c r="Q809" s="57" t="s">
        <v>879</v>
      </c>
      <c r="R809" s="38">
        <v>46006</v>
      </c>
      <c r="S809" s="20">
        <v>12</v>
      </c>
      <c r="T809" s="20" t="s">
        <v>0</v>
      </c>
      <c r="U809" s="18">
        <v>945895734</v>
      </c>
      <c r="V809" s="19"/>
      <c r="W809" s="20">
        <v>2025</v>
      </c>
      <c r="X809" s="20" t="s">
        <v>0</v>
      </c>
      <c r="Y809" s="58" t="s">
        <v>397</v>
      </c>
    </row>
    <row r="810" spans="1:26" ht="14.25" customHeight="1" x14ac:dyDescent="0.3">
      <c r="A810" s="17">
        <f t="shared" si="22"/>
        <v>809</v>
      </c>
      <c r="B810" s="30">
        <v>41397048</v>
      </c>
      <c r="C810" s="19" t="s">
        <v>968</v>
      </c>
      <c r="D810" s="18">
        <v>99709814</v>
      </c>
      <c r="E810" s="18">
        <v>83336677</v>
      </c>
      <c r="F810" s="18" t="s">
        <v>333</v>
      </c>
      <c r="G810" s="18" t="s">
        <v>724</v>
      </c>
      <c r="H810" s="18">
        <v>84</v>
      </c>
      <c r="I810" s="18">
        <v>4</v>
      </c>
      <c r="J810" s="19" t="s">
        <v>373</v>
      </c>
      <c r="K810" s="21" t="s">
        <v>64</v>
      </c>
      <c r="L810" s="38"/>
      <c r="M810" s="54"/>
      <c r="N810" s="55"/>
      <c r="O810" s="56"/>
      <c r="P810" s="19" t="s">
        <v>49</v>
      </c>
      <c r="Q810" s="57" t="s">
        <v>518</v>
      </c>
      <c r="R810" s="38">
        <v>46006</v>
      </c>
      <c r="S810" s="20">
        <v>12</v>
      </c>
      <c r="T810" s="20" t="s">
        <v>0</v>
      </c>
      <c r="U810" s="18">
        <v>945582375</v>
      </c>
      <c r="V810" s="19"/>
      <c r="W810" s="20">
        <v>2025</v>
      </c>
      <c r="X810" s="20" t="s">
        <v>0</v>
      </c>
      <c r="Y810" s="58" t="s">
        <v>393</v>
      </c>
    </row>
    <row r="811" spans="1:26" ht="14.25" customHeight="1" x14ac:dyDescent="0.3">
      <c r="A811" s="17">
        <f t="shared" si="22"/>
        <v>810</v>
      </c>
      <c r="B811" s="30">
        <v>41988493</v>
      </c>
      <c r="C811" s="19" t="s">
        <v>950</v>
      </c>
      <c r="D811" s="18">
        <v>99631510</v>
      </c>
      <c r="E811" s="18">
        <v>83230769</v>
      </c>
      <c r="F811" s="18" t="s">
        <v>333</v>
      </c>
      <c r="G811" s="18" t="s">
        <v>724</v>
      </c>
      <c r="H811" s="18">
        <v>84</v>
      </c>
      <c r="I811" s="18">
        <v>3</v>
      </c>
      <c r="J811" s="19"/>
      <c r="K811" s="21" t="s">
        <v>64</v>
      </c>
      <c r="L811" s="38"/>
      <c r="M811" s="54"/>
      <c r="N811" s="55"/>
      <c r="O811" s="56"/>
      <c r="P811" s="19" t="s">
        <v>49</v>
      </c>
      <c r="Q811" s="57" t="s">
        <v>879</v>
      </c>
      <c r="R811" s="38">
        <v>46000</v>
      </c>
      <c r="S811" s="20">
        <v>12</v>
      </c>
      <c r="T811" s="20" t="s">
        <v>0</v>
      </c>
      <c r="U811" s="18">
        <v>950821261</v>
      </c>
      <c r="V811" s="19"/>
      <c r="W811" s="20">
        <v>2025</v>
      </c>
      <c r="X811" s="20" t="s">
        <v>0</v>
      </c>
      <c r="Y811" s="58" t="s">
        <v>404</v>
      </c>
      <c r="Z811" t="s">
        <v>537</v>
      </c>
    </row>
    <row r="812" spans="1:26" ht="14.25" customHeight="1" x14ac:dyDescent="0.3">
      <c r="A812" s="17">
        <f t="shared" si="22"/>
        <v>811</v>
      </c>
      <c r="B812" s="30">
        <v>44722602</v>
      </c>
      <c r="C812" s="19" t="s">
        <v>967</v>
      </c>
      <c r="D812" s="18">
        <v>99709005</v>
      </c>
      <c r="E812" s="18">
        <v>83336380</v>
      </c>
      <c r="F812" s="18" t="s">
        <v>333</v>
      </c>
      <c r="G812" s="18" t="s">
        <v>724</v>
      </c>
      <c r="H812" s="18">
        <v>84</v>
      </c>
      <c r="I812" s="18">
        <v>8</v>
      </c>
      <c r="J812" s="19" t="s">
        <v>529</v>
      </c>
      <c r="K812" s="21" t="s">
        <v>64</v>
      </c>
      <c r="L812" s="38"/>
      <c r="M812" s="54"/>
      <c r="N812" s="55"/>
      <c r="O812" s="56"/>
      <c r="P812" s="19" t="s">
        <v>49</v>
      </c>
      <c r="Q812" s="57" t="s">
        <v>879</v>
      </c>
      <c r="R812" s="38">
        <v>46003</v>
      </c>
      <c r="S812" s="20">
        <v>12</v>
      </c>
      <c r="T812" s="20" t="s">
        <v>0</v>
      </c>
      <c r="U812" s="18">
        <v>980414564</v>
      </c>
      <c r="V812" s="19"/>
      <c r="W812" s="20">
        <v>2025</v>
      </c>
      <c r="X812" s="20" t="s">
        <v>0</v>
      </c>
      <c r="Y812" s="58" t="s">
        <v>409</v>
      </c>
      <c r="Z812" t="s">
        <v>537</v>
      </c>
    </row>
    <row r="813" spans="1:26" ht="14.25" customHeight="1" x14ac:dyDescent="0.3">
      <c r="A813" s="17">
        <f t="shared" si="22"/>
        <v>812</v>
      </c>
      <c r="B813" s="30">
        <v>70141166</v>
      </c>
      <c r="C813" s="19" t="s">
        <v>970</v>
      </c>
      <c r="D813" s="18">
        <v>99714401</v>
      </c>
      <c r="E813" s="18">
        <v>83339068</v>
      </c>
      <c r="F813" s="18" t="s">
        <v>333</v>
      </c>
      <c r="G813" s="18" t="s">
        <v>724</v>
      </c>
      <c r="H813" s="18">
        <v>84</v>
      </c>
      <c r="I813" s="18">
        <v>8</v>
      </c>
      <c r="J813" s="19" t="s">
        <v>529</v>
      </c>
      <c r="K813" s="21" t="s">
        <v>64</v>
      </c>
      <c r="L813" s="38"/>
      <c r="M813" s="54"/>
      <c r="N813" s="55"/>
      <c r="O813" s="56"/>
      <c r="P813" s="19" t="s">
        <v>49</v>
      </c>
      <c r="Q813" s="57" t="s">
        <v>518</v>
      </c>
      <c r="R813" s="38">
        <v>46003</v>
      </c>
      <c r="S813" s="20">
        <v>12</v>
      </c>
      <c r="T813" s="20" t="s">
        <v>0</v>
      </c>
      <c r="U813" s="18">
        <v>950074537</v>
      </c>
      <c r="V813" s="19"/>
      <c r="W813" s="20">
        <v>2025</v>
      </c>
      <c r="X813" s="20" t="s">
        <v>0</v>
      </c>
      <c r="Y813" s="58" t="s">
        <v>404</v>
      </c>
      <c r="Z813" t="s">
        <v>537</v>
      </c>
    </row>
    <row r="814" spans="1:26" ht="14.25" customHeight="1" x14ac:dyDescent="0.3">
      <c r="A814" s="17">
        <f t="shared" si="22"/>
        <v>813</v>
      </c>
      <c r="B814" s="30">
        <v>41618843</v>
      </c>
      <c r="C814" s="19" t="s">
        <v>973</v>
      </c>
      <c r="D814" s="18">
        <v>99731668</v>
      </c>
      <c r="E814" s="18">
        <v>83353185</v>
      </c>
      <c r="F814" s="18" t="s">
        <v>334</v>
      </c>
      <c r="G814" s="18" t="s">
        <v>724</v>
      </c>
      <c r="H814" s="18">
        <v>84</v>
      </c>
      <c r="I814" s="18">
        <v>10</v>
      </c>
      <c r="J814" s="19" t="s">
        <v>541</v>
      </c>
      <c r="K814" s="21" t="s">
        <v>64</v>
      </c>
      <c r="L814" s="38"/>
      <c r="M814" s="54"/>
      <c r="N814" s="55"/>
      <c r="O814" s="56"/>
      <c r="P814" s="19" t="s">
        <v>49</v>
      </c>
      <c r="Q814" s="57" t="s">
        <v>671</v>
      </c>
      <c r="R814" s="38">
        <v>46004</v>
      </c>
      <c r="S814" s="20">
        <v>12</v>
      </c>
      <c r="T814" s="20" t="s">
        <v>0</v>
      </c>
      <c r="U814" s="18">
        <v>979944566</v>
      </c>
      <c r="V814" s="19"/>
      <c r="W814" s="20">
        <v>2025</v>
      </c>
      <c r="X814" s="20" t="s">
        <v>0</v>
      </c>
      <c r="Y814" s="58" t="s">
        <v>402</v>
      </c>
      <c r="Z814" t="s">
        <v>537</v>
      </c>
    </row>
    <row r="815" spans="1:26" ht="14.25" customHeight="1" x14ac:dyDescent="0.3">
      <c r="A815" s="17">
        <f t="shared" si="22"/>
        <v>814</v>
      </c>
      <c r="B815" s="30">
        <v>42615011</v>
      </c>
      <c r="C815" s="19" t="s">
        <v>974</v>
      </c>
      <c r="D815" s="18">
        <v>99770969</v>
      </c>
      <c r="E815" s="18">
        <v>83387818</v>
      </c>
      <c r="F815" s="18" t="s">
        <v>333</v>
      </c>
      <c r="G815" s="18" t="s">
        <v>724</v>
      </c>
      <c r="H815" s="18">
        <v>84</v>
      </c>
      <c r="I815" s="18">
        <v>4</v>
      </c>
      <c r="J815" s="19" t="s">
        <v>529</v>
      </c>
      <c r="K815" s="36" t="s">
        <v>64</v>
      </c>
      <c r="L815" s="38"/>
      <c r="M815" s="54"/>
      <c r="N815" s="55"/>
      <c r="O815" s="56"/>
      <c r="P815" s="19" t="s">
        <v>49</v>
      </c>
      <c r="Q815" s="57" t="s">
        <v>922</v>
      </c>
      <c r="R815" s="38">
        <v>46006</v>
      </c>
      <c r="S815" s="20">
        <v>12</v>
      </c>
      <c r="T815" s="20" t="s">
        <v>0</v>
      </c>
      <c r="U815" s="18">
        <v>939429094</v>
      </c>
      <c r="V815" s="19"/>
      <c r="W815" s="20">
        <v>2025</v>
      </c>
      <c r="X815" s="20" t="s">
        <v>0</v>
      </c>
      <c r="Y815" s="58" t="s">
        <v>400</v>
      </c>
      <c r="Z815" t="s">
        <v>538</v>
      </c>
    </row>
    <row r="816" spans="1:26" ht="14.25" customHeight="1" x14ac:dyDescent="0.3">
      <c r="A816" s="17">
        <f t="shared" si="22"/>
        <v>815</v>
      </c>
      <c r="B816" s="30">
        <v>20052011</v>
      </c>
      <c r="C816" s="19" t="s">
        <v>976</v>
      </c>
      <c r="D816" s="18" t="s">
        <v>977</v>
      </c>
      <c r="E816" s="18">
        <v>83393032</v>
      </c>
      <c r="F816" s="18" t="s">
        <v>333</v>
      </c>
      <c r="G816" s="18" t="s">
        <v>724</v>
      </c>
      <c r="H816" s="18">
        <v>84</v>
      </c>
      <c r="I816" s="18">
        <v>3</v>
      </c>
      <c r="J816" s="19" t="s">
        <v>604</v>
      </c>
      <c r="K816" s="21" t="s">
        <v>64</v>
      </c>
      <c r="L816" s="38"/>
      <c r="M816" s="54"/>
      <c r="N816" s="55"/>
      <c r="O816" s="56"/>
      <c r="P816" s="19" t="s">
        <v>49</v>
      </c>
      <c r="Q816" s="57" t="s">
        <v>922</v>
      </c>
      <c r="R816" s="38">
        <v>46006</v>
      </c>
      <c r="S816" s="20">
        <v>12</v>
      </c>
      <c r="T816" s="20" t="s">
        <v>0</v>
      </c>
      <c r="U816" s="18">
        <v>999132013</v>
      </c>
      <c r="V816" s="19"/>
      <c r="W816" s="20">
        <v>2025</v>
      </c>
      <c r="X816" s="20" t="s">
        <v>0</v>
      </c>
      <c r="Y816" s="58" t="s">
        <v>407</v>
      </c>
      <c r="Z816" t="s">
        <v>538</v>
      </c>
    </row>
    <row r="817" spans="1:26" ht="14.25" customHeight="1" x14ac:dyDescent="0.3">
      <c r="A817" s="17">
        <f t="shared" si="22"/>
        <v>816</v>
      </c>
      <c r="B817" s="30">
        <v>18159533</v>
      </c>
      <c r="C817" s="19" t="s">
        <v>978</v>
      </c>
      <c r="D817" s="18">
        <v>99780647</v>
      </c>
      <c r="E817" s="18">
        <v>83392886</v>
      </c>
      <c r="F817" s="18" t="s">
        <v>333</v>
      </c>
      <c r="G817" s="18" t="s">
        <v>337</v>
      </c>
      <c r="H817" s="18">
        <v>170</v>
      </c>
      <c r="I817" s="18">
        <v>8</v>
      </c>
      <c r="J817" s="19" t="s">
        <v>529</v>
      </c>
      <c r="K817" s="21" t="s">
        <v>64</v>
      </c>
      <c r="L817" s="38"/>
      <c r="M817" s="54"/>
      <c r="N817" s="55"/>
      <c r="O817" s="56"/>
      <c r="P817" s="19" t="s">
        <v>49</v>
      </c>
      <c r="Q817" s="57" t="s">
        <v>922</v>
      </c>
      <c r="R817" s="38">
        <v>46006</v>
      </c>
      <c r="S817" s="20">
        <v>12</v>
      </c>
      <c r="T817" s="20" t="s">
        <v>0</v>
      </c>
      <c r="U817" s="18">
        <v>958408812</v>
      </c>
      <c r="V817" s="19"/>
      <c r="W817" s="20">
        <v>2025</v>
      </c>
      <c r="X817" s="20" t="s">
        <v>0</v>
      </c>
      <c r="Y817" s="58" t="s">
        <v>396</v>
      </c>
      <c r="Z817" t="s">
        <v>538</v>
      </c>
    </row>
    <row r="818" spans="1:26" ht="14.25" customHeight="1" x14ac:dyDescent="0.3">
      <c r="A818" s="17">
        <f t="shared" si="22"/>
        <v>817</v>
      </c>
      <c r="B818" s="30">
        <v>43833194</v>
      </c>
      <c r="C818" s="19" t="s">
        <v>965</v>
      </c>
      <c r="D818" s="18">
        <v>99779035</v>
      </c>
      <c r="E818" s="18">
        <v>83392103</v>
      </c>
      <c r="F818" s="18" t="s">
        <v>333</v>
      </c>
      <c r="G818" s="18" t="s">
        <v>724</v>
      </c>
      <c r="H818" s="18">
        <v>84</v>
      </c>
      <c r="I818" s="18">
        <v>5</v>
      </c>
      <c r="J818" s="19" t="s">
        <v>529</v>
      </c>
      <c r="K818" s="36" t="s">
        <v>64</v>
      </c>
      <c r="L818" s="38"/>
      <c r="M818" s="54"/>
      <c r="N818" s="55"/>
      <c r="O818" s="56"/>
      <c r="P818" s="19" t="s">
        <v>49</v>
      </c>
      <c r="Q818" s="57" t="s">
        <v>524</v>
      </c>
      <c r="R818" s="38">
        <v>46006</v>
      </c>
      <c r="S818" s="20">
        <v>12</v>
      </c>
      <c r="T818" s="20" t="s">
        <v>0</v>
      </c>
      <c r="U818" s="18">
        <v>953758370</v>
      </c>
      <c r="V818" s="19"/>
      <c r="W818" s="20">
        <v>2025</v>
      </c>
      <c r="X818" s="20" t="s">
        <v>0</v>
      </c>
      <c r="Y818" s="58" t="s">
        <v>394</v>
      </c>
      <c r="Z818" t="s">
        <v>537</v>
      </c>
    </row>
    <row r="819" spans="1:26" ht="14.25" customHeight="1" x14ac:dyDescent="0.3">
      <c r="A819" s="17">
        <f t="shared" si="22"/>
        <v>818</v>
      </c>
      <c r="B819" s="30">
        <v>43643051</v>
      </c>
      <c r="C819" s="19" t="s">
        <v>979</v>
      </c>
      <c r="D819" s="18">
        <v>99791730</v>
      </c>
      <c r="E819" s="18">
        <v>83399757</v>
      </c>
      <c r="F819" s="18" t="s">
        <v>333</v>
      </c>
      <c r="G819" s="18" t="s">
        <v>724</v>
      </c>
      <c r="H819" s="18">
        <v>84</v>
      </c>
      <c r="I819" s="18">
        <v>1</v>
      </c>
      <c r="J819" s="19" t="s">
        <v>529</v>
      </c>
      <c r="K819" s="21" t="s">
        <v>64</v>
      </c>
      <c r="L819" s="38"/>
      <c r="M819" s="54"/>
      <c r="N819" s="55"/>
      <c r="O819" s="56"/>
      <c r="P819" s="19" t="s">
        <v>49</v>
      </c>
      <c r="Q819" s="57" t="s">
        <v>725</v>
      </c>
      <c r="R819" s="38">
        <v>46006</v>
      </c>
      <c r="S819" s="20">
        <v>12</v>
      </c>
      <c r="T819" s="20" t="s">
        <v>0</v>
      </c>
      <c r="U819" s="18">
        <v>928628208</v>
      </c>
      <c r="V819" s="19"/>
      <c r="W819" s="20">
        <v>2025</v>
      </c>
      <c r="X819" s="20" t="s">
        <v>0</v>
      </c>
      <c r="Y819" s="58" t="s">
        <v>396</v>
      </c>
      <c r="Z819" t="s">
        <v>538</v>
      </c>
    </row>
    <row r="820" spans="1:26" ht="14.25" customHeight="1" x14ac:dyDescent="0.3">
      <c r="A820" s="17">
        <f t="shared" si="22"/>
        <v>819</v>
      </c>
      <c r="B820" s="30">
        <v>70213804</v>
      </c>
      <c r="C820" s="19" t="s">
        <v>980</v>
      </c>
      <c r="D820" s="18">
        <v>99801636</v>
      </c>
      <c r="E820" s="18">
        <v>83424235</v>
      </c>
      <c r="F820" s="18" t="s">
        <v>333</v>
      </c>
      <c r="G820" s="18" t="s">
        <v>724</v>
      </c>
      <c r="H820" s="18">
        <v>84</v>
      </c>
      <c r="I820" s="18">
        <v>10</v>
      </c>
      <c r="J820" s="19" t="s">
        <v>373</v>
      </c>
      <c r="K820" s="21" t="s">
        <v>64</v>
      </c>
      <c r="L820" s="38"/>
      <c r="M820" s="54"/>
      <c r="N820" s="55"/>
      <c r="O820" s="56"/>
      <c r="P820" s="19" t="s">
        <v>49</v>
      </c>
      <c r="Q820" s="57" t="s">
        <v>771</v>
      </c>
      <c r="R820" s="38">
        <v>46007</v>
      </c>
      <c r="S820" s="20">
        <v>12</v>
      </c>
      <c r="T820" s="20" t="s">
        <v>0</v>
      </c>
      <c r="U820" s="18">
        <v>976190090</v>
      </c>
      <c r="V820" s="19"/>
      <c r="W820" s="20">
        <v>2025</v>
      </c>
      <c r="X820" s="20" t="s">
        <v>0</v>
      </c>
      <c r="Y820" s="58" t="s">
        <v>401</v>
      </c>
      <c r="Z820" t="s">
        <v>538</v>
      </c>
    </row>
    <row r="821" spans="1:26" ht="14.25" customHeight="1" x14ac:dyDescent="0.3">
      <c r="A821" s="17">
        <f t="shared" si="22"/>
        <v>820</v>
      </c>
      <c r="B821" s="30">
        <v>70562745</v>
      </c>
      <c r="C821" s="19" t="s">
        <v>981</v>
      </c>
      <c r="D821" s="18" t="s">
        <v>982</v>
      </c>
      <c r="E821" s="18">
        <v>83423664</v>
      </c>
      <c r="F821" s="18" t="s">
        <v>333</v>
      </c>
      <c r="G821" s="18" t="s">
        <v>724</v>
      </c>
      <c r="H821" s="18">
        <v>84</v>
      </c>
      <c r="I821" s="18">
        <v>2</v>
      </c>
      <c r="J821" s="19" t="s">
        <v>529</v>
      </c>
      <c r="K821" s="36" t="s">
        <v>64</v>
      </c>
      <c r="L821" s="38"/>
      <c r="M821" s="54"/>
      <c r="N821" s="55"/>
      <c r="O821" s="56"/>
      <c r="P821" s="19" t="s">
        <v>49</v>
      </c>
      <c r="Q821" s="57" t="s">
        <v>922</v>
      </c>
      <c r="R821" s="38">
        <v>46007</v>
      </c>
      <c r="S821" s="20">
        <v>12</v>
      </c>
      <c r="T821" s="20" t="s">
        <v>0</v>
      </c>
      <c r="U821" s="18">
        <v>945346675</v>
      </c>
      <c r="V821" s="19"/>
      <c r="W821" s="20">
        <v>2025</v>
      </c>
      <c r="X821" s="20" t="s">
        <v>0</v>
      </c>
      <c r="Y821" s="58" t="s">
        <v>394</v>
      </c>
      <c r="Z821" t="s">
        <v>538</v>
      </c>
    </row>
    <row r="822" spans="1:26" ht="14.25" customHeight="1" x14ac:dyDescent="0.3">
      <c r="A822" s="17">
        <f t="shared" si="22"/>
        <v>821</v>
      </c>
      <c r="B822" s="30">
        <v>20019148</v>
      </c>
      <c r="C822" s="19" t="s">
        <v>983</v>
      </c>
      <c r="D822" s="18">
        <v>99808989</v>
      </c>
      <c r="E822" s="18">
        <v>83428213</v>
      </c>
      <c r="F822" s="18" t="s">
        <v>333</v>
      </c>
      <c r="G822" s="18" t="s">
        <v>724</v>
      </c>
      <c r="H822" s="18">
        <v>84</v>
      </c>
      <c r="I822" s="18">
        <v>8</v>
      </c>
      <c r="J822" s="19" t="s">
        <v>483</v>
      </c>
      <c r="K822" s="36" t="s">
        <v>64</v>
      </c>
      <c r="L822" s="38"/>
      <c r="M822" s="54"/>
      <c r="N822" s="55"/>
      <c r="O822" s="56"/>
      <c r="P822" s="19" t="s">
        <v>49</v>
      </c>
      <c r="Q822" s="57" t="s">
        <v>770</v>
      </c>
      <c r="R822" s="38">
        <v>46007</v>
      </c>
      <c r="S822" s="20">
        <v>12</v>
      </c>
      <c r="T822" s="20" t="s">
        <v>0</v>
      </c>
      <c r="U822" s="18">
        <v>945075184</v>
      </c>
      <c r="V822" s="19"/>
      <c r="W822" s="20">
        <v>2025</v>
      </c>
      <c r="X822" s="20" t="s">
        <v>0</v>
      </c>
      <c r="Y822" s="58" t="s">
        <v>398</v>
      </c>
      <c r="Z822" t="s">
        <v>538</v>
      </c>
    </row>
    <row r="823" spans="1:26" ht="14.25" customHeight="1" x14ac:dyDescent="0.3">
      <c r="A823" s="17">
        <f t="shared" si="22"/>
        <v>822</v>
      </c>
      <c r="B823" s="30">
        <v>429097</v>
      </c>
      <c r="C823" s="19" t="s">
        <v>985</v>
      </c>
      <c r="D823" s="18">
        <v>99808766</v>
      </c>
      <c r="E823" s="18">
        <v>83426025</v>
      </c>
      <c r="F823" s="18" t="s">
        <v>333</v>
      </c>
      <c r="G823" s="18" t="s">
        <v>724</v>
      </c>
      <c r="H823" s="18">
        <v>84</v>
      </c>
      <c r="I823" s="18">
        <v>9</v>
      </c>
      <c r="J823" s="19" t="s">
        <v>373</v>
      </c>
      <c r="K823" s="36" t="s">
        <v>64</v>
      </c>
      <c r="L823" s="38"/>
      <c r="M823" s="54"/>
      <c r="N823" s="55"/>
      <c r="O823" s="56"/>
      <c r="P823" s="19" t="s">
        <v>49</v>
      </c>
      <c r="Q823" s="57" t="s">
        <v>879</v>
      </c>
      <c r="R823" s="38">
        <v>46007</v>
      </c>
      <c r="S823" s="20">
        <v>12</v>
      </c>
      <c r="T823" s="20" t="s">
        <v>0</v>
      </c>
      <c r="U823" s="18">
        <v>952659131</v>
      </c>
      <c r="V823" s="19"/>
      <c r="W823" s="20">
        <v>2025</v>
      </c>
      <c r="X823" s="20" t="s">
        <v>0</v>
      </c>
      <c r="Y823" s="58" t="s">
        <v>402</v>
      </c>
      <c r="Z823" t="s">
        <v>537</v>
      </c>
    </row>
    <row r="824" spans="1:26" ht="14.25" customHeight="1" x14ac:dyDescent="0.3">
      <c r="A824" s="17">
        <f t="shared" si="22"/>
        <v>823</v>
      </c>
      <c r="B824" s="30">
        <v>73189901</v>
      </c>
      <c r="C824" s="19" t="s">
        <v>986</v>
      </c>
      <c r="D824" s="18">
        <v>99829405</v>
      </c>
      <c r="E824" s="18">
        <v>83444939</v>
      </c>
      <c r="F824" s="18" t="s">
        <v>333</v>
      </c>
      <c r="G824" s="18" t="s">
        <v>724</v>
      </c>
      <c r="H824" s="18">
        <v>84</v>
      </c>
      <c r="I824" s="18">
        <v>10</v>
      </c>
      <c r="J824" s="19" t="s">
        <v>373</v>
      </c>
      <c r="K824" s="21" t="s">
        <v>64</v>
      </c>
      <c r="L824" s="38"/>
      <c r="M824" s="54"/>
      <c r="N824" s="55"/>
      <c r="O824" s="56"/>
      <c r="P824" s="19" t="s">
        <v>49</v>
      </c>
      <c r="Q824" s="57" t="s">
        <v>518</v>
      </c>
      <c r="R824" s="38">
        <v>46008</v>
      </c>
      <c r="S824" s="20">
        <v>12</v>
      </c>
      <c r="T824" s="20" t="s">
        <v>0</v>
      </c>
      <c r="U824" s="18">
        <v>947543819</v>
      </c>
      <c r="V824" s="19"/>
      <c r="W824" s="20">
        <v>2025</v>
      </c>
      <c r="X824" s="20" t="s">
        <v>0</v>
      </c>
      <c r="Y824" s="58" t="s">
        <v>403</v>
      </c>
      <c r="Z824" t="s">
        <v>538</v>
      </c>
    </row>
    <row r="825" spans="1:26" ht="14.25" customHeight="1" x14ac:dyDescent="0.3">
      <c r="A825" s="17">
        <f t="shared" si="22"/>
        <v>824</v>
      </c>
      <c r="B825" s="30">
        <v>43959226</v>
      </c>
      <c r="C825" s="19" t="s">
        <v>987</v>
      </c>
      <c r="D825" s="18">
        <v>99830042</v>
      </c>
      <c r="E825" s="18">
        <v>83445197</v>
      </c>
      <c r="F825" s="18" t="s">
        <v>333</v>
      </c>
      <c r="G825" s="18" t="s">
        <v>724</v>
      </c>
      <c r="H825" s="18">
        <v>84</v>
      </c>
      <c r="I825" s="18">
        <v>10</v>
      </c>
      <c r="J825" s="19" t="s">
        <v>991</v>
      </c>
      <c r="K825" s="21" t="s">
        <v>64</v>
      </c>
      <c r="L825" s="38"/>
      <c r="M825" s="54"/>
      <c r="N825" s="55"/>
      <c r="O825" s="56"/>
      <c r="P825" s="19" t="s">
        <v>49</v>
      </c>
      <c r="Q825" s="57" t="s">
        <v>922</v>
      </c>
      <c r="R825" s="38">
        <v>46008</v>
      </c>
      <c r="S825" s="20">
        <v>12</v>
      </c>
      <c r="T825" s="20" t="s">
        <v>0</v>
      </c>
      <c r="U825" s="18">
        <v>995243968</v>
      </c>
      <c r="V825" s="19"/>
      <c r="W825" s="20">
        <v>2025</v>
      </c>
      <c r="X825" s="20" t="s">
        <v>0</v>
      </c>
      <c r="Y825" s="58" t="s">
        <v>393</v>
      </c>
      <c r="Z825" t="s">
        <v>537</v>
      </c>
    </row>
    <row r="826" spans="1:26" ht="14.25" customHeight="1" x14ac:dyDescent="0.3">
      <c r="A826" s="17">
        <f t="shared" si="22"/>
        <v>825</v>
      </c>
      <c r="B826" s="30">
        <v>21143919</v>
      </c>
      <c r="C826" s="19" t="s">
        <v>988</v>
      </c>
      <c r="D826" s="18">
        <v>99834327</v>
      </c>
      <c r="E826" s="18">
        <v>83447766</v>
      </c>
      <c r="F826" s="18" t="s">
        <v>334</v>
      </c>
      <c r="G826" s="18" t="s">
        <v>724</v>
      </c>
      <c r="H826" s="18">
        <v>84</v>
      </c>
      <c r="I826" s="18">
        <v>10</v>
      </c>
      <c r="J826" s="19" t="s">
        <v>475</v>
      </c>
      <c r="K826" s="21" t="s">
        <v>64</v>
      </c>
      <c r="L826" s="38"/>
      <c r="M826" s="54"/>
      <c r="N826" s="55"/>
      <c r="O826" s="56"/>
      <c r="P826" s="19" t="s">
        <v>49</v>
      </c>
      <c r="Q826" s="57" t="s">
        <v>933</v>
      </c>
      <c r="R826" s="38">
        <v>46008</v>
      </c>
      <c r="S826" s="20">
        <v>12</v>
      </c>
      <c r="T826" s="20" t="s">
        <v>0</v>
      </c>
      <c r="U826" s="18">
        <v>961072084</v>
      </c>
      <c r="V826" s="19"/>
      <c r="W826" s="20">
        <v>2025</v>
      </c>
      <c r="X826" s="20" t="s">
        <v>0</v>
      </c>
      <c r="Y826" s="58" t="s">
        <v>405</v>
      </c>
      <c r="Z826" t="s">
        <v>538</v>
      </c>
    </row>
    <row r="827" spans="1:26" ht="14.25" customHeight="1" x14ac:dyDescent="0.3">
      <c r="A827" s="17">
        <f t="shared" si="22"/>
        <v>826</v>
      </c>
      <c r="B827" s="30">
        <v>29534768</v>
      </c>
      <c r="C827" s="19" t="s">
        <v>989</v>
      </c>
      <c r="D827" s="18">
        <v>99834763</v>
      </c>
      <c r="E827" s="18">
        <v>83447978</v>
      </c>
      <c r="F827" s="18" t="s">
        <v>333</v>
      </c>
      <c r="G827" s="18" t="s">
        <v>337</v>
      </c>
      <c r="H827" s="18">
        <v>170</v>
      </c>
      <c r="I827" s="18">
        <v>5</v>
      </c>
      <c r="J827" s="19" t="s">
        <v>529</v>
      </c>
      <c r="K827" s="21" t="s">
        <v>64</v>
      </c>
      <c r="L827" s="38"/>
      <c r="M827" s="54"/>
      <c r="N827" s="55"/>
      <c r="O827" s="56"/>
      <c r="P827" s="19" t="s">
        <v>49</v>
      </c>
      <c r="Q827" s="57" t="s">
        <v>518</v>
      </c>
      <c r="R827" s="38">
        <v>46008</v>
      </c>
      <c r="S827" s="20">
        <v>12</v>
      </c>
      <c r="T827" s="20" t="s">
        <v>0</v>
      </c>
      <c r="U827" s="18">
        <v>959288814</v>
      </c>
      <c r="V827" s="19"/>
      <c r="W827" s="20">
        <v>2025</v>
      </c>
      <c r="X827" s="20" t="s">
        <v>0</v>
      </c>
      <c r="Y827" s="58" t="s">
        <v>402</v>
      </c>
      <c r="Z827" t="s">
        <v>537</v>
      </c>
    </row>
    <row r="828" spans="1:26" ht="14.25" customHeight="1" x14ac:dyDescent="0.3">
      <c r="A828" s="17">
        <f t="shared" si="22"/>
        <v>827</v>
      </c>
      <c r="B828" s="30">
        <v>73895664</v>
      </c>
      <c r="C828" s="19" t="s">
        <v>992</v>
      </c>
      <c r="D828" s="18">
        <v>99844532</v>
      </c>
      <c r="E828" s="18">
        <v>83452280</v>
      </c>
      <c r="F828" s="18" t="s">
        <v>333</v>
      </c>
      <c r="G828" s="18" t="s">
        <v>724</v>
      </c>
      <c r="H828" s="18">
        <v>84</v>
      </c>
      <c r="I828" s="18">
        <v>5</v>
      </c>
      <c r="J828" s="19" t="s">
        <v>372</v>
      </c>
      <c r="K828" s="21" t="s">
        <v>64</v>
      </c>
      <c r="L828" s="38"/>
      <c r="M828" s="54"/>
      <c r="N828" s="55"/>
      <c r="O828" s="56"/>
      <c r="P828" s="19" t="s">
        <v>49</v>
      </c>
      <c r="Q828" s="57" t="s">
        <v>54</v>
      </c>
      <c r="R828" s="38">
        <v>46008</v>
      </c>
      <c r="S828" s="20">
        <v>12</v>
      </c>
      <c r="T828" s="20" t="s">
        <v>0</v>
      </c>
      <c r="U828" s="18">
        <v>969496690</v>
      </c>
      <c r="V828" s="19"/>
      <c r="W828" s="20">
        <v>2025</v>
      </c>
      <c r="X828" s="20" t="s">
        <v>0</v>
      </c>
      <c r="Y828" s="58" t="s">
        <v>395</v>
      </c>
      <c r="Z828" t="s">
        <v>538</v>
      </c>
    </row>
    <row r="829" spans="1:26" ht="14.25" customHeight="1" x14ac:dyDescent="0.3">
      <c r="A829" s="17">
        <f t="shared" si="22"/>
        <v>828</v>
      </c>
      <c r="B829" s="30">
        <v>41618843</v>
      </c>
      <c r="C829" s="19" t="s">
        <v>973</v>
      </c>
      <c r="D829" s="18">
        <v>99845186</v>
      </c>
      <c r="E829" s="18">
        <v>83452492</v>
      </c>
      <c r="F829" s="18" t="s">
        <v>333</v>
      </c>
      <c r="G829" s="18" t="s">
        <v>724</v>
      </c>
      <c r="H829" s="18">
        <v>84</v>
      </c>
      <c r="I829" s="18">
        <v>10</v>
      </c>
      <c r="J829" s="19" t="s">
        <v>991</v>
      </c>
      <c r="K829" s="21" t="s">
        <v>64</v>
      </c>
      <c r="L829" s="38"/>
      <c r="M829" s="54"/>
      <c r="N829" s="55"/>
      <c r="O829" s="56"/>
      <c r="P829" s="19" t="s">
        <v>49</v>
      </c>
      <c r="Q829" s="57" t="s">
        <v>671</v>
      </c>
      <c r="R829" s="38">
        <v>46008</v>
      </c>
      <c r="S829" s="20">
        <v>12</v>
      </c>
      <c r="T829" s="20" t="s">
        <v>0</v>
      </c>
      <c r="U829" s="18">
        <v>979944566</v>
      </c>
      <c r="V829" s="19"/>
      <c r="W829" s="20">
        <v>2025</v>
      </c>
      <c r="X829" s="20" t="s">
        <v>0</v>
      </c>
      <c r="Y829" s="58" t="s">
        <v>402</v>
      </c>
      <c r="Z829" t="s">
        <v>537</v>
      </c>
    </row>
    <row r="830" spans="1:26" ht="14.25" customHeight="1" x14ac:dyDescent="0.3">
      <c r="A830" s="17">
        <f t="shared" si="22"/>
        <v>829</v>
      </c>
      <c r="B830" s="30">
        <v>44480445</v>
      </c>
      <c r="C830" s="19" t="s">
        <v>993</v>
      </c>
      <c r="D830" s="18">
        <v>99845854</v>
      </c>
      <c r="E830" s="18">
        <v>83453183</v>
      </c>
      <c r="F830" s="18" t="s">
        <v>333</v>
      </c>
      <c r="G830" s="18" t="s">
        <v>774</v>
      </c>
      <c r="H830" s="18">
        <v>185</v>
      </c>
      <c r="I830" s="18">
        <v>10</v>
      </c>
      <c r="J830" s="19" t="s">
        <v>373</v>
      </c>
      <c r="K830" s="21" t="s">
        <v>64</v>
      </c>
      <c r="L830" s="38"/>
      <c r="M830" s="54"/>
      <c r="N830" s="55"/>
      <c r="O830" s="56"/>
      <c r="P830" s="19" t="s">
        <v>49</v>
      </c>
      <c r="Q830" s="57" t="s">
        <v>822</v>
      </c>
      <c r="R830" s="38">
        <v>46008</v>
      </c>
      <c r="S830" s="20">
        <v>12</v>
      </c>
      <c r="T830" s="20" t="s">
        <v>0</v>
      </c>
      <c r="U830" s="18">
        <v>930228857</v>
      </c>
      <c r="V830" s="19"/>
      <c r="W830" s="20">
        <v>2025</v>
      </c>
      <c r="X830" s="20" t="s">
        <v>0</v>
      </c>
      <c r="Y830" s="58" t="s">
        <v>404</v>
      </c>
      <c r="Z830" t="s">
        <v>537</v>
      </c>
    </row>
    <row r="831" spans="1:26" ht="14.25" customHeight="1" x14ac:dyDescent="0.3">
      <c r="A831" s="17">
        <f t="shared" si="22"/>
        <v>830</v>
      </c>
      <c r="B831" s="30">
        <v>43643051</v>
      </c>
      <c r="C831" s="19" t="s">
        <v>979</v>
      </c>
      <c r="D831" s="18">
        <v>99856856</v>
      </c>
      <c r="E831" s="18">
        <v>83473935</v>
      </c>
      <c r="F831" s="18" t="s">
        <v>333</v>
      </c>
      <c r="G831" s="18" t="s">
        <v>724</v>
      </c>
      <c r="H831" s="18">
        <v>84</v>
      </c>
      <c r="I831" s="18">
        <v>1</v>
      </c>
      <c r="J831" s="19" t="s">
        <v>373</v>
      </c>
      <c r="K831" s="21" t="s">
        <v>64</v>
      </c>
      <c r="L831" s="38"/>
      <c r="M831" s="54"/>
      <c r="N831" s="55"/>
      <c r="O831" s="56"/>
      <c r="P831" s="19" t="s">
        <v>49</v>
      </c>
      <c r="Q831" s="57" t="s">
        <v>725</v>
      </c>
      <c r="R831" s="38">
        <v>46009</v>
      </c>
      <c r="S831" s="20">
        <v>12</v>
      </c>
      <c r="T831" s="20" t="s">
        <v>0</v>
      </c>
      <c r="U831" s="18">
        <v>928628208</v>
      </c>
      <c r="V831" s="19"/>
      <c r="W831" s="20">
        <v>2025</v>
      </c>
      <c r="X831" s="20" t="s">
        <v>0</v>
      </c>
      <c r="Y831" s="58" t="s">
        <v>396</v>
      </c>
      <c r="Z831" t="s">
        <v>538</v>
      </c>
    </row>
    <row r="832" spans="1:26" ht="14.25" customHeight="1" x14ac:dyDescent="0.3">
      <c r="A832" s="17">
        <f t="shared" si="22"/>
        <v>831</v>
      </c>
      <c r="B832" s="30">
        <v>21143919</v>
      </c>
      <c r="C832" s="19" t="s">
        <v>988</v>
      </c>
      <c r="D832" s="18">
        <v>99857046</v>
      </c>
      <c r="E832" s="18">
        <v>83474129</v>
      </c>
      <c r="F832" s="18" t="s">
        <v>334</v>
      </c>
      <c r="G832" s="18" t="s">
        <v>724</v>
      </c>
      <c r="H832" s="18">
        <v>84</v>
      </c>
      <c r="I832" s="18">
        <v>10</v>
      </c>
      <c r="J832" s="19" t="s">
        <v>529</v>
      </c>
      <c r="K832" s="21" t="s">
        <v>64</v>
      </c>
      <c r="L832" s="38"/>
      <c r="M832" s="54"/>
      <c r="N832" s="55"/>
      <c r="O832" s="56"/>
      <c r="P832" s="19" t="s">
        <v>49</v>
      </c>
      <c r="Q832" s="57" t="s">
        <v>933</v>
      </c>
      <c r="R832" s="38">
        <v>46009</v>
      </c>
      <c r="S832" s="20">
        <v>12</v>
      </c>
      <c r="T832" s="20" t="s">
        <v>0</v>
      </c>
      <c r="U832" s="18">
        <v>961072084</v>
      </c>
      <c r="V832" s="19"/>
      <c r="W832" s="20">
        <v>2025</v>
      </c>
      <c r="X832" s="20" t="s">
        <v>0</v>
      </c>
      <c r="Y832" s="58" t="s">
        <v>405</v>
      </c>
      <c r="Z832" t="s">
        <v>538</v>
      </c>
    </row>
    <row r="833" spans="1:26" ht="14.25" customHeight="1" x14ac:dyDescent="0.3">
      <c r="A833" s="17">
        <f t="shared" si="22"/>
        <v>832</v>
      </c>
      <c r="B833" s="30">
        <v>2423416</v>
      </c>
      <c r="C833" s="19" t="s">
        <v>994</v>
      </c>
      <c r="D833" s="18">
        <v>99860480</v>
      </c>
      <c r="E833" s="18">
        <v>83476044</v>
      </c>
      <c r="F833" s="18" t="s">
        <v>333</v>
      </c>
      <c r="G833" s="18" t="s">
        <v>724</v>
      </c>
      <c r="H833" s="18">
        <v>84</v>
      </c>
      <c r="I833" s="18">
        <v>10</v>
      </c>
      <c r="J833" s="19" t="s">
        <v>372</v>
      </c>
      <c r="K833" s="21" t="s">
        <v>64</v>
      </c>
      <c r="L833" s="38"/>
      <c r="M833" s="54"/>
      <c r="N833" s="55"/>
      <c r="O833" s="56"/>
      <c r="P833" s="19" t="s">
        <v>49</v>
      </c>
      <c r="Q833" s="57" t="s">
        <v>933</v>
      </c>
      <c r="R833" s="38">
        <v>46009</v>
      </c>
      <c r="S833" s="20">
        <v>12</v>
      </c>
      <c r="T833" s="20" t="s">
        <v>0</v>
      </c>
      <c r="U833" s="18">
        <v>979790013</v>
      </c>
      <c r="V833" s="19"/>
      <c r="W833" s="20">
        <v>2025</v>
      </c>
      <c r="X833" s="20" t="s">
        <v>0</v>
      </c>
      <c r="Y833" s="58" t="s">
        <v>402</v>
      </c>
      <c r="Z833" t="s">
        <v>538</v>
      </c>
    </row>
    <row r="834" spans="1:26" ht="14.25" customHeight="1" x14ac:dyDescent="0.3">
      <c r="A834" s="17">
        <f t="shared" si="22"/>
        <v>833</v>
      </c>
      <c r="B834" s="30">
        <v>40486457</v>
      </c>
      <c r="C834" s="19" t="s">
        <v>995</v>
      </c>
      <c r="D834" s="18">
        <v>99861098</v>
      </c>
      <c r="E834" s="18">
        <v>83476426</v>
      </c>
      <c r="F834" s="18" t="s">
        <v>333</v>
      </c>
      <c r="G834" s="18" t="s">
        <v>724</v>
      </c>
      <c r="H834" s="18">
        <v>84</v>
      </c>
      <c r="I834" s="18">
        <v>1</v>
      </c>
      <c r="J834" s="19" t="s">
        <v>372</v>
      </c>
      <c r="K834" s="21" t="s">
        <v>64</v>
      </c>
      <c r="L834" s="38"/>
      <c r="M834" s="54"/>
      <c r="N834" s="55"/>
      <c r="O834" s="56"/>
      <c r="P834" s="19" t="s">
        <v>49</v>
      </c>
      <c r="Q834" s="57" t="s">
        <v>771</v>
      </c>
      <c r="R834" s="38">
        <v>46009</v>
      </c>
      <c r="S834" s="20">
        <v>12</v>
      </c>
      <c r="T834" s="20" t="s">
        <v>0</v>
      </c>
      <c r="U834" s="18">
        <v>965893251</v>
      </c>
      <c r="V834" s="19"/>
      <c r="W834" s="20">
        <v>2025</v>
      </c>
      <c r="X834" s="20" t="s">
        <v>0</v>
      </c>
      <c r="Y834" s="58" t="s">
        <v>396</v>
      </c>
      <c r="Z834" t="s">
        <v>538</v>
      </c>
    </row>
    <row r="835" spans="1:26" ht="14.25" customHeight="1" x14ac:dyDescent="0.3">
      <c r="A835" s="17">
        <f t="shared" si="22"/>
        <v>834</v>
      </c>
      <c r="B835" s="30">
        <v>47462880</v>
      </c>
      <c r="C835" s="19" t="s">
        <v>990</v>
      </c>
      <c r="D835" s="18">
        <v>99864842</v>
      </c>
      <c r="E835" s="18">
        <v>99864842</v>
      </c>
      <c r="F835" s="18" t="s">
        <v>333</v>
      </c>
      <c r="G835" s="18" t="s">
        <v>774</v>
      </c>
      <c r="H835" s="18">
        <v>185</v>
      </c>
      <c r="I835" s="18">
        <v>10</v>
      </c>
      <c r="J835" s="19"/>
      <c r="K835" s="21" t="s">
        <v>64</v>
      </c>
      <c r="L835" s="38"/>
      <c r="M835" s="54"/>
      <c r="N835" s="55"/>
      <c r="O835" s="56"/>
      <c r="P835" s="19" t="s">
        <v>49</v>
      </c>
      <c r="Q835" s="57" t="s">
        <v>518</v>
      </c>
      <c r="R835" s="38">
        <v>46009</v>
      </c>
      <c r="S835" s="20">
        <v>12</v>
      </c>
      <c r="T835" s="20" t="s">
        <v>0</v>
      </c>
      <c r="U835" s="18">
        <v>976045656</v>
      </c>
      <c r="V835" s="19"/>
      <c r="W835" s="20">
        <v>2025</v>
      </c>
      <c r="X835" s="20" t="s">
        <v>0</v>
      </c>
      <c r="Y835" s="58" t="s">
        <v>409</v>
      </c>
      <c r="Z835" t="s">
        <v>537</v>
      </c>
    </row>
    <row r="836" spans="1:26" ht="14.25" customHeight="1" x14ac:dyDescent="0.3">
      <c r="A836" s="17">
        <f t="shared" ref="A836:A899" si="23">A835+1</f>
        <v>835</v>
      </c>
      <c r="B836" s="30">
        <v>43615118</v>
      </c>
      <c r="C836" s="19" t="s">
        <v>998</v>
      </c>
      <c r="D836" s="18">
        <v>99890235</v>
      </c>
      <c r="E836" s="18">
        <v>83500864</v>
      </c>
      <c r="F836" s="18" t="s">
        <v>333</v>
      </c>
      <c r="G836" s="18" t="s">
        <v>337</v>
      </c>
      <c r="H836" s="18">
        <v>170</v>
      </c>
      <c r="I836" s="18">
        <v>9</v>
      </c>
      <c r="J836" s="19" t="s">
        <v>373</v>
      </c>
      <c r="K836" s="21" t="s">
        <v>64</v>
      </c>
      <c r="L836" s="38"/>
      <c r="M836" s="54"/>
      <c r="N836" s="55"/>
      <c r="O836" s="56"/>
      <c r="P836" s="19" t="s">
        <v>49</v>
      </c>
      <c r="Q836" s="57" t="s">
        <v>933</v>
      </c>
      <c r="R836" s="38">
        <v>46010</v>
      </c>
      <c r="S836" s="20">
        <v>12</v>
      </c>
      <c r="T836" s="20" t="s">
        <v>0</v>
      </c>
      <c r="U836" s="18">
        <v>936906779</v>
      </c>
      <c r="V836" s="19"/>
      <c r="W836" s="20">
        <v>2025</v>
      </c>
      <c r="X836" s="20" t="s">
        <v>0</v>
      </c>
      <c r="Y836" s="58" t="s">
        <v>426</v>
      </c>
      <c r="Z836" t="s">
        <v>537</v>
      </c>
    </row>
    <row r="837" spans="1:26" ht="14.25" customHeight="1" x14ac:dyDescent="0.3">
      <c r="A837" s="17">
        <f t="shared" si="23"/>
        <v>836</v>
      </c>
      <c r="B837" s="30">
        <v>28297001</v>
      </c>
      <c r="C837" s="19" t="s">
        <v>1001</v>
      </c>
      <c r="D837" s="18">
        <v>99894749</v>
      </c>
      <c r="E837" s="18">
        <v>83503151</v>
      </c>
      <c r="F837" s="18" t="s">
        <v>333</v>
      </c>
      <c r="G837" s="18" t="s">
        <v>724</v>
      </c>
      <c r="H837" s="18">
        <v>84</v>
      </c>
      <c r="I837" s="18">
        <v>5</v>
      </c>
      <c r="J837" s="19" t="s">
        <v>372</v>
      </c>
      <c r="K837" s="21" t="s">
        <v>64</v>
      </c>
      <c r="L837" s="38"/>
      <c r="M837" s="54"/>
      <c r="N837" s="55"/>
      <c r="O837" s="56"/>
      <c r="P837" s="19" t="s">
        <v>49</v>
      </c>
      <c r="Q837" s="57" t="s">
        <v>822</v>
      </c>
      <c r="R837" s="38">
        <v>46010</v>
      </c>
      <c r="S837" s="20">
        <v>12</v>
      </c>
      <c r="T837" s="20" t="s">
        <v>0</v>
      </c>
      <c r="U837" s="18">
        <v>994468039</v>
      </c>
      <c r="V837" s="19"/>
      <c r="W837" s="20">
        <v>2025</v>
      </c>
      <c r="X837" s="20" t="s">
        <v>0</v>
      </c>
      <c r="Y837" s="58" t="s">
        <v>407</v>
      </c>
      <c r="Z837" t="s">
        <v>537</v>
      </c>
    </row>
    <row r="838" spans="1:26" ht="14.25" customHeight="1" x14ac:dyDescent="0.3">
      <c r="A838" s="17">
        <f t="shared" si="23"/>
        <v>837</v>
      </c>
      <c r="B838" s="30">
        <v>74769895</v>
      </c>
      <c r="C838" s="19" t="s">
        <v>1003</v>
      </c>
      <c r="D838" s="18">
        <v>99899514</v>
      </c>
      <c r="E838" s="18">
        <v>83505276</v>
      </c>
      <c r="F838" s="18" t="s">
        <v>333</v>
      </c>
      <c r="G838" s="18" t="s">
        <v>724</v>
      </c>
      <c r="H838" s="18">
        <v>84</v>
      </c>
      <c r="I838" s="18">
        <v>5</v>
      </c>
      <c r="J838" s="19" t="s">
        <v>372</v>
      </c>
      <c r="K838" s="21" t="s">
        <v>64</v>
      </c>
      <c r="L838" s="38"/>
      <c r="M838" s="54"/>
      <c r="N838" s="55"/>
      <c r="O838" s="56"/>
      <c r="P838" s="19" t="s">
        <v>49</v>
      </c>
      <c r="Q838" s="57" t="s">
        <v>822</v>
      </c>
      <c r="R838" s="38">
        <v>46010</v>
      </c>
      <c r="S838" s="20">
        <v>12</v>
      </c>
      <c r="T838" s="20" t="s">
        <v>0</v>
      </c>
      <c r="U838" s="18">
        <v>994468039</v>
      </c>
      <c r="V838" s="19"/>
      <c r="W838" s="20">
        <v>2025</v>
      </c>
      <c r="X838" s="20" t="s">
        <v>0</v>
      </c>
      <c r="Y838" s="58" t="s">
        <v>407</v>
      </c>
      <c r="Z838" t="s">
        <v>538</v>
      </c>
    </row>
    <row r="839" spans="1:26" ht="14.25" customHeight="1" x14ac:dyDescent="0.3">
      <c r="A839" s="17">
        <f t="shared" si="23"/>
        <v>838</v>
      </c>
      <c r="B839" s="30">
        <v>10747698959</v>
      </c>
      <c r="C839" s="19" t="s">
        <v>1003</v>
      </c>
      <c r="D839" s="18">
        <v>99914388</v>
      </c>
      <c r="E839" s="18">
        <v>83516001</v>
      </c>
      <c r="F839" s="18" t="s">
        <v>333</v>
      </c>
      <c r="G839" s="18" t="s">
        <v>724</v>
      </c>
      <c r="H839" s="18">
        <v>84</v>
      </c>
      <c r="I839" s="18">
        <v>5</v>
      </c>
      <c r="J839" s="19" t="s">
        <v>372</v>
      </c>
      <c r="K839" s="21" t="s">
        <v>64</v>
      </c>
      <c r="L839" s="38"/>
      <c r="M839" s="54"/>
      <c r="N839" s="55"/>
      <c r="O839" s="56"/>
      <c r="P839" s="19" t="s">
        <v>49</v>
      </c>
      <c r="Q839" s="57" t="s">
        <v>822</v>
      </c>
      <c r="R839" s="38">
        <v>46011</v>
      </c>
      <c r="S839" s="20">
        <v>12</v>
      </c>
      <c r="T839" s="20" t="s">
        <v>0</v>
      </c>
      <c r="U839" s="18">
        <v>994468039</v>
      </c>
      <c r="V839" s="19"/>
      <c r="W839" s="20">
        <v>2025</v>
      </c>
      <c r="X839" s="20" t="s">
        <v>0</v>
      </c>
      <c r="Y839" s="58" t="s">
        <v>407</v>
      </c>
      <c r="Z839" t="s">
        <v>538</v>
      </c>
    </row>
    <row r="840" spans="1:26" ht="14.25" customHeight="1" x14ac:dyDescent="0.3">
      <c r="A840" s="17">
        <f t="shared" si="23"/>
        <v>839</v>
      </c>
      <c r="B840" s="30">
        <v>40441637</v>
      </c>
      <c r="C840" s="19" t="s">
        <v>1005</v>
      </c>
      <c r="D840" s="18">
        <v>99913689</v>
      </c>
      <c r="E840" s="18">
        <v>83515779</v>
      </c>
      <c r="F840" s="18" t="s">
        <v>333</v>
      </c>
      <c r="G840" s="18" t="s">
        <v>724</v>
      </c>
      <c r="H840" s="18">
        <v>84</v>
      </c>
      <c r="I840" s="18">
        <v>9</v>
      </c>
      <c r="J840" s="19" t="s">
        <v>372</v>
      </c>
      <c r="K840" s="21" t="s">
        <v>64</v>
      </c>
      <c r="L840" s="38"/>
      <c r="M840" s="54"/>
      <c r="N840" s="55"/>
      <c r="O840" s="56"/>
      <c r="P840" s="19" t="s">
        <v>49</v>
      </c>
      <c r="Q840" s="57" t="s">
        <v>933</v>
      </c>
      <c r="R840" s="38">
        <v>46011</v>
      </c>
      <c r="S840" s="20">
        <v>12</v>
      </c>
      <c r="T840" s="20" t="s">
        <v>0</v>
      </c>
      <c r="U840" s="18">
        <v>965767742</v>
      </c>
      <c r="V840" s="19"/>
      <c r="W840" s="20">
        <v>2025</v>
      </c>
      <c r="X840" s="20" t="s">
        <v>0</v>
      </c>
      <c r="Y840" s="58" t="s">
        <v>404</v>
      </c>
      <c r="Z840" t="s">
        <v>537</v>
      </c>
    </row>
    <row r="841" spans="1:26" ht="14.25" customHeight="1" x14ac:dyDescent="0.3">
      <c r="A841" s="17">
        <f t="shared" si="23"/>
        <v>840</v>
      </c>
      <c r="B841" s="30">
        <v>43214369</v>
      </c>
      <c r="C841" s="19" t="s">
        <v>1006</v>
      </c>
      <c r="D841" s="18">
        <v>99913907</v>
      </c>
      <c r="E841" s="18">
        <v>83515849</v>
      </c>
      <c r="F841" s="18" t="s">
        <v>334</v>
      </c>
      <c r="G841" s="18" t="s">
        <v>724</v>
      </c>
      <c r="H841" s="18">
        <v>84</v>
      </c>
      <c r="I841" s="18">
        <v>8</v>
      </c>
      <c r="J841" s="19" t="s">
        <v>372</v>
      </c>
      <c r="K841" s="21" t="s">
        <v>64</v>
      </c>
      <c r="L841" s="38"/>
      <c r="M841" s="54"/>
      <c r="N841" s="55"/>
      <c r="O841" s="56"/>
      <c r="P841" s="19" t="s">
        <v>49</v>
      </c>
      <c r="Q841" s="57" t="s">
        <v>671</v>
      </c>
      <c r="R841" s="38">
        <v>46011</v>
      </c>
      <c r="S841" s="20">
        <v>12</v>
      </c>
      <c r="T841" s="20" t="s">
        <v>0</v>
      </c>
      <c r="U841" s="18">
        <v>933868432</v>
      </c>
      <c r="V841" s="19"/>
      <c r="W841" s="20">
        <v>2025</v>
      </c>
      <c r="X841" s="20" t="s">
        <v>0</v>
      </c>
      <c r="Y841" s="58" t="s">
        <v>399</v>
      </c>
      <c r="Z841" t="s">
        <v>537</v>
      </c>
    </row>
    <row r="842" spans="1:26" ht="14.25" customHeight="1" x14ac:dyDescent="0.3">
      <c r="A842" s="17">
        <f t="shared" si="23"/>
        <v>841</v>
      </c>
      <c r="B842" s="30">
        <v>21425383</v>
      </c>
      <c r="C842" s="19" t="s">
        <v>969</v>
      </c>
      <c r="D842" s="18">
        <v>99714816</v>
      </c>
      <c r="E842" s="18">
        <v>83339285</v>
      </c>
      <c r="F842" s="18" t="s">
        <v>334</v>
      </c>
      <c r="G842" s="18" t="s">
        <v>337</v>
      </c>
      <c r="H842" s="18">
        <v>170</v>
      </c>
      <c r="I842" s="18">
        <v>10</v>
      </c>
      <c r="J842" s="19" t="s">
        <v>373</v>
      </c>
      <c r="K842" s="21" t="s">
        <v>64</v>
      </c>
      <c r="L842" s="38"/>
      <c r="M842" s="54"/>
      <c r="N842" s="55"/>
      <c r="O842" s="56"/>
      <c r="P842" s="19" t="s">
        <v>49</v>
      </c>
      <c r="Q842" s="57" t="s">
        <v>54</v>
      </c>
      <c r="R842" s="38">
        <v>46003</v>
      </c>
      <c r="S842" s="20">
        <v>12</v>
      </c>
      <c r="T842" s="20" t="s">
        <v>0</v>
      </c>
      <c r="U842" s="18">
        <v>946322774</v>
      </c>
      <c r="V842" s="19"/>
      <c r="W842" s="20">
        <v>2025</v>
      </c>
      <c r="X842" s="20" t="s">
        <v>0</v>
      </c>
      <c r="Y842" s="58" t="s">
        <v>399</v>
      </c>
      <c r="Z842" t="s">
        <v>538</v>
      </c>
    </row>
    <row r="843" spans="1:26" ht="14.25" customHeight="1" x14ac:dyDescent="0.3">
      <c r="A843" s="17">
        <f t="shared" si="23"/>
        <v>842</v>
      </c>
      <c r="B843" s="30">
        <v>75876820</v>
      </c>
      <c r="C843" s="19" t="s">
        <v>984</v>
      </c>
      <c r="D843" s="18">
        <v>99808766</v>
      </c>
      <c r="E843" s="18">
        <v>83428069</v>
      </c>
      <c r="F843" s="18" t="s">
        <v>333</v>
      </c>
      <c r="G843" s="18" t="s">
        <v>724</v>
      </c>
      <c r="H843" s="18">
        <v>84</v>
      </c>
      <c r="I843" s="18">
        <v>1</v>
      </c>
      <c r="J843" s="19" t="s">
        <v>529</v>
      </c>
      <c r="K843" s="21" t="s">
        <v>64</v>
      </c>
      <c r="L843" s="38"/>
      <c r="M843" s="54"/>
      <c r="N843" s="55"/>
      <c r="O843" s="56"/>
      <c r="P843" s="19" t="s">
        <v>49</v>
      </c>
      <c r="Q843" s="57" t="s">
        <v>922</v>
      </c>
      <c r="R843" s="38">
        <v>46007</v>
      </c>
      <c r="S843" s="20">
        <v>12</v>
      </c>
      <c r="T843" s="20" t="s">
        <v>0</v>
      </c>
      <c r="U843" s="18">
        <v>935022411</v>
      </c>
      <c r="V843" s="19"/>
      <c r="W843" s="20">
        <v>2025</v>
      </c>
      <c r="X843" s="20" t="s">
        <v>0</v>
      </c>
      <c r="Y843" s="58" t="s">
        <v>404</v>
      </c>
      <c r="Z843" t="s">
        <v>538</v>
      </c>
    </row>
    <row r="844" spans="1:26" ht="14.25" customHeight="1" x14ac:dyDescent="0.3">
      <c r="A844" s="17">
        <f t="shared" si="23"/>
        <v>843</v>
      </c>
      <c r="B844" s="30">
        <v>43833194</v>
      </c>
      <c r="C844" s="19" t="s">
        <v>965</v>
      </c>
      <c r="D844" s="18">
        <v>99888635</v>
      </c>
      <c r="E844" s="18">
        <v>83500154</v>
      </c>
      <c r="F844" s="18" t="s">
        <v>333</v>
      </c>
      <c r="G844" s="18" t="s">
        <v>724</v>
      </c>
      <c r="H844" s="18">
        <v>84</v>
      </c>
      <c r="I844" s="18">
        <v>5</v>
      </c>
      <c r="J844" s="19" t="s">
        <v>529</v>
      </c>
      <c r="K844" s="21" t="s">
        <v>64</v>
      </c>
      <c r="L844" s="38"/>
      <c r="M844" s="54"/>
      <c r="N844" s="55"/>
      <c r="O844" s="56"/>
      <c r="P844" s="19" t="s">
        <v>49</v>
      </c>
      <c r="Q844" s="57" t="s">
        <v>524</v>
      </c>
      <c r="R844" s="38">
        <v>46010</v>
      </c>
      <c r="S844" s="20">
        <v>12</v>
      </c>
      <c r="T844" s="20" t="s">
        <v>0</v>
      </c>
      <c r="U844" s="18">
        <v>953758370</v>
      </c>
      <c r="V844" s="19"/>
      <c r="W844" s="20">
        <v>2025</v>
      </c>
      <c r="X844" s="20" t="s">
        <v>0</v>
      </c>
      <c r="Y844" s="58" t="s">
        <v>394</v>
      </c>
      <c r="Z844" t="s">
        <v>537</v>
      </c>
    </row>
    <row r="845" spans="1:26" ht="14.25" customHeight="1" x14ac:dyDescent="0.3">
      <c r="A845" s="17">
        <f t="shared" si="23"/>
        <v>844</v>
      </c>
      <c r="B845" s="30">
        <v>26628393</v>
      </c>
      <c r="C845" s="19" t="s">
        <v>999</v>
      </c>
      <c r="D845" s="18">
        <v>99890906</v>
      </c>
      <c r="E845" s="18">
        <v>83501245</v>
      </c>
      <c r="F845" s="18" t="s">
        <v>333</v>
      </c>
      <c r="G845" s="18" t="s">
        <v>337</v>
      </c>
      <c r="H845" s="18">
        <v>170</v>
      </c>
      <c r="I845" s="18">
        <v>7</v>
      </c>
      <c r="J845" s="19" t="s">
        <v>373</v>
      </c>
      <c r="K845" s="21" t="s">
        <v>64</v>
      </c>
      <c r="L845" s="38"/>
      <c r="M845" s="54"/>
      <c r="N845" s="55"/>
      <c r="O845" s="56"/>
      <c r="P845" s="19" t="s">
        <v>49</v>
      </c>
      <c r="Q845" s="57" t="s">
        <v>922</v>
      </c>
      <c r="R845" s="38">
        <v>46010</v>
      </c>
      <c r="S845" s="20">
        <v>12</v>
      </c>
      <c r="T845" s="20" t="s">
        <v>0</v>
      </c>
      <c r="U845" s="18">
        <v>976912311</v>
      </c>
      <c r="V845" s="19"/>
      <c r="W845" s="20">
        <v>2025</v>
      </c>
      <c r="X845" s="20" t="s">
        <v>0</v>
      </c>
      <c r="Y845" s="58" t="s">
        <v>400</v>
      </c>
      <c r="Z845" t="s">
        <v>537</v>
      </c>
    </row>
    <row r="846" spans="1:26" ht="14.25" customHeight="1" x14ac:dyDescent="0.3">
      <c r="A846" s="17">
        <f t="shared" si="23"/>
        <v>845</v>
      </c>
      <c r="B846" s="30">
        <v>42331342</v>
      </c>
      <c r="C846" s="19" t="s">
        <v>1000</v>
      </c>
      <c r="D846" s="18">
        <v>99892860</v>
      </c>
      <c r="E846" s="18">
        <v>83502226</v>
      </c>
      <c r="F846" s="18" t="s">
        <v>333</v>
      </c>
      <c r="G846" s="18" t="s">
        <v>337</v>
      </c>
      <c r="H846" s="18">
        <v>170</v>
      </c>
      <c r="I846" s="18">
        <v>7</v>
      </c>
      <c r="J846" s="19" t="s">
        <v>529</v>
      </c>
      <c r="K846" s="21" t="s">
        <v>64</v>
      </c>
      <c r="L846" s="38"/>
      <c r="M846" s="54"/>
      <c r="N846" s="55"/>
      <c r="O846" s="56"/>
      <c r="P846" s="19" t="s">
        <v>49</v>
      </c>
      <c r="Q846" s="57" t="s">
        <v>771</v>
      </c>
      <c r="R846" s="38">
        <v>46010</v>
      </c>
      <c r="S846" s="20">
        <v>12</v>
      </c>
      <c r="T846" s="20" t="s">
        <v>0</v>
      </c>
      <c r="U846" s="18">
        <v>965949166</v>
      </c>
      <c r="V846" s="19"/>
      <c r="W846" s="20">
        <v>2025</v>
      </c>
      <c r="X846" s="20" t="s">
        <v>0</v>
      </c>
      <c r="Y846" s="58" t="s">
        <v>393</v>
      </c>
      <c r="Z846" t="s">
        <v>537</v>
      </c>
    </row>
    <row r="847" spans="1:26" ht="14.25" customHeight="1" x14ac:dyDescent="0.3">
      <c r="A847" s="17">
        <f t="shared" si="23"/>
        <v>846</v>
      </c>
      <c r="B847" s="30">
        <v>22517639</v>
      </c>
      <c r="C847" s="19" t="s">
        <v>1002</v>
      </c>
      <c r="D847" s="18">
        <v>99897680</v>
      </c>
      <c r="E847" s="18">
        <v>83504308</v>
      </c>
      <c r="F847" s="18" t="s">
        <v>333</v>
      </c>
      <c r="G847" s="18" t="s">
        <v>337</v>
      </c>
      <c r="H847" s="18">
        <v>84</v>
      </c>
      <c r="I847" s="18">
        <v>9</v>
      </c>
      <c r="J847" s="19" t="s">
        <v>373</v>
      </c>
      <c r="K847" s="21" t="s">
        <v>64</v>
      </c>
      <c r="L847" s="38"/>
      <c r="M847" s="54"/>
      <c r="N847" s="55"/>
      <c r="O847" s="56"/>
      <c r="P847" s="19" t="s">
        <v>49</v>
      </c>
      <c r="Q847" s="57" t="s">
        <v>54</v>
      </c>
      <c r="R847" s="38">
        <v>46010</v>
      </c>
      <c r="S847" s="20">
        <v>12</v>
      </c>
      <c r="T847" s="20" t="s">
        <v>0</v>
      </c>
      <c r="U847" s="18">
        <v>956151422</v>
      </c>
      <c r="V847" s="19"/>
      <c r="W847" s="20">
        <v>2025</v>
      </c>
      <c r="X847" s="20" t="s">
        <v>0</v>
      </c>
      <c r="Y847" s="58" t="s">
        <v>403</v>
      </c>
      <c r="Z847" t="s">
        <v>537</v>
      </c>
    </row>
    <row r="848" spans="1:26" ht="14.25" customHeight="1" x14ac:dyDescent="0.3">
      <c r="A848" s="17">
        <f t="shared" si="23"/>
        <v>847</v>
      </c>
      <c r="B848" s="30">
        <v>10024234164</v>
      </c>
      <c r="C848" s="19" t="s">
        <v>994</v>
      </c>
      <c r="D848" s="18">
        <v>99871622</v>
      </c>
      <c r="E848" s="18">
        <v>83504808</v>
      </c>
      <c r="F848" s="18" t="s">
        <v>333</v>
      </c>
      <c r="G848" s="18" t="s">
        <v>724</v>
      </c>
      <c r="H848" s="18">
        <v>84</v>
      </c>
      <c r="I848" s="18">
        <v>10</v>
      </c>
      <c r="J848" s="19" t="s">
        <v>529</v>
      </c>
      <c r="K848" s="21" t="s">
        <v>64</v>
      </c>
      <c r="L848" s="38"/>
      <c r="M848" s="54"/>
      <c r="N848" s="55"/>
      <c r="O848" s="56"/>
      <c r="P848" s="19" t="s">
        <v>49</v>
      </c>
      <c r="Q848" s="57" t="s">
        <v>933</v>
      </c>
      <c r="R848" s="38">
        <v>46010</v>
      </c>
      <c r="S848" s="20">
        <v>12</v>
      </c>
      <c r="T848" s="20" t="s">
        <v>0</v>
      </c>
      <c r="U848" s="18">
        <v>979790013</v>
      </c>
      <c r="V848" s="19"/>
      <c r="W848" s="20">
        <v>2025</v>
      </c>
      <c r="X848" s="20" t="s">
        <v>0</v>
      </c>
      <c r="Y848" s="58" t="s">
        <v>402</v>
      </c>
      <c r="Z848" t="s">
        <v>538</v>
      </c>
    </row>
    <row r="849" spans="1:26" ht="14.25" customHeight="1" x14ac:dyDescent="0.3">
      <c r="A849" s="17">
        <f t="shared" si="23"/>
        <v>848</v>
      </c>
      <c r="B849" s="30">
        <v>41931123</v>
      </c>
      <c r="C849" s="19" t="s">
        <v>1004</v>
      </c>
      <c r="D849" s="18">
        <v>99911609</v>
      </c>
      <c r="E849" s="18">
        <v>83515138</v>
      </c>
      <c r="F849" s="18" t="s">
        <v>333</v>
      </c>
      <c r="G849" s="18" t="s">
        <v>724</v>
      </c>
      <c r="H849" s="18">
        <v>84</v>
      </c>
      <c r="I849" s="18">
        <v>2</v>
      </c>
      <c r="J849" s="19" t="s">
        <v>529</v>
      </c>
      <c r="K849" s="21" t="s">
        <v>64</v>
      </c>
      <c r="L849" s="38"/>
      <c r="M849" s="54"/>
      <c r="N849" s="55"/>
      <c r="O849" s="56"/>
      <c r="P849" s="19" t="s">
        <v>49</v>
      </c>
      <c r="Q849" s="57" t="s">
        <v>518</v>
      </c>
      <c r="R849" s="38">
        <v>46011</v>
      </c>
      <c r="S849" s="20">
        <v>12</v>
      </c>
      <c r="T849" s="20" t="s">
        <v>0</v>
      </c>
      <c r="U849" s="18">
        <v>948884254</v>
      </c>
      <c r="V849" s="19"/>
      <c r="W849" s="20">
        <v>2025</v>
      </c>
      <c r="X849" s="20" t="s">
        <v>0</v>
      </c>
      <c r="Y849" s="58" t="s">
        <v>393</v>
      </c>
      <c r="Z849" t="s">
        <v>537</v>
      </c>
    </row>
    <row r="850" spans="1:26" ht="14.25" customHeight="1" x14ac:dyDescent="0.3">
      <c r="A850" s="17">
        <f t="shared" si="23"/>
        <v>849</v>
      </c>
      <c r="B850" s="30">
        <v>10429841017</v>
      </c>
      <c r="C850" s="19" t="s">
        <v>1007</v>
      </c>
      <c r="D850" s="18">
        <v>99917030</v>
      </c>
      <c r="E850" s="18">
        <v>83516888</v>
      </c>
      <c r="F850" s="18" t="s">
        <v>333</v>
      </c>
      <c r="G850" s="18" t="s">
        <v>724</v>
      </c>
      <c r="H850" s="18">
        <v>84</v>
      </c>
      <c r="I850" s="18">
        <v>8</v>
      </c>
      <c r="J850" s="19" t="s">
        <v>373</v>
      </c>
      <c r="K850" s="21" t="s">
        <v>64</v>
      </c>
      <c r="L850" s="38"/>
      <c r="M850" s="54"/>
      <c r="N850" s="55"/>
      <c r="O850" s="56"/>
      <c r="P850" s="19" t="s">
        <v>49</v>
      </c>
      <c r="Q850" s="57" t="s">
        <v>671</v>
      </c>
      <c r="R850" s="38">
        <v>46011</v>
      </c>
      <c r="S850" s="20">
        <v>12</v>
      </c>
      <c r="T850" s="20" t="s">
        <v>0</v>
      </c>
      <c r="U850" s="18">
        <v>947037828</v>
      </c>
      <c r="V850" s="19"/>
      <c r="W850" s="20">
        <v>2025</v>
      </c>
      <c r="X850" s="20" t="s">
        <v>0</v>
      </c>
      <c r="Y850" s="58" t="s">
        <v>398</v>
      </c>
      <c r="Z850" t="s">
        <v>537</v>
      </c>
    </row>
    <row r="851" spans="1:26" ht="14.25" customHeight="1" x14ac:dyDescent="0.3">
      <c r="A851" s="17">
        <f t="shared" si="23"/>
        <v>850</v>
      </c>
      <c r="B851" s="30">
        <v>48071042</v>
      </c>
      <c r="C851" s="19" t="s">
        <v>1008</v>
      </c>
      <c r="D851" s="18">
        <v>99913461</v>
      </c>
      <c r="E851" s="18">
        <v>83515702</v>
      </c>
      <c r="F851" s="18" t="s">
        <v>333</v>
      </c>
      <c r="G851" s="18" t="s">
        <v>724</v>
      </c>
      <c r="H851" s="18">
        <v>84</v>
      </c>
      <c r="I851" s="18">
        <v>8</v>
      </c>
      <c r="J851" s="19" t="s">
        <v>541</v>
      </c>
      <c r="K851" s="21" t="s">
        <v>64</v>
      </c>
      <c r="L851" s="38"/>
      <c r="M851" s="54"/>
      <c r="N851" s="55"/>
      <c r="O851" s="56"/>
      <c r="P851" s="19" t="s">
        <v>49</v>
      </c>
      <c r="Q851" s="57" t="s">
        <v>770</v>
      </c>
      <c r="R851" s="38">
        <v>46011</v>
      </c>
      <c r="S851" s="20">
        <v>12</v>
      </c>
      <c r="T851" s="20" t="s">
        <v>0</v>
      </c>
      <c r="U851" s="18">
        <v>954021138</v>
      </c>
      <c r="V851" s="19"/>
      <c r="W851" s="20">
        <v>2025</v>
      </c>
      <c r="X851" s="20" t="s">
        <v>0</v>
      </c>
      <c r="Y851" s="58" t="s">
        <v>397</v>
      </c>
      <c r="Z851" t="s">
        <v>538</v>
      </c>
    </row>
    <row r="852" spans="1:26" ht="14.25" customHeight="1" x14ac:dyDescent="0.3">
      <c r="A852" s="17">
        <f t="shared" si="23"/>
        <v>851</v>
      </c>
      <c r="B852" s="20">
        <v>48363329</v>
      </c>
      <c r="C852" s="19" t="s">
        <v>1014</v>
      </c>
      <c r="D852" s="18">
        <v>99870715</v>
      </c>
      <c r="E852" s="20">
        <v>83481760</v>
      </c>
      <c r="F852" s="18" t="s">
        <v>333</v>
      </c>
      <c r="G852" s="18" t="s">
        <v>724</v>
      </c>
      <c r="H852" s="18">
        <v>94</v>
      </c>
      <c r="I852" s="18">
        <v>1</v>
      </c>
      <c r="J852" s="19" t="s">
        <v>372</v>
      </c>
      <c r="K852" s="36" t="s">
        <v>64</v>
      </c>
      <c r="L852" s="38"/>
      <c r="M852" s="36"/>
      <c r="N852" s="26"/>
      <c r="O852" s="38"/>
      <c r="P852" s="19" t="s">
        <v>1011</v>
      </c>
      <c r="Q852" s="19" t="s">
        <v>1012</v>
      </c>
      <c r="R852" s="38">
        <v>46009</v>
      </c>
      <c r="S852" s="20">
        <v>12</v>
      </c>
      <c r="T852" s="20"/>
      <c r="U852" s="18">
        <v>957674004</v>
      </c>
      <c r="V852" s="19"/>
      <c r="W852" s="20">
        <v>2025</v>
      </c>
      <c r="X852" s="20"/>
      <c r="Y852" s="58" t="s">
        <v>393</v>
      </c>
      <c r="Z852" t="s">
        <v>537</v>
      </c>
    </row>
    <row r="853" spans="1:26" ht="14.25" customHeight="1" x14ac:dyDescent="0.3">
      <c r="A853" s="17">
        <f t="shared" si="23"/>
        <v>852</v>
      </c>
      <c r="B853" s="20">
        <v>75936221</v>
      </c>
      <c r="C853" s="19" t="s">
        <v>1015</v>
      </c>
      <c r="D853" s="18">
        <v>99896708</v>
      </c>
      <c r="E853" s="18">
        <v>83543643</v>
      </c>
      <c r="F853" s="18" t="s">
        <v>333</v>
      </c>
      <c r="G853" s="18" t="s">
        <v>337</v>
      </c>
      <c r="H853" s="18">
        <v>170</v>
      </c>
      <c r="I853" s="18">
        <v>7</v>
      </c>
      <c r="J853" s="19" t="s">
        <v>372</v>
      </c>
      <c r="K853" s="36" t="s">
        <v>64</v>
      </c>
      <c r="L853" s="38"/>
      <c r="M853" s="36"/>
      <c r="N853" s="26"/>
      <c r="O853" s="38"/>
      <c r="P853" s="19" t="s">
        <v>1011</v>
      </c>
      <c r="Q853" s="19" t="s">
        <v>1016</v>
      </c>
      <c r="R853" s="38">
        <v>46010</v>
      </c>
      <c r="S853" s="20">
        <v>12</v>
      </c>
      <c r="T853" s="20"/>
      <c r="U853" s="18">
        <v>925571727</v>
      </c>
      <c r="V853" s="19"/>
      <c r="W853" s="20">
        <v>2025</v>
      </c>
      <c r="X853" s="20"/>
      <c r="Y853" s="58" t="s">
        <v>393</v>
      </c>
      <c r="Z853" t="s">
        <v>538</v>
      </c>
    </row>
    <row r="854" spans="1:26" ht="14.25" customHeight="1" x14ac:dyDescent="0.3">
      <c r="A854" s="17">
        <f t="shared" si="23"/>
        <v>853</v>
      </c>
      <c r="B854" s="30">
        <v>29534768</v>
      </c>
      <c r="C854" s="19" t="s">
        <v>989</v>
      </c>
      <c r="D854" s="18">
        <v>99953688</v>
      </c>
      <c r="E854" s="18">
        <v>83544420</v>
      </c>
      <c r="F854" s="18" t="s">
        <v>333</v>
      </c>
      <c r="G854" s="18" t="s">
        <v>337</v>
      </c>
      <c r="H854" s="18">
        <v>170</v>
      </c>
      <c r="I854" s="18">
        <v>5</v>
      </c>
      <c r="J854" s="19" t="s">
        <v>373</v>
      </c>
      <c r="K854" s="36" t="s">
        <v>64</v>
      </c>
      <c r="L854" s="38"/>
      <c r="M854" s="54"/>
      <c r="N854" s="55"/>
      <c r="O854" s="56"/>
      <c r="P854" s="19" t="s">
        <v>49</v>
      </c>
      <c r="Q854" s="57" t="s">
        <v>518</v>
      </c>
      <c r="R854" s="38">
        <v>46013</v>
      </c>
      <c r="S854" s="20">
        <v>12</v>
      </c>
      <c r="T854" s="20" t="s">
        <v>0</v>
      </c>
      <c r="U854" s="18">
        <v>959288814</v>
      </c>
      <c r="V854" s="19"/>
      <c r="W854" s="20">
        <v>2025</v>
      </c>
      <c r="X854" s="20" t="s">
        <v>0</v>
      </c>
      <c r="Y854" s="58" t="s">
        <v>402</v>
      </c>
      <c r="Z854" t="s">
        <v>537</v>
      </c>
    </row>
    <row r="855" spans="1:26" ht="14.25" customHeight="1" x14ac:dyDescent="0.3">
      <c r="A855" s="17">
        <f t="shared" si="23"/>
        <v>854</v>
      </c>
      <c r="B855" s="30">
        <v>70536872</v>
      </c>
      <c r="C855" s="19" t="s">
        <v>1017</v>
      </c>
      <c r="D855" s="18">
        <v>99958604</v>
      </c>
      <c r="E855" s="18">
        <v>83548428</v>
      </c>
      <c r="F855" s="18" t="s">
        <v>333</v>
      </c>
      <c r="G855" s="18" t="s">
        <v>724</v>
      </c>
      <c r="H855" s="18">
        <v>84</v>
      </c>
      <c r="I855" s="18">
        <v>5</v>
      </c>
      <c r="J855" s="19" t="s">
        <v>373</v>
      </c>
      <c r="K855" s="36" t="s">
        <v>64</v>
      </c>
      <c r="L855" s="38"/>
      <c r="M855" s="54"/>
      <c r="N855" s="55"/>
      <c r="O855" s="56"/>
      <c r="P855" s="19" t="s">
        <v>49</v>
      </c>
      <c r="Q855" s="57" t="s">
        <v>771</v>
      </c>
      <c r="R855" s="38">
        <v>46013</v>
      </c>
      <c r="S855" s="20">
        <v>12</v>
      </c>
      <c r="T855" s="20" t="s">
        <v>0</v>
      </c>
      <c r="U855" s="18">
        <v>965719273</v>
      </c>
      <c r="V855" s="19"/>
      <c r="W855" s="20">
        <v>2025</v>
      </c>
      <c r="X855" s="20" t="s">
        <v>0</v>
      </c>
      <c r="Y855" s="58" t="s">
        <v>404</v>
      </c>
      <c r="Z855" t="s">
        <v>537</v>
      </c>
    </row>
    <row r="856" spans="1:26" ht="14.25" customHeight="1" x14ac:dyDescent="0.3">
      <c r="A856" s="17">
        <f t="shared" si="23"/>
        <v>855</v>
      </c>
      <c r="B856" s="30">
        <v>18820481</v>
      </c>
      <c r="C856" s="19" t="s">
        <v>1019</v>
      </c>
      <c r="D856" s="18">
        <v>99975599</v>
      </c>
      <c r="E856" s="18">
        <v>83554923</v>
      </c>
      <c r="F856" s="18" t="s">
        <v>334</v>
      </c>
      <c r="G856" s="18" t="s">
        <v>724</v>
      </c>
      <c r="H856" s="18">
        <v>84</v>
      </c>
      <c r="I856" s="18">
        <v>2</v>
      </c>
      <c r="J856" s="19" t="s">
        <v>373</v>
      </c>
      <c r="K856" s="36" t="s">
        <v>64</v>
      </c>
      <c r="L856" s="38"/>
      <c r="M856" s="54"/>
      <c r="N856" s="55"/>
      <c r="O856" s="56"/>
      <c r="P856" s="19" t="s">
        <v>49</v>
      </c>
      <c r="Q856" s="57" t="s">
        <v>822</v>
      </c>
      <c r="R856" s="38">
        <v>46013</v>
      </c>
      <c r="S856" s="20">
        <v>12</v>
      </c>
      <c r="T856" s="20" t="s">
        <v>0</v>
      </c>
      <c r="U856" s="18">
        <v>926227069</v>
      </c>
      <c r="V856" s="19"/>
      <c r="W856" s="20">
        <v>2025</v>
      </c>
      <c r="X856" s="20" t="s">
        <v>0</v>
      </c>
      <c r="Y856" s="58" t="s">
        <v>396</v>
      </c>
      <c r="Z856" t="s">
        <v>538</v>
      </c>
    </row>
    <row r="857" spans="1:26" ht="14.25" customHeight="1" x14ac:dyDescent="0.3">
      <c r="A857" s="17">
        <f t="shared" si="23"/>
        <v>856</v>
      </c>
      <c r="B857" s="30">
        <v>18820481</v>
      </c>
      <c r="C857" s="19" t="s">
        <v>1019</v>
      </c>
      <c r="D857" s="18">
        <v>99975599</v>
      </c>
      <c r="E857" s="18">
        <v>83554923</v>
      </c>
      <c r="F857" s="18" t="s">
        <v>334</v>
      </c>
      <c r="G857" s="18" t="s">
        <v>724</v>
      </c>
      <c r="H857" s="18">
        <v>84</v>
      </c>
      <c r="I857" s="18">
        <v>2</v>
      </c>
      <c r="J857" s="19" t="s">
        <v>475</v>
      </c>
      <c r="K857" s="36" t="s">
        <v>64</v>
      </c>
      <c r="L857" s="38"/>
      <c r="M857" s="54"/>
      <c r="N857" s="55"/>
      <c r="O857" s="56"/>
      <c r="P857" s="19" t="s">
        <v>49</v>
      </c>
      <c r="Q857" s="57" t="s">
        <v>822</v>
      </c>
      <c r="R857" s="38">
        <v>46014</v>
      </c>
      <c r="S857" s="20">
        <v>12</v>
      </c>
      <c r="T857" s="20" t="s">
        <v>0</v>
      </c>
      <c r="U857" s="18">
        <v>926227069</v>
      </c>
      <c r="V857" s="19"/>
      <c r="W857" s="20">
        <v>2025</v>
      </c>
      <c r="X857" s="20" t="s">
        <v>0</v>
      </c>
      <c r="Y857" s="58" t="s">
        <v>396</v>
      </c>
      <c r="Z857" t="s">
        <v>538</v>
      </c>
    </row>
    <row r="858" spans="1:26" ht="14.25" customHeight="1" x14ac:dyDescent="0.3">
      <c r="A858" s="17">
        <f t="shared" si="23"/>
        <v>857</v>
      </c>
      <c r="B858" s="30">
        <v>46574224</v>
      </c>
      <c r="C858" s="19" t="s">
        <v>1020</v>
      </c>
      <c r="D858" s="18">
        <v>100003243</v>
      </c>
      <c r="E858" s="18">
        <v>83576114</v>
      </c>
      <c r="F858" s="18" t="s">
        <v>333</v>
      </c>
      <c r="G858" s="18" t="s">
        <v>724</v>
      </c>
      <c r="H858" s="18">
        <v>84</v>
      </c>
      <c r="I858" s="18">
        <v>8</v>
      </c>
      <c r="J858" s="19" t="s">
        <v>372</v>
      </c>
      <c r="K858" s="36" t="s">
        <v>64</v>
      </c>
      <c r="L858" s="38"/>
      <c r="M858" s="54"/>
      <c r="N858" s="55"/>
      <c r="O858" s="56"/>
      <c r="P858" s="19" t="s">
        <v>49</v>
      </c>
      <c r="Q858" s="57" t="s">
        <v>524</v>
      </c>
      <c r="R858" s="38">
        <v>46014</v>
      </c>
      <c r="S858" s="20">
        <v>12</v>
      </c>
      <c r="T858" s="20" t="s">
        <v>0</v>
      </c>
      <c r="U858" s="18">
        <v>971193281</v>
      </c>
      <c r="V858" s="19"/>
      <c r="W858" s="20">
        <v>2025</v>
      </c>
      <c r="X858" s="20" t="s">
        <v>0</v>
      </c>
      <c r="Y858" s="58" t="s">
        <v>406</v>
      </c>
      <c r="Z858" t="s">
        <v>538</v>
      </c>
    </row>
    <row r="859" spans="1:26" ht="14.25" customHeight="1" x14ac:dyDescent="0.3">
      <c r="A859" s="17">
        <f t="shared" si="23"/>
        <v>858</v>
      </c>
      <c r="B859" s="30">
        <v>42672288</v>
      </c>
      <c r="C859" s="19" t="s">
        <v>1021</v>
      </c>
      <c r="D859" s="18">
        <v>100001899</v>
      </c>
      <c r="E859" s="18">
        <v>83575902</v>
      </c>
      <c r="F859" s="18" t="s">
        <v>333</v>
      </c>
      <c r="G859" s="18" t="s">
        <v>724</v>
      </c>
      <c r="H859" s="18">
        <v>84</v>
      </c>
      <c r="I859" s="18">
        <v>6</v>
      </c>
      <c r="J859" s="19" t="s">
        <v>372</v>
      </c>
      <c r="K859" s="36" t="s">
        <v>64</v>
      </c>
      <c r="L859" s="38"/>
      <c r="M859" s="54"/>
      <c r="N859" s="55"/>
      <c r="O859" s="56"/>
      <c r="P859" s="19" t="s">
        <v>49</v>
      </c>
      <c r="Q859" s="57" t="s">
        <v>771</v>
      </c>
      <c r="R859" s="38">
        <v>46014</v>
      </c>
      <c r="S859" s="20">
        <v>12</v>
      </c>
      <c r="T859" s="20" t="s">
        <v>0</v>
      </c>
      <c r="U859" s="18">
        <v>945666099</v>
      </c>
      <c r="V859" s="19"/>
      <c r="W859" s="20">
        <v>2025</v>
      </c>
      <c r="X859" s="20" t="s">
        <v>0</v>
      </c>
      <c r="Y859" s="58" t="s">
        <v>396</v>
      </c>
      <c r="Z859" t="s">
        <v>537</v>
      </c>
    </row>
    <row r="860" spans="1:26" ht="14.25" customHeight="1" x14ac:dyDescent="0.3">
      <c r="A860" s="17">
        <f t="shared" si="23"/>
        <v>859</v>
      </c>
      <c r="B860" s="30">
        <v>40030549</v>
      </c>
      <c r="C860" s="19" t="s">
        <v>1022</v>
      </c>
      <c r="D860" s="18">
        <v>99997816</v>
      </c>
      <c r="E860" s="18">
        <v>83576543</v>
      </c>
      <c r="F860" s="18" t="s">
        <v>333</v>
      </c>
      <c r="G860" s="18" t="s">
        <v>337</v>
      </c>
      <c r="H860" s="18">
        <v>170</v>
      </c>
      <c r="I860" s="18">
        <v>10</v>
      </c>
      <c r="J860" s="19" t="s">
        <v>373</v>
      </c>
      <c r="K860" s="36" t="s">
        <v>64</v>
      </c>
      <c r="L860" s="38"/>
      <c r="M860" s="54"/>
      <c r="N860" s="55"/>
      <c r="O860" s="56"/>
      <c r="P860" s="19" t="s">
        <v>49</v>
      </c>
      <c r="Q860" s="57" t="s">
        <v>770</v>
      </c>
      <c r="R860" s="38">
        <v>46014</v>
      </c>
      <c r="S860" s="20">
        <v>12</v>
      </c>
      <c r="T860" s="20" t="s">
        <v>0</v>
      </c>
      <c r="U860" s="18">
        <v>958590171</v>
      </c>
      <c r="V860" s="19"/>
      <c r="W860" s="20">
        <v>2025</v>
      </c>
      <c r="X860" s="20" t="s">
        <v>0</v>
      </c>
      <c r="Y860" s="58" t="s">
        <v>396</v>
      </c>
      <c r="Z860" t="s">
        <v>537</v>
      </c>
    </row>
    <row r="861" spans="1:26" ht="14.25" customHeight="1" x14ac:dyDescent="0.3">
      <c r="A861" s="17">
        <f t="shared" si="23"/>
        <v>860</v>
      </c>
      <c r="B861" s="30">
        <v>21425383</v>
      </c>
      <c r="C861" s="19" t="s">
        <v>969</v>
      </c>
      <c r="D861" s="18">
        <v>99714816</v>
      </c>
      <c r="E861" s="18">
        <v>83339285</v>
      </c>
      <c r="F861" s="18" t="s">
        <v>334</v>
      </c>
      <c r="G861" s="18" t="s">
        <v>337</v>
      </c>
      <c r="H861" s="18">
        <v>170</v>
      </c>
      <c r="I861" s="18">
        <v>10</v>
      </c>
      <c r="J861" s="19" t="s">
        <v>373</v>
      </c>
      <c r="K861" s="21" t="s">
        <v>64</v>
      </c>
      <c r="L861" s="38"/>
      <c r="M861" s="54"/>
      <c r="N861" s="55"/>
      <c r="O861" s="56"/>
      <c r="P861" s="19" t="s">
        <v>49</v>
      </c>
      <c r="Q861" s="57" t="s">
        <v>54</v>
      </c>
      <c r="R861" s="38">
        <v>46003</v>
      </c>
      <c r="S861" s="20">
        <v>12</v>
      </c>
      <c r="T861" s="20" t="s">
        <v>0</v>
      </c>
      <c r="U861" s="18">
        <v>946322774</v>
      </c>
      <c r="V861" s="19"/>
      <c r="W861" s="20">
        <v>2025</v>
      </c>
      <c r="X861" s="20" t="s">
        <v>0</v>
      </c>
      <c r="Y861" s="58" t="s">
        <v>399</v>
      </c>
      <c r="Z861" t="s">
        <v>538</v>
      </c>
    </row>
    <row r="862" spans="1:26" ht="14.25" customHeight="1" x14ac:dyDescent="0.3">
      <c r="A862" s="17">
        <f t="shared" si="23"/>
        <v>861</v>
      </c>
      <c r="B862" s="30">
        <v>70562745</v>
      </c>
      <c r="C862" s="19" t="s">
        <v>981</v>
      </c>
      <c r="D862" s="18">
        <v>99888422</v>
      </c>
      <c r="E862" s="18">
        <v>83500012</v>
      </c>
      <c r="F862" s="18" t="s">
        <v>333</v>
      </c>
      <c r="G862" s="18" t="s">
        <v>724</v>
      </c>
      <c r="H862" s="18">
        <v>84</v>
      </c>
      <c r="I862" s="18">
        <v>2</v>
      </c>
      <c r="J862" s="19" t="s">
        <v>529</v>
      </c>
      <c r="K862" s="21" t="s">
        <v>64</v>
      </c>
      <c r="L862" s="38"/>
      <c r="M862" s="54"/>
      <c r="N862" s="55"/>
      <c r="O862" s="56"/>
      <c r="P862" s="19" t="s">
        <v>49</v>
      </c>
      <c r="Q862" s="57" t="s">
        <v>922</v>
      </c>
      <c r="R862" s="38">
        <v>46010</v>
      </c>
      <c r="S862" s="20">
        <v>12</v>
      </c>
      <c r="T862" s="20" t="s">
        <v>0</v>
      </c>
      <c r="U862" s="18">
        <v>945346675</v>
      </c>
      <c r="V862" s="19"/>
      <c r="W862" s="20">
        <v>2025</v>
      </c>
      <c r="X862" s="20" t="s">
        <v>0</v>
      </c>
      <c r="Y862" s="58" t="s">
        <v>394</v>
      </c>
      <c r="Z862" t="s">
        <v>538</v>
      </c>
    </row>
    <row r="863" spans="1:26" ht="14.25" customHeight="1" x14ac:dyDescent="0.3">
      <c r="A863" s="17">
        <f t="shared" si="23"/>
        <v>862</v>
      </c>
      <c r="B863" s="30">
        <v>20052011</v>
      </c>
      <c r="C863" s="19" t="s">
        <v>976</v>
      </c>
      <c r="D863" s="18">
        <v>99923224</v>
      </c>
      <c r="E863" s="18">
        <v>83519122</v>
      </c>
      <c r="F863" s="18" t="s">
        <v>333</v>
      </c>
      <c r="G863" s="18" t="s">
        <v>724</v>
      </c>
      <c r="H863" s="18">
        <v>84</v>
      </c>
      <c r="I863" s="18">
        <v>3</v>
      </c>
      <c r="J863" s="19"/>
      <c r="K863" s="21" t="s">
        <v>64</v>
      </c>
      <c r="L863" s="38"/>
      <c r="M863" s="54"/>
      <c r="N863" s="55"/>
      <c r="O863" s="56"/>
      <c r="P863" s="19" t="s">
        <v>49</v>
      </c>
      <c r="Q863" s="57" t="s">
        <v>922</v>
      </c>
      <c r="R863" s="38">
        <v>46011</v>
      </c>
      <c r="S863" s="20">
        <v>12</v>
      </c>
      <c r="T863" s="20" t="s">
        <v>0</v>
      </c>
      <c r="U863" s="18">
        <v>999132013</v>
      </c>
      <c r="V863" s="19"/>
      <c r="W863" s="20">
        <v>2025</v>
      </c>
      <c r="X863" s="20" t="s">
        <v>0</v>
      </c>
      <c r="Y863" s="58" t="s">
        <v>407</v>
      </c>
      <c r="Z863" t="s">
        <v>538</v>
      </c>
    </row>
    <row r="864" spans="1:26" ht="14.25" customHeight="1" x14ac:dyDescent="0.3">
      <c r="A864" s="17">
        <f t="shared" si="23"/>
        <v>863</v>
      </c>
      <c r="B864" s="30">
        <v>41397048</v>
      </c>
      <c r="C864" s="19" t="s">
        <v>968</v>
      </c>
      <c r="D864" s="18">
        <v>99988607</v>
      </c>
      <c r="E864" s="18">
        <v>83595398</v>
      </c>
      <c r="F864" s="18" t="s">
        <v>333</v>
      </c>
      <c r="G864" s="18" t="s">
        <v>724</v>
      </c>
      <c r="H864" s="18">
        <v>84</v>
      </c>
      <c r="I864" s="18">
        <v>4</v>
      </c>
      <c r="J864" s="19" t="s">
        <v>529</v>
      </c>
      <c r="K864" s="36" t="s">
        <v>64</v>
      </c>
      <c r="L864" s="38"/>
      <c r="M864" s="54"/>
      <c r="N864" s="55"/>
      <c r="O864" s="56"/>
      <c r="P864" s="19" t="s">
        <v>49</v>
      </c>
      <c r="Q864" s="57" t="s">
        <v>518</v>
      </c>
      <c r="R864" s="38">
        <v>46014</v>
      </c>
      <c r="S864" s="20">
        <v>12</v>
      </c>
      <c r="T864" s="20" t="s">
        <v>0</v>
      </c>
      <c r="U864" s="18">
        <v>945582375</v>
      </c>
      <c r="V864" s="19"/>
      <c r="W864" s="20">
        <v>2025</v>
      </c>
      <c r="X864" s="20" t="s">
        <v>0</v>
      </c>
      <c r="Y864" s="58" t="s">
        <v>393</v>
      </c>
      <c r="Z864" t="s">
        <v>538</v>
      </c>
    </row>
    <row r="865" spans="1:27" ht="14.25" customHeight="1" x14ac:dyDescent="0.3">
      <c r="A865" s="17">
        <f t="shared" si="23"/>
        <v>864</v>
      </c>
      <c r="B865" s="30">
        <v>18177014</v>
      </c>
      <c r="C865" s="19" t="s">
        <v>1023</v>
      </c>
      <c r="D865" s="18">
        <v>100055596</v>
      </c>
      <c r="E865" s="18">
        <v>83631934</v>
      </c>
      <c r="F865" s="18" t="s">
        <v>333</v>
      </c>
      <c r="G865" s="18" t="s">
        <v>337</v>
      </c>
      <c r="H865" s="18">
        <v>170</v>
      </c>
      <c r="I865" s="18">
        <v>6</v>
      </c>
      <c r="J865" s="19" t="s">
        <v>634</v>
      </c>
      <c r="K865" s="36" t="s">
        <v>64</v>
      </c>
      <c r="L865" s="38"/>
      <c r="M865" s="54"/>
      <c r="N865" s="55"/>
      <c r="O865" s="56"/>
      <c r="P865" s="19" t="s">
        <v>49</v>
      </c>
      <c r="Q865" s="57" t="s">
        <v>770</v>
      </c>
      <c r="R865" s="38">
        <v>46017</v>
      </c>
      <c r="S865" s="20">
        <v>12</v>
      </c>
      <c r="T865" s="20" t="s">
        <v>0</v>
      </c>
      <c r="U865" s="18">
        <v>966544908</v>
      </c>
      <c r="V865" s="19"/>
      <c r="W865" s="20">
        <v>2025</v>
      </c>
      <c r="X865" s="20" t="s">
        <v>0</v>
      </c>
      <c r="Y865" s="58" t="s">
        <v>396</v>
      </c>
      <c r="Z865" t="s">
        <v>538</v>
      </c>
    </row>
    <row r="866" spans="1:27" ht="14.25" customHeight="1" x14ac:dyDescent="0.3">
      <c r="A866" s="17">
        <f t="shared" si="23"/>
        <v>865</v>
      </c>
      <c r="B866" s="30">
        <v>41931123</v>
      </c>
      <c r="C866" s="19" t="s">
        <v>1004</v>
      </c>
      <c r="D866" s="18">
        <v>99911609</v>
      </c>
      <c r="E866" s="18">
        <v>83515138</v>
      </c>
      <c r="F866" s="18" t="s">
        <v>333</v>
      </c>
      <c r="G866" s="18" t="s">
        <v>724</v>
      </c>
      <c r="H866" s="18">
        <v>84</v>
      </c>
      <c r="I866" s="18">
        <v>2</v>
      </c>
      <c r="J866" s="19" t="s">
        <v>373</v>
      </c>
      <c r="K866" s="36" t="s">
        <v>64</v>
      </c>
      <c r="L866" s="38"/>
      <c r="M866" s="54"/>
      <c r="N866" s="55"/>
      <c r="O866" s="56"/>
      <c r="P866" s="19" t="s">
        <v>49</v>
      </c>
      <c r="Q866" s="57" t="s">
        <v>518</v>
      </c>
      <c r="R866" s="38">
        <v>46011</v>
      </c>
      <c r="S866" s="20">
        <v>12</v>
      </c>
      <c r="T866" s="20" t="s">
        <v>0</v>
      </c>
      <c r="U866" s="18">
        <v>948884254</v>
      </c>
      <c r="V866" s="19"/>
      <c r="W866" s="20">
        <v>2025</v>
      </c>
      <c r="X866" s="20" t="s">
        <v>0</v>
      </c>
      <c r="Y866" s="58" t="s">
        <v>393</v>
      </c>
      <c r="Z866" t="s">
        <v>537</v>
      </c>
    </row>
    <row r="867" spans="1:27" ht="14.25" customHeight="1" x14ac:dyDescent="0.3">
      <c r="A867" s="17">
        <f t="shared" si="23"/>
        <v>866</v>
      </c>
      <c r="B867" s="30">
        <v>10426722882</v>
      </c>
      <c r="C867" s="19" t="s">
        <v>1021</v>
      </c>
      <c r="D867" s="18">
        <v>100056548</v>
      </c>
      <c r="E867" s="18">
        <v>83632447</v>
      </c>
      <c r="F867" s="18" t="s">
        <v>333</v>
      </c>
      <c r="G867" s="18" t="s">
        <v>724</v>
      </c>
      <c r="H867" s="18">
        <v>84</v>
      </c>
      <c r="I867" s="18">
        <v>6</v>
      </c>
      <c r="J867" s="19" t="s">
        <v>372</v>
      </c>
      <c r="K867" s="36" t="s">
        <v>64</v>
      </c>
      <c r="L867" s="38"/>
      <c r="M867" s="54"/>
      <c r="N867" s="55"/>
      <c r="O867" s="56"/>
      <c r="P867" s="19" t="s">
        <v>49</v>
      </c>
      <c r="Q867" s="57" t="s">
        <v>771</v>
      </c>
      <c r="R867" s="38">
        <v>46017</v>
      </c>
      <c r="S867" s="20">
        <v>12</v>
      </c>
      <c r="T867" s="20" t="s">
        <v>0</v>
      </c>
      <c r="U867" s="18">
        <v>945666099</v>
      </c>
      <c r="V867" s="19"/>
      <c r="W867" s="20">
        <v>2025</v>
      </c>
      <c r="X867" s="20" t="s">
        <v>0</v>
      </c>
      <c r="Y867" s="58" t="s">
        <v>396</v>
      </c>
      <c r="Z867" t="s">
        <v>537</v>
      </c>
    </row>
    <row r="868" spans="1:27" ht="14.25" customHeight="1" x14ac:dyDescent="0.3">
      <c r="A868" s="17">
        <f t="shared" si="23"/>
        <v>867</v>
      </c>
      <c r="B868" s="30">
        <v>9591524</v>
      </c>
      <c r="C868" s="19" t="s">
        <v>1025</v>
      </c>
      <c r="D868" s="18">
        <v>100081778</v>
      </c>
      <c r="E868" s="18">
        <v>83648443</v>
      </c>
      <c r="F868" s="18" t="s">
        <v>333</v>
      </c>
      <c r="G868" s="18" t="s">
        <v>769</v>
      </c>
      <c r="H868" s="18">
        <v>74</v>
      </c>
      <c r="I868" s="18">
        <v>10</v>
      </c>
      <c r="J868" s="19" t="s">
        <v>373</v>
      </c>
      <c r="K868" s="36" t="s">
        <v>64</v>
      </c>
      <c r="L868" s="38"/>
      <c r="M868" s="54"/>
      <c r="N868" s="55"/>
      <c r="O868" s="56"/>
      <c r="P868" s="19" t="s">
        <v>49</v>
      </c>
      <c r="Q868" s="57" t="s">
        <v>518</v>
      </c>
      <c r="R868" s="38">
        <v>46018</v>
      </c>
      <c r="S868" s="20">
        <v>12</v>
      </c>
      <c r="T868" s="20" t="s">
        <v>0</v>
      </c>
      <c r="U868" s="18">
        <v>990977920</v>
      </c>
      <c r="V868" s="19"/>
      <c r="W868" s="20">
        <v>2025</v>
      </c>
      <c r="X868" s="20" t="s">
        <v>0</v>
      </c>
      <c r="Y868" s="58" t="s">
        <v>397</v>
      </c>
      <c r="Z868" t="s">
        <v>537</v>
      </c>
    </row>
    <row r="869" spans="1:27" ht="14.25" customHeight="1" x14ac:dyDescent="0.3">
      <c r="A869" s="17">
        <f t="shared" si="23"/>
        <v>868</v>
      </c>
      <c r="B869" s="30">
        <v>40020155</v>
      </c>
      <c r="C869" s="19" t="s">
        <v>1026</v>
      </c>
      <c r="D869" s="18">
        <v>100082425</v>
      </c>
      <c r="E869" s="18">
        <v>83648679</v>
      </c>
      <c r="F869" s="18" t="s">
        <v>333</v>
      </c>
      <c r="G869" s="18" t="s">
        <v>724</v>
      </c>
      <c r="H869" s="18">
        <v>84</v>
      </c>
      <c r="I869" s="18">
        <v>10</v>
      </c>
      <c r="J869" s="19" t="s">
        <v>373</v>
      </c>
      <c r="K869" s="36" t="s">
        <v>64</v>
      </c>
      <c r="L869" s="38"/>
      <c r="M869" s="54"/>
      <c r="N869" s="55"/>
      <c r="O869" s="56"/>
      <c r="P869" s="19" t="s">
        <v>49</v>
      </c>
      <c r="Q869" s="57" t="s">
        <v>518</v>
      </c>
      <c r="R869" s="38">
        <v>46018</v>
      </c>
      <c r="S869" s="20">
        <v>12</v>
      </c>
      <c r="T869" s="20" t="s">
        <v>0</v>
      </c>
      <c r="U869" s="18">
        <v>959529719</v>
      </c>
      <c r="V869" s="19"/>
      <c r="W869" s="20">
        <v>2025</v>
      </c>
      <c r="X869" s="20" t="s">
        <v>0</v>
      </c>
      <c r="Y869" s="58" t="s">
        <v>402</v>
      </c>
      <c r="Z869" t="s">
        <v>537</v>
      </c>
    </row>
    <row r="870" spans="1:27" ht="14.25" customHeight="1" x14ac:dyDescent="0.3">
      <c r="A870" s="17">
        <f t="shared" si="23"/>
        <v>869</v>
      </c>
      <c r="B870" s="30">
        <v>46270697</v>
      </c>
      <c r="C870" s="19" t="s">
        <v>1028</v>
      </c>
      <c r="D870" s="18">
        <v>100125690</v>
      </c>
      <c r="E870" s="18">
        <v>83701700</v>
      </c>
      <c r="F870" s="18" t="s">
        <v>333</v>
      </c>
      <c r="G870" s="18" t="s">
        <v>724</v>
      </c>
      <c r="H870" s="18">
        <v>84</v>
      </c>
      <c r="I870" s="18">
        <v>2</v>
      </c>
      <c r="J870" s="19" t="s">
        <v>434</v>
      </c>
      <c r="K870" s="36" t="s">
        <v>64</v>
      </c>
      <c r="L870" s="38"/>
      <c r="M870" s="54"/>
      <c r="N870" s="55"/>
      <c r="O870" s="56"/>
      <c r="P870" s="19" t="s">
        <v>49</v>
      </c>
      <c r="Q870" s="57" t="s">
        <v>747</v>
      </c>
      <c r="R870" s="38">
        <v>46020</v>
      </c>
      <c r="S870" s="20">
        <v>12</v>
      </c>
      <c r="T870" s="20" t="s">
        <v>0</v>
      </c>
      <c r="U870" s="18">
        <v>985787721</v>
      </c>
      <c r="V870" s="19"/>
      <c r="W870" s="20">
        <v>2025</v>
      </c>
      <c r="X870" s="20" t="s">
        <v>0</v>
      </c>
      <c r="Y870" s="58" t="s">
        <v>397</v>
      </c>
      <c r="Z870" t="s">
        <v>538</v>
      </c>
    </row>
    <row r="871" spans="1:27" ht="14.25" customHeight="1" x14ac:dyDescent="0.3">
      <c r="A871" s="17">
        <f t="shared" si="23"/>
        <v>870</v>
      </c>
      <c r="B871" s="30">
        <v>10091485180</v>
      </c>
      <c r="C871" s="19" t="s">
        <v>923</v>
      </c>
      <c r="D871" s="18">
        <v>99887540</v>
      </c>
      <c r="E871" s="18">
        <v>83499920</v>
      </c>
      <c r="F871" s="18" t="s">
        <v>333</v>
      </c>
      <c r="G871" s="18" t="s">
        <v>337</v>
      </c>
      <c r="H871" s="18">
        <v>170</v>
      </c>
      <c r="I871" s="18">
        <v>9</v>
      </c>
      <c r="J871" s="19" t="s">
        <v>529</v>
      </c>
      <c r="K871" s="21" t="s">
        <v>64</v>
      </c>
      <c r="L871" s="38"/>
      <c r="M871" s="36"/>
      <c r="N871" s="55"/>
      <c r="O871" s="56"/>
      <c r="P871" s="19" t="s">
        <v>49</v>
      </c>
      <c r="Q871" s="57" t="s">
        <v>524</v>
      </c>
      <c r="R871" s="38">
        <v>46010</v>
      </c>
      <c r="S871" s="20">
        <v>12</v>
      </c>
      <c r="T871" s="20" t="s">
        <v>0</v>
      </c>
      <c r="U871" s="18">
        <v>998701244</v>
      </c>
      <c r="V871" s="19"/>
      <c r="W871" s="20">
        <v>2025</v>
      </c>
      <c r="X871" s="20" t="s">
        <v>0</v>
      </c>
      <c r="Y871" s="58" t="s">
        <v>397</v>
      </c>
      <c r="Z871" t="s">
        <v>537</v>
      </c>
    </row>
    <row r="872" spans="1:27" ht="14.25" customHeight="1" x14ac:dyDescent="0.3">
      <c r="A872" s="17">
        <f t="shared" si="23"/>
        <v>871</v>
      </c>
      <c r="B872" s="20">
        <v>16429529</v>
      </c>
      <c r="C872" s="19" t="s">
        <v>1013</v>
      </c>
      <c r="D872" s="18">
        <v>99863565</v>
      </c>
      <c r="E872" s="20">
        <v>83477738</v>
      </c>
      <c r="F872" s="18" t="s">
        <v>333</v>
      </c>
      <c r="G872" s="18" t="s">
        <v>337</v>
      </c>
      <c r="H872" s="18">
        <v>170</v>
      </c>
      <c r="I872" s="18">
        <v>5</v>
      </c>
      <c r="J872" s="19" t="s">
        <v>475</v>
      </c>
      <c r="K872" s="21" t="s">
        <v>64</v>
      </c>
      <c r="L872" s="38"/>
      <c r="M872" s="36"/>
      <c r="N872" s="26"/>
      <c r="O872" s="38"/>
      <c r="P872" s="19" t="s">
        <v>1011</v>
      </c>
      <c r="Q872" s="57" t="s">
        <v>1011</v>
      </c>
      <c r="R872" s="38">
        <v>46009</v>
      </c>
      <c r="S872" s="20"/>
      <c r="T872" s="20" t="s">
        <v>0</v>
      </c>
      <c r="U872" s="18">
        <v>935638846</v>
      </c>
      <c r="V872" s="19"/>
      <c r="W872" s="20">
        <v>2025</v>
      </c>
      <c r="X872" s="20" t="s">
        <v>0</v>
      </c>
      <c r="Y872" s="58" t="s">
        <v>393</v>
      </c>
      <c r="Z872" t="s">
        <v>537</v>
      </c>
    </row>
    <row r="873" spans="1:27" ht="14.25" customHeight="1" x14ac:dyDescent="0.3">
      <c r="A873" s="17">
        <f t="shared" si="23"/>
        <v>872</v>
      </c>
      <c r="B873" s="30">
        <v>32981270</v>
      </c>
      <c r="C873" s="19" t="s">
        <v>1018</v>
      </c>
      <c r="D873" s="18">
        <v>99958882</v>
      </c>
      <c r="E873" s="18">
        <v>83548497</v>
      </c>
      <c r="F873" s="18" t="s">
        <v>333</v>
      </c>
      <c r="G873" s="18" t="s">
        <v>724</v>
      </c>
      <c r="H873" s="18">
        <v>84</v>
      </c>
      <c r="I873" s="18">
        <v>8</v>
      </c>
      <c r="J873" s="19"/>
      <c r="K873" s="36" t="s">
        <v>64</v>
      </c>
      <c r="L873" s="38"/>
      <c r="M873" s="36"/>
      <c r="N873" s="55"/>
      <c r="O873" s="56"/>
      <c r="P873" s="19" t="s">
        <v>49</v>
      </c>
      <c r="Q873" s="57" t="s">
        <v>770</v>
      </c>
      <c r="R873" s="38">
        <v>46013</v>
      </c>
      <c r="S873" s="20">
        <v>12</v>
      </c>
      <c r="T873" s="20" t="s">
        <v>0</v>
      </c>
      <c r="U873" s="18">
        <v>979910301</v>
      </c>
      <c r="V873" s="19"/>
      <c r="W873" s="20">
        <v>2025</v>
      </c>
      <c r="X873" s="20" t="s">
        <v>0</v>
      </c>
      <c r="Y873" s="58" t="s">
        <v>394</v>
      </c>
      <c r="Z873" t="s">
        <v>538</v>
      </c>
    </row>
    <row r="874" spans="1:27" ht="14.25" customHeight="1" x14ac:dyDescent="0.3">
      <c r="A874" s="17">
        <f t="shared" si="23"/>
        <v>873</v>
      </c>
      <c r="B874" s="30">
        <v>29366164</v>
      </c>
      <c r="C874" s="19" t="s">
        <v>1024</v>
      </c>
      <c r="D874" s="18">
        <v>100068414</v>
      </c>
      <c r="E874" s="18">
        <v>83638833</v>
      </c>
      <c r="F874" s="18" t="s">
        <v>333</v>
      </c>
      <c r="G874" s="18" t="s">
        <v>724</v>
      </c>
      <c r="H874" s="18">
        <v>94</v>
      </c>
      <c r="I874" s="18">
        <v>6</v>
      </c>
      <c r="J874" s="19" t="s">
        <v>369</v>
      </c>
      <c r="K874" s="36" t="s">
        <v>64</v>
      </c>
      <c r="L874" s="38"/>
      <c r="M874" s="36"/>
      <c r="N874" s="55"/>
      <c r="O874" s="56"/>
      <c r="P874" s="19" t="s">
        <v>49</v>
      </c>
      <c r="Q874" s="57" t="s">
        <v>822</v>
      </c>
      <c r="R874" s="38">
        <v>46017</v>
      </c>
      <c r="S874" s="20">
        <v>12</v>
      </c>
      <c r="T874" s="20" t="s">
        <v>0</v>
      </c>
      <c r="U874" s="18">
        <v>959665458</v>
      </c>
      <c r="V874" s="19"/>
      <c r="W874" s="20">
        <v>2025</v>
      </c>
      <c r="X874" s="20" t="s">
        <v>0</v>
      </c>
      <c r="Y874" s="58" t="s">
        <v>402</v>
      </c>
      <c r="Z874" t="s">
        <v>537</v>
      </c>
    </row>
    <row r="875" spans="1:27" ht="14.25" customHeight="1" x14ac:dyDescent="0.3">
      <c r="A875" s="17">
        <f t="shared" si="23"/>
        <v>874</v>
      </c>
      <c r="B875" s="30">
        <v>18853333</v>
      </c>
      <c r="C875" s="19" t="s">
        <v>1029</v>
      </c>
      <c r="D875" s="18">
        <v>100129902</v>
      </c>
      <c r="E875" s="18">
        <v>83704987</v>
      </c>
      <c r="F875" s="18" t="s">
        <v>333</v>
      </c>
      <c r="G875" s="18" t="s">
        <v>724</v>
      </c>
      <c r="H875" s="18">
        <v>84</v>
      </c>
      <c r="I875" s="18">
        <v>6</v>
      </c>
      <c r="J875" s="19" t="s">
        <v>372</v>
      </c>
      <c r="K875" s="36" t="s">
        <v>64</v>
      </c>
      <c r="L875" s="38"/>
      <c r="M875" s="36"/>
      <c r="N875" s="55"/>
      <c r="O875" s="56"/>
      <c r="P875" s="19" t="s">
        <v>49</v>
      </c>
      <c r="Q875" s="57" t="s">
        <v>771</v>
      </c>
      <c r="R875" s="38">
        <v>46020</v>
      </c>
      <c r="S875" s="20">
        <v>12</v>
      </c>
      <c r="T875" s="20" t="s">
        <v>0</v>
      </c>
      <c r="U875" s="18">
        <v>945666099</v>
      </c>
      <c r="V875" s="19"/>
      <c r="W875" s="20">
        <v>2025</v>
      </c>
      <c r="X875" s="20" t="s">
        <v>0</v>
      </c>
      <c r="Y875" s="58" t="s">
        <v>396</v>
      </c>
      <c r="Z875" t="s">
        <v>538</v>
      </c>
    </row>
    <row r="876" spans="1:27" ht="14.25" customHeight="1" x14ac:dyDescent="0.3">
      <c r="A876" s="17">
        <f t="shared" si="23"/>
        <v>875</v>
      </c>
      <c r="B876" s="30">
        <v>10433740071</v>
      </c>
      <c r="C876" s="19" t="s">
        <v>1031</v>
      </c>
      <c r="D876" s="18">
        <v>100169181</v>
      </c>
      <c r="E876" s="18">
        <v>83752959</v>
      </c>
      <c r="F876" s="18" t="s">
        <v>333</v>
      </c>
      <c r="G876" s="18" t="s">
        <v>724</v>
      </c>
      <c r="H876" s="18">
        <v>84</v>
      </c>
      <c r="I876" s="18">
        <v>9</v>
      </c>
      <c r="J876" s="19" t="s">
        <v>372</v>
      </c>
      <c r="K876" s="36" t="s">
        <v>64</v>
      </c>
      <c r="L876" s="38"/>
      <c r="M876" s="36"/>
      <c r="N876" s="55"/>
      <c r="O876" s="56"/>
      <c r="P876" s="19" t="s">
        <v>49</v>
      </c>
      <c r="Q876" s="57" t="s">
        <v>933</v>
      </c>
      <c r="R876" s="38">
        <v>46021</v>
      </c>
      <c r="S876" s="20">
        <v>12</v>
      </c>
      <c r="T876" s="20" t="s">
        <v>0</v>
      </c>
      <c r="U876" s="18">
        <v>947833735</v>
      </c>
      <c r="V876" s="19"/>
      <c r="W876" s="20">
        <v>2025</v>
      </c>
      <c r="X876" s="20" t="s">
        <v>0</v>
      </c>
      <c r="Y876" s="58" t="s">
        <v>396</v>
      </c>
      <c r="Z876" t="s">
        <v>537</v>
      </c>
    </row>
    <row r="877" spans="1:27" ht="14.25" customHeight="1" x14ac:dyDescent="0.3">
      <c r="A877" s="17">
        <f t="shared" si="23"/>
        <v>876</v>
      </c>
      <c r="B877" s="19">
        <v>46573893</v>
      </c>
      <c r="C877" s="19" t="s">
        <v>996</v>
      </c>
      <c r="D877" s="18">
        <v>99886865</v>
      </c>
      <c r="E877" s="18">
        <v>83499219</v>
      </c>
      <c r="F877" s="19" t="s">
        <v>333</v>
      </c>
      <c r="G877" s="19" t="s">
        <v>724</v>
      </c>
      <c r="H877" s="20">
        <v>94</v>
      </c>
      <c r="I877" s="19">
        <v>7</v>
      </c>
      <c r="J877" s="19" t="s">
        <v>373</v>
      </c>
      <c r="K877" s="21" t="s">
        <v>64</v>
      </c>
      <c r="L877" s="21"/>
      <c r="M877" s="38"/>
      <c r="N877" s="36"/>
      <c r="O877" s="55"/>
      <c r="P877" s="19" t="s">
        <v>49</v>
      </c>
      <c r="Q877" s="57" t="s">
        <v>933</v>
      </c>
      <c r="R877" s="38">
        <v>46010</v>
      </c>
      <c r="S877" s="79">
        <v>12</v>
      </c>
      <c r="T877" s="79"/>
      <c r="U877" s="19">
        <v>917393594</v>
      </c>
      <c r="V877" s="19"/>
      <c r="W877" s="79">
        <v>2025</v>
      </c>
      <c r="X877" s="79">
        <v>2025</v>
      </c>
      <c r="Y877" s="53" t="s">
        <v>404</v>
      </c>
      <c r="Z877" s="65" t="s">
        <v>537</v>
      </c>
      <c r="AA877" s="65"/>
    </row>
    <row r="878" spans="1:27" ht="14.25" customHeight="1" x14ac:dyDescent="0.3">
      <c r="A878" s="17">
        <f t="shared" si="23"/>
        <v>877</v>
      </c>
      <c r="B878" s="19">
        <v>42391299</v>
      </c>
      <c r="C878" s="19" t="s">
        <v>997</v>
      </c>
      <c r="D878" s="18">
        <v>99831725</v>
      </c>
      <c r="E878" s="18">
        <v>83500189</v>
      </c>
      <c r="F878" s="19" t="s">
        <v>333</v>
      </c>
      <c r="G878" s="19" t="s">
        <v>724</v>
      </c>
      <c r="H878" s="20">
        <v>94</v>
      </c>
      <c r="I878" s="19">
        <v>8</v>
      </c>
      <c r="J878" s="19" t="s">
        <v>373</v>
      </c>
      <c r="K878" s="21" t="s">
        <v>64</v>
      </c>
      <c r="L878" s="21"/>
      <c r="M878" s="38"/>
      <c r="N878" s="36"/>
      <c r="O878" s="55"/>
      <c r="P878" s="19" t="s">
        <v>49</v>
      </c>
      <c r="Q878" s="57" t="s">
        <v>770</v>
      </c>
      <c r="R878" s="38">
        <v>46010</v>
      </c>
      <c r="S878" s="79">
        <v>12</v>
      </c>
      <c r="T878" s="79"/>
      <c r="U878" s="19">
        <v>971818121</v>
      </c>
      <c r="V878" s="19"/>
      <c r="W878" s="79">
        <v>2025</v>
      </c>
      <c r="X878" s="79">
        <v>2025</v>
      </c>
      <c r="Y878" s="53" t="s">
        <v>404</v>
      </c>
      <c r="Z878" s="65" t="s">
        <v>537</v>
      </c>
      <c r="AA878" s="65"/>
    </row>
    <row r="879" spans="1:27" ht="14.25" customHeight="1" x14ac:dyDescent="0.3">
      <c r="A879" s="17">
        <f t="shared" si="23"/>
        <v>878</v>
      </c>
      <c r="B879" s="19">
        <v>44185649</v>
      </c>
      <c r="C879" s="19" t="s">
        <v>1027</v>
      </c>
      <c r="D879" s="18">
        <v>100092763</v>
      </c>
      <c r="E879" s="18">
        <v>83652745</v>
      </c>
      <c r="F879" s="19" t="s">
        <v>333</v>
      </c>
      <c r="G879" s="19" t="s">
        <v>769</v>
      </c>
      <c r="H879" s="20">
        <v>74</v>
      </c>
      <c r="I879" s="19">
        <v>3</v>
      </c>
      <c r="J879" s="19" t="s">
        <v>529</v>
      </c>
      <c r="K879" s="36" t="s">
        <v>64</v>
      </c>
      <c r="L879" s="36"/>
      <c r="M879" s="38"/>
      <c r="N879" s="36"/>
      <c r="O879" s="55"/>
      <c r="P879" s="19" t="s">
        <v>49</v>
      </c>
      <c r="Q879" s="57" t="s">
        <v>747</v>
      </c>
      <c r="R879" s="38">
        <v>46018</v>
      </c>
      <c r="S879" s="79">
        <v>12</v>
      </c>
      <c r="T879" s="79"/>
      <c r="U879" s="19">
        <v>922095423</v>
      </c>
      <c r="V879" s="19"/>
      <c r="W879" s="79">
        <v>2025</v>
      </c>
      <c r="X879" s="79">
        <v>2025</v>
      </c>
      <c r="Y879" s="53" t="s">
        <v>401</v>
      </c>
      <c r="Z879" s="65" t="s">
        <v>538</v>
      </c>
      <c r="AA879" s="65"/>
    </row>
    <row r="880" spans="1:27" ht="14.25" customHeight="1" x14ac:dyDescent="0.3">
      <c r="A880" s="17">
        <f t="shared" si="23"/>
        <v>879</v>
      </c>
      <c r="B880" s="19">
        <v>46508142</v>
      </c>
      <c r="C880" s="19" t="s">
        <v>1030</v>
      </c>
      <c r="D880" s="18">
        <v>100141249</v>
      </c>
      <c r="E880" s="18">
        <v>83712187</v>
      </c>
      <c r="F880" s="19" t="s">
        <v>333</v>
      </c>
      <c r="G880" s="19" t="s">
        <v>724</v>
      </c>
      <c r="H880" s="20">
        <v>94</v>
      </c>
      <c r="I880" s="19">
        <v>4</v>
      </c>
      <c r="J880" s="19" t="s">
        <v>541</v>
      </c>
      <c r="K880" s="36" t="s">
        <v>64</v>
      </c>
      <c r="L880" s="36"/>
      <c r="M880" s="38"/>
      <c r="N880" s="36"/>
      <c r="O880" s="55"/>
      <c r="P880" s="19" t="s">
        <v>49</v>
      </c>
      <c r="Q880" s="57" t="s">
        <v>822</v>
      </c>
      <c r="R880" s="38">
        <v>46020</v>
      </c>
      <c r="S880" s="79">
        <v>12</v>
      </c>
      <c r="T880" s="79"/>
      <c r="U880" s="19">
        <v>923156970</v>
      </c>
      <c r="V880" s="19"/>
      <c r="W880" s="79">
        <v>2025</v>
      </c>
      <c r="X880" s="79">
        <v>2025</v>
      </c>
      <c r="Y880" s="53" t="s">
        <v>405</v>
      </c>
      <c r="Z880" s="65" t="s">
        <v>537</v>
      </c>
      <c r="AA880" s="65"/>
    </row>
    <row r="881" spans="1:27" ht="14.25" customHeight="1" x14ac:dyDescent="0.3">
      <c r="A881" s="17">
        <f t="shared" si="23"/>
        <v>880</v>
      </c>
      <c r="B881" s="19">
        <v>17891817</v>
      </c>
      <c r="C881" s="19" t="s">
        <v>1032</v>
      </c>
      <c r="D881" s="18">
        <v>100170123</v>
      </c>
      <c r="E881" s="18">
        <v>83753457</v>
      </c>
      <c r="F881" s="19" t="s">
        <v>334</v>
      </c>
      <c r="G881" s="19" t="s">
        <v>724</v>
      </c>
      <c r="H881" s="20">
        <v>94</v>
      </c>
      <c r="I881" s="19">
        <v>2</v>
      </c>
      <c r="J881" s="19" t="s">
        <v>373</v>
      </c>
      <c r="K881" s="36" t="s">
        <v>64</v>
      </c>
      <c r="L881" s="36"/>
      <c r="M881" s="38"/>
      <c r="N881" s="36"/>
      <c r="O881" s="55"/>
      <c r="P881" s="19" t="s">
        <v>49</v>
      </c>
      <c r="Q881" s="57" t="s">
        <v>822</v>
      </c>
      <c r="R881" s="38">
        <v>46021</v>
      </c>
      <c r="S881" s="79">
        <v>12</v>
      </c>
      <c r="T881" s="79"/>
      <c r="U881" s="19">
        <v>970009486</v>
      </c>
      <c r="V881" s="19"/>
      <c r="W881" s="79">
        <v>2025</v>
      </c>
      <c r="X881" s="79">
        <v>2025</v>
      </c>
      <c r="Y881" s="53" t="s">
        <v>396</v>
      </c>
      <c r="Z881" s="65" t="s">
        <v>537</v>
      </c>
      <c r="AA881" s="65"/>
    </row>
    <row r="882" spans="1:27" ht="14.25" customHeight="1" x14ac:dyDescent="0.3">
      <c r="A882" s="17">
        <f t="shared" si="23"/>
        <v>881</v>
      </c>
      <c r="B882" s="19">
        <v>80015582</v>
      </c>
      <c r="C882" s="19" t="s">
        <v>1033</v>
      </c>
      <c r="D882" s="18">
        <v>100208226</v>
      </c>
      <c r="E882" s="18">
        <v>83836539</v>
      </c>
      <c r="F882" s="19" t="s">
        <v>334</v>
      </c>
      <c r="G882" s="19" t="s">
        <v>724</v>
      </c>
      <c r="H882" s="20">
        <v>94</v>
      </c>
      <c r="I882" s="19">
        <v>3</v>
      </c>
      <c r="J882" s="19" t="s">
        <v>475</v>
      </c>
      <c r="K882" s="36" t="s">
        <v>64</v>
      </c>
      <c r="L882" s="36"/>
      <c r="M882" s="38"/>
      <c r="N882" s="36"/>
      <c r="O882" s="55"/>
      <c r="P882" s="19" t="s">
        <v>49</v>
      </c>
      <c r="Q882" s="19" t="s">
        <v>922</v>
      </c>
      <c r="R882" s="38">
        <v>46024</v>
      </c>
      <c r="S882" s="79">
        <v>1</v>
      </c>
      <c r="T882" s="79"/>
      <c r="U882" s="19">
        <v>960696040</v>
      </c>
      <c r="V882" s="19"/>
      <c r="W882" s="79">
        <v>2026</v>
      </c>
      <c r="X882" s="79">
        <v>2026</v>
      </c>
      <c r="Y882" s="53" t="s">
        <v>399</v>
      </c>
      <c r="Z882" s="65" t="s">
        <v>537</v>
      </c>
      <c r="AA882" s="65"/>
    </row>
    <row r="883" spans="1:27" ht="14.25" customHeight="1" x14ac:dyDescent="0.3">
      <c r="A883" s="17">
        <f t="shared" si="23"/>
        <v>882</v>
      </c>
      <c r="B883" s="19">
        <v>10453317540</v>
      </c>
      <c r="C883" s="19" t="s">
        <v>1034</v>
      </c>
      <c r="D883" s="18">
        <v>100214532</v>
      </c>
      <c r="E883" s="18">
        <v>83839847</v>
      </c>
      <c r="F883" s="19" t="s">
        <v>333</v>
      </c>
      <c r="G883" s="19" t="s">
        <v>724</v>
      </c>
      <c r="H883" s="20">
        <v>94</v>
      </c>
      <c r="I883" s="19">
        <v>8</v>
      </c>
      <c r="J883" s="19" t="s">
        <v>475</v>
      </c>
      <c r="K883" s="36" t="s">
        <v>64</v>
      </c>
      <c r="L883" s="36"/>
      <c r="M883" s="38"/>
      <c r="N883" s="36"/>
      <c r="O883" s="55"/>
      <c r="P883" s="19" t="s">
        <v>49</v>
      </c>
      <c r="Q883" s="19" t="s">
        <v>879</v>
      </c>
      <c r="R883" s="38">
        <v>46024</v>
      </c>
      <c r="S883" s="79">
        <v>1</v>
      </c>
      <c r="T883" s="79"/>
      <c r="U883" s="19">
        <v>947635182</v>
      </c>
      <c r="V883" s="19"/>
      <c r="W883" s="79">
        <v>2026</v>
      </c>
      <c r="X883" s="79">
        <v>2026</v>
      </c>
      <c r="Y883" s="53" t="s">
        <v>404</v>
      </c>
      <c r="Z883" s="65" t="s">
        <v>537</v>
      </c>
      <c r="AA883" s="65"/>
    </row>
    <row r="884" spans="1:27" ht="14.25" customHeight="1" x14ac:dyDescent="0.3">
      <c r="A884" s="17">
        <f t="shared" si="23"/>
        <v>883</v>
      </c>
      <c r="B884" s="19">
        <v>40282187</v>
      </c>
      <c r="C884" s="19" t="s">
        <v>1035</v>
      </c>
      <c r="D884" s="18">
        <v>100218207</v>
      </c>
      <c r="E884" s="18">
        <v>83841726</v>
      </c>
      <c r="F884" s="19" t="s">
        <v>333</v>
      </c>
      <c r="G884" s="19" t="s">
        <v>724</v>
      </c>
      <c r="H884" s="20">
        <v>94</v>
      </c>
      <c r="I884" s="19">
        <v>8</v>
      </c>
      <c r="J884" s="19" t="s">
        <v>373</v>
      </c>
      <c r="K884" s="36" t="s">
        <v>64</v>
      </c>
      <c r="L884" s="36"/>
      <c r="M884" s="38"/>
      <c r="N884" s="36"/>
      <c r="O884" s="55"/>
      <c r="P884" s="19" t="s">
        <v>49</v>
      </c>
      <c r="Q884" s="19" t="s">
        <v>822</v>
      </c>
      <c r="R884" s="38">
        <v>46024</v>
      </c>
      <c r="S884" s="79">
        <v>1</v>
      </c>
      <c r="T884" s="79"/>
      <c r="U884" s="19">
        <v>978930962</v>
      </c>
      <c r="V884" s="19"/>
      <c r="W884" s="79">
        <v>2026</v>
      </c>
      <c r="X884" s="79">
        <v>2026</v>
      </c>
      <c r="Y884" s="53" t="s">
        <v>406</v>
      </c>
      <c r="Z884" s="65" t="s">
        <v>538</v>
      </c>
      <c r="AA884" s="65"/>
    </row>
    <row r="885" spans="1:27" ht="14.25" customHeight="1" x14ac:dyDescent="0.3">
      <c r="A885" s="17">
        <f t="shared" si="23"/>
        <v>884</v>
      </c>
      <c r="B885" s="30">
        <v>21408523</v>
      </c>
      <c r="C885" s="19" t="s">
        <v>1041</v>
      </c>
      <c r="D885" s="18">
        <v>100233554</v>
      </c>
      <c r="E885" s="18">
        <v>83866897</v>
      </c>
      <c r="F885" s="18" t="s">
        <v>333</v>
      </c>
      <c r="G885" s="19" t="s">
        <v>337</v>
      </c>
      <c r="H885" s="18">
        <v>170</v>
      </c>
      <c r="I885" s="18">
        <v>5</v>
      </c>
      <c r="J885" s="19" t="s">
        <v>373</v>
      </c>
      <c r="K885" s="36" t="s">
        <v>64</v>
      </c>
      <c r="L885" s="36"/>
      <c r="M885" s="38"/>
      <c r="N885" s="36"/>
      <c r="O885" s="55"/>
      <c r="P885" s="19" t="s">
        <v>49</v>
      </c>
      <c r="Q885" s="19" t="s">
        <v>922</v>
      </c>
      <c r="R885" s="38">
        <v>46025</v>
      </c>
      <c r="S885" s="79">
        <v>1</v>
      </c>
      <c r="T885" s="79"/>
      <c r="U885" s="18">
        <v>970604540</v>
      </c>
      <c r="V885" s="18"/>
      <c r="W885" s="79">
        <v>2026</v>
      </c>
      <c r="X885" s="79">
        <v>2026</v>
      </c>
      <c r="Y885" s="58" t="s">
        <v>399</v>
      </c>
      <c r="Z885" s="65" t="s">
        <v>537</v>
      </c>
      <c r="AA885" s="65"/>
    </row>
    <row r="886" spans="1:27" ht="14.25" customHeight="1" x14ac:dyDescent="0.3">
      <c r="A886" s="17">
        <f t="shared" si="23"/>
        <v>885</v>
      </c>
      <c r="B886" s="30">
        <v>43688682</v>
      </c>
      <c r="C886" s="19" t="s">
        <v>1042</v>
      </c>
      <c r="D886" s="18">
        <v>100234468</v>
      </c>
      <c r="E886" s="18">
        <v>83867222</v>
      </c>
      <c r="F886" s="18" t="s">
        <v>333</v>
      </c>
      <c r="G886" s="19" t="s">
        <v>724</v>
      </c>
      <c r="H886" s="20">
        <v>94</v>
      </c>
      <c r="I886" s="18">
        <v>7</v>
      </c>
      <c r="J886" s="19" t="s">
        <v>373</v>
      </c>
      <c r="K886" s="36" t="s">
        <v>64</v>
      </c>
      <c r="L886" s="36"/>
      <c r="M886" s="38"/>
      <c r="N886" s="36"/>
      <c r="O886" s="55"/>
      <c r="P886" s="19" t="s">
        <v>49</v>
      </c>
      <c r="Q886" s="19" t="s">
        <v>933</v>
      </c>
      <c r="R886" s="38">
        <v>46025</v>
      </c>
      <c r="S886" s="79">
        <v>1</v>
      </c>
      <c r="T886" s="79"/>
      <c r="U886" s="18">
        <v>965790318</v>
      </c>
      <c r="V886" s="18"/>
      <c r="W886" s="79">
        <v>2026</v>
      </c>
      <c r="X886" s="79">
        <v>2026</v>
      </c>
      <c r="Y886" s="53" t="s">
        <v>401</v>
      </c>
      <c r="Z886" s="65" t="s">
        <v>538</v>
      </c>
      <c r="AA886" s="65"/>
    </row>
    <row r="887" spans="1:27" ht="14.25" customHeight="1" x14ac:dyDescent="0.3">
      <c r="A887" s="17">
        <f t="shared" si="23"/>
        <v>886</v>
      </c>
      <c r="B887" s="18">
        <v>76453605</v>
      </c>
      <c r="C887" s="19" t="s">
        <v>1043</v>
      </c>
      <c r="D887" s="18">
        <v>100243387</v>
      </c>
      <c r="E887" s="18">
        <v>83873214</v>
      </c>
      <c r="F887" s="18" t="s">
        <v>333</v>
      </c>
      <c r="G887" s="19" t="s">
        <v>339</v>
      </c>
      <c r="H887" s="20">
        <v>79</v>
      </c>
      <c r="I887" s="18">
        <v>1</v>
      </c>
      <c r="J887" s="19" t="s">
        <v>373</v>
      </c>
      <c r="K887" s="36" t="s">
        <v>64</v>
      </c>
      <c r="L887" s="36"/>
      <c r="M887" s="38"/>
      <c r="N887" s="36"/>
      <c r="O887" s="55"/>
      <c r="P887" s="19" t="s">
        <v>49</v>
      </c>
      <c r="Q887" s="19" t="s">
        <v>524</v>
      </c>
      <c r="R887" s="38">
        <v>46025</v>
      </c>
      <c r="S887" s="79">
        <v>1</v>
      </c>
      <c r="T887" s="79"/>
      <c r="U887" s="18">
        <v>949628292</v>
      </c>
      <c r="V887" s="18"/>
      <c r="W887" s="79">
        <v>2026</v>
      </c>
      <c r="X887" s="79">
        <v>2026</v>
      </c>
      <c r="Y887" s="53" t="s">
        <v>396</v>
      </c>
      <c r="Z887" s="65" t="s">
        <v>537</v>
      </c>
      <c r="AA887" s="65"/>
    </row>
    <row r="888" spans="1:27" ht="14.25" customHeight="1" x14ac:dyDescent="0.3">
      <c r="A888" s="17">
        <f t="shared" si="23"/>
        <v>887</v>
      </c>
      <c r="B888" s="18">
        <v>22469498</v>
      </c>
      <c r="C888" s="19" t="s">
        <v>1048</v>
      </c>
      <c r="D888" s="18">
        <v>100286776</v>
      </c>
      <c r="E888" s="18">
        <v>83933760</v>
      </c>
      <c r="F888" s="18" t="s">
        <v>333</v>
      </c>
      <c r="G888" s="19" t="s">
        <v>724</v>
      </c>
      <c r="H888" s="20">
        <v>94</v>
      </c>
      <c r="I888" s="18">
        <v>2</v>
      </c>
      <c r="J888" s="19" t="s">
        <v>475</v>
      </c>
      <c r="K888" s="36" t="s">
        <v>64</v>
      </c>
      <c r="L888" s="36"/>
      <c r="M888" s="36" t="s">
        <v>18</v>
      </c>
      <c r="N888" s="26" t="s">
        <v>330</v>
      </c>
      <c r="O888" s="38">
        <v>46027</v>
      </c>
      <c r="P888" s="19" t="s">
        <v>49</v>
      </c>
      <c r="Q888" s="19" t="s">
        <v>879</v>
      </c>
      <c r="R888" s="38">
        <v>46027</v>
      </c>
      <c r="S888" s="79">
        <v>1</v>
      </c>
      <c r="T888" s="79"/>
      <c r="U888" s="18">
        <v>961860188</v>
      </c>
      <c r="V888" s="18"/>
      <c r="W888" s="79">
        <v>2026</v>
      </c>
      <c r="X888" s="79">
        <v>2026</v>
      </c>
      <c r="Y888" s="58" t="s">
        <v>403</v>
      </c>
      <c r="Z888" s="65" t="s">
        <v>537</v>
      </c>
      <c r="AA888" s="65"/>
    </row>
    <row r="889" spans="1:27" ht="14.25" customHeight="1" x14ac:dyDescent="0.3">
      <c r="A889" s="17">
        <f t="shared" si="23"/>
        <v>888</v>
      </c>
      <c r="B889" s="18">
        <v>19052513</v>
      </c>
      <c r="C889" s="19" t="s">
        <v>1049</v>
      </c>
      <c r="D889" s="18">
        <v>100289303</v>
      </c>
      <c r="E889" s="18">
        <v>83934907</v>
      </c>
      <c r="F889" s="18" t="s">
        <v>333</v>
      </c>
      <c r="G889" s="19" t="s">
        <v>724</v>
      </c>
      <c r="H889" s="20">
        <v>94</v>
      </c>
      <c r="I889" s="18">
        <v>8</v>
      </c>
      <c r="J889" s="19" t="s">
        <v>372</v>
      </c>
      <c r="K889" s="36" t="s">
        <v>64</v>
      </c>
      <c r="L889" s="36"/>
      <c r="M889" s="36" t="s">
        <v>18</v>
      </c>
      <c r="N889" s="26" t="s">
        <v>330</v>
      </c>
      <c r="O889" s="38">
        <v>46027</v>
      </c>
      <c r="P889" s="19" t="s">
        <v>49</v>
      </c>
      <c r="Q889" s="19" t="s">
        <v>524</v>
      </c>
      <c r="R889" s="38">
        <v>46027</v>
      </c>
      <c r="S889" s="79">
        <v>1</v>
      </c>
      <c r="T889" s="79"/>
      <c r="U889" s="18">
        <v>949976097</v>
      </c>
      <c r="V889" s="18"/>
      <c r="W889" s="79">
        <v>2026</v>
      </c>
      <c r="X889" s="79">
        <v>2026</v>
      </c>
      <c r="Y889" s="58" t="s">
        <v>396</v>
      </c>
      <c r="Z889" s="65" t="s">
        <v>538</v>
      </c>
      <c r="AA889" s="65"/>
    </row>
    <row r="890" spans="1:27" ht="14.25" customHeight="1" x14ac:dyDescent="0.3">
      <c r="A890" s="17">
        <f t="shared" si="23"/>
        <v>889</v>
      </c>
      <c r="B890" s="18">
        <v>46293429</v>
      </c>
      <c r="C890" s="19" t="s">
        <v>1050</v>
      </c>
      <c r="D890" s="18">
        <v>100290222</v>
      </c>
      <c r="E890" s="18">
        <v>83935361</v>
      </c>
      <c r="F890" s="18" t="s">
        <v>333</v>
      </c>
      <c r="G890" s="19" t="s">
        <v>724</v>
      </c>
      <c r="H890" s="20">
        <v>94</v>
      </c>
      <c r="I890" s="18">
        <v>10</v>
      </c>
      <c r="J890" s="19" t="s">
        <v>475</v>
      </c>
      <c r="K890" s="36" t="s">
        <v>64</v>
      </c>
      <c r="L890" s="36"/>
      <c r="M890" s="36" t="s">
        <v>18</v>
      </c>
      <c r="N890" s="26" t="s">
        <v>330</v>
      </c>
      <c r="O890" s="38">
        <v>46027</v>
      </c>
      <c r="P890" s="19" t="s">
        <v>49</v>
      </c>
      <c r="Q890" s="19" t="s">
        <v>822</v>
      </c>
      <c r="R890" s="38">
        <v>46027</v>
      </c>
      <c r="S890" s="79">
        <v>1</v>
      </c>
      <c r="T890" s="79"/>
      <c r="U890" s="18">
        <v>955647266</v>
      </c>
      <c r="V890" s="18"/>
      <c r="W890" s="79">
        <v>2026</v>
      </c>
      <c r="X890" s="79">
        <v>2026</v>
      </c>
      <c r="Y890" s="53" t="s">
        <v>393</v>
      </c>
      <c r="Z890" s="65" t="s">
        <v>537</v>
      </c>
      <c r="AA890" s="65"/>
    </row>
    <row r="891" spans="1:27" ht="14.25" customHeight="1" x14ac:dyDescent="0.3">
      <c r="A891" s="17">
        <f t="shared" si="23"/>
        <v>890</v>
      </c>
      <c r="B891" s="18">
        <v>77811618</v>
      </c>
      <c r="C891" s="19" t="s">
        <v>1051</v>
      </c>
      <c r="D891" s="18">
        <v>100280964</v>
      </c>
      <c r="E891" s="18">
        <v>83929043</v>
      </c>
      <c r="F891" s="18" t="s">
        <v>333</v>
      </c>
      <c r="G891" s="19" t="s">
        <v>724</v>
      </c>
      <c r="H891" s="20">
        <v>94</v>
      </c>
      <c r="I891" s="18">
        <v>2</v>
      </c>
      <c r="J891" s="19" t="s">
        <v>372</v>
      </c>
      <c r="K891" s="36" t="s">
        <v>64</v>
      </c>
      <c r="L891" s="36"/>
      <c r="M891" s="36" t="s">
        <v>18</v>
      </c>
      <c r="N891" s="26" t="s">
        <v>330</v>
      </c>
      <c r="O891" s="38">
        <v>46027</v>
      </c>
      <c r="P891" s="19" t="s">
        <v>1011</v>
      </c>
      <c r="Q891" s="19" t="s">
        <v>1009</v>
      </c>
      <c r="R891" s="38">
        <v>46027</v>
      </c>
      <c r="S891" s="79">
        <v>1</v>
      </c>
      <c r="T891" s="79"/>
      <c r="U891" s="18">
        <v>921332292</v>
      </c>
      <c r="V891" s="18"/>
      <c r="W891" s="79">
        <v>2026</v>
      </c>
      <c r="X891" s="79">
        <v>2026</v>
      </c>
      <c r="Y891" s="53" t="s">
        <v>393</v>
      </c>
      <c r="Z891" s="65" t="s">
        <v>537</v>
      </c>
      <c r="AA891" s="65"/>
    </row>
    <row r="892" spans="1:27" ht="14.25" customHeight="1" x14ac:dyDescent="0.3">
      <c r="A892" s="17">
        <f t="shared" si="23"/>
        <v>891</v>
      </c>
      <c r="B892" s="18">
        <v>60884207</v>
      </c>
      <c r="C892" s="19" t="s">
        <v>1054</v>
      </c>
      <c r="D892" s="18">
        <v>100291345</v>
      </c>
      <c r="E892" s="18">
        <v>83936167</v>
      </c>
      <c r="F892" s="18" t="s">
        <v>333</v>
      </c>
      <c r="G892" s="19" t="s">
        <v>724</v>
      </c>
      <c r="H892" s="20">
        <v>94</v>
      </c>
      <c r="I892" s="18">
        <v>1</v>
      </c>
      <c r="J892" s="19" t="s">
        <v>519</v>
      </c>
      <c r="K892" s="36" t="s">
        <v>64</v>
      </c>
      <c r="L892" s="36"/>
      <c r="M892" s="36" t="s">
        <v>18</v>
      </c>
      <c r="N892" s="26" t="s">
        <v>330</v>
      </c>
      <c r="O892" s="38">
        <v>46027</v>
      </c>
      <c r="P892" s="19" t="s">
        <v>1011</v>
      </c>
      <c r="Q892" s="57" t="s">
        <v>1055</v>
      </c>
      <c r="R892" s="38">
        <v>46027</v>
      </c>
      <c r="S892" s="79">
        <v>1</v>
      </c>
      <c r="T892" s="79"/>
      <c r="U892" s="18">
        <v>917124156</v>
      </c>
      <c r="V892" s="18"/>
      <c r="W892" s="79">
        <v>2026</v>
      </c>
      <c r="X892" s="79">
        <v>2026</v>
      </c>
      <c r="Y892" s="53" t="s">
        <v>393</v>
      </c>
      <c r="Z892" s="65" t="s">
        <v>538</v>
      </c>
      <c r="AA892" s="65"/>
    </row>
    <row r="893" spans="1:27" ht="14.25" customHeight="1" x14ac:dyDescent="0.3">
      <c r="A893" s="17">
        <f t="shared" si="23"/>
        <v>892</v>
      </c>
      <c r="B893" s="18">
        <v>42193737</v>
      </c>
      <c r="C893" s="19" t="s">
        <v>1056</v>
      </c>
      <c r="D893" s="18">
        <v>100311852</v>
      </c>
      <c r="E893" s="18">
        <v>83967148</v>
      </c>
      <c r="F893" s="18" t="s">
        <v>333</v>
      </c>
      <c r="G893" s="19" t="s">
        <v>724</v>
      </c>
      <c r="H893" s="20">
        <v>94</v>
      </c>
      <c r="I893" s="20">
        <v>94</v>
      </c>
      <c r="J893" s="19" t="s">
        <v>626</v>
      </c>
      <c r="K893" s="36" t="s">
        <v>64</v>
      </c>
      <c r="L893" s="36"/>
      <c r="M893" s="36" t="s">
        <v>18</v>
      </c>
      <c r="N893" s="26" t="s">
        <v>330</v>
      </c>
      <c r="O893" s="38">
        <v>46028</v>
      </c>
      <c r="P893" s="19" t="s">
        <v>49</v>
      </c>
      <c r="Q893" s="19" t="s">
        <v>671</v>
      </c>
      <c r="R893" s="38">
        <v>46028</v>
      </c>
      <c r="S893" s="79">
        <v>1</v>
      </c>
      <c r="T893" s="79"/>
      <c r="U893" s="18">
        <v>972932970</v>
      </c>
      <c r="V893" s="18"/>
      <c r="W893" s="79">
        <v>2026</v>
      </c>
      <c r="X893" s="79">
        <v>2026</v>
      </c>
      <c r="Y893" s="53" t="s">
        <v>401</v>
      </c>
      <c r="Z893" s="65" t="s">
        <v>538</v>
      </c>
      <c r="AA893" s="65"/>
    </row>
    <row r="894" spans="1:27" ht="14.25" customHeight="1" x14ac:dyDescent="0.3">
      <c r="A894" s="17">
        <f t="shared" si="23"/>
        <v>893</v>
      </c>
      <c r="B894" s="18">
        <v>70751996</v>
      </c>
      <c r="C894" s="19" t="s">
        <v>1057</v>
      </c>
      <c r="D894" s="18">
        <v>100311635</v>
      </c>
      <c r="E894" s="18">
        <v>83967053</v>
      </c>
      <c r="F894" s="18" t="s">
        <v>333</v>
      </c>
      <c r="G894" s="19" t="s">
        <v>724</v>
      </c>
      <c r="H894" s="20">
        <v>94</v>
      </c>
      <c r="I894" s="20">
        <v>94</v>
      </c>
      <c r="J894" s="19" t="s">
        <v>373</v>
      </c>
      <c r="K894" s="36" t="s">
        <v>64</v>
      </c>
      <c r="L894" s="36"/>
      <c r="M894" s="36" t="s">
        <v>18</v>
      </c>
      <c r="N894" s="26" t="s">
        <v>330</v>
      </c>
      <c r="O894" s="38">
        <v>46028</v>
      </c>
      <c r="P894" s="19" t="s">
        <v>49</v>
      </c>
      <c r="Q894" s="19" t="s">
        <v>518</v>
      </c>
      <c r="R894" s="38">
        <v>46028</v>
      </c>
      <c r="S894" s="79">
        <v>1</v>
      </c>
      <c r="T894" s="79"/>
      <c r="U894" s="18">
        <v>915923136</v>
      </c>
      <c r="V894" s="18"/>
      <c r="W894" s="79">
        <v>2026</v>
      </c>
      <c r="X894" s="79">
        <v>2026</v>
      </c>
      <c r="Y894" s="58" t="s">
        <v>397</v>
      </c>
      <c r="Z894" s="65" t="s">
        <v>538</v>
      </c>
      <c r="AA894" s="65"/>
    </row>
    <row r="895" spans="1:27" ht="14.25" customHeight="1" x14ac:dyDescent="0.3">
      <c r="A895" s="17">
        <f t="shared" si="23"/>
        <v>894</v>
      </c>
      <c r="B895" s="18">
        <v>16517895</v>
      </c>
      <c r="C895" s="19" t="s">
        <v>1063</v>
      </c>
      <c r="D895" s="18">
        <v>100322035</v>
      </c>
      <c r="E895" s="18">
        <v>83972398</v>
      </c>
      <c r="F895" s="18" t="s">
        <v>333</v>
      </c>
      <c r="G895" s="19" t="s">
        <v>337</v>
      </c>
      <c r="H895" s="18">
        <v>170</v>
      </c>
      <c r="I895" s="18">
        <v>170</v>
      </c>
      <c r="J895" s="19" t="s">
        <v>372</v>
      </c>
      <c r="K895" s="36" t="s">
        <v>64</v>
      </c>
      <c r="L895" s="36"/>
      <c r="M895" s="36"/>
      <c r="N895" s="55"/>
      <c r="O895" s="38">
        <v>46028</v>
      </c>
      <c r="P895" s="19" t="s">
        <v>1011</v>
      </c>
      <c r="Q895" s="19" t="s">
        <v>1055</v>
      </c>
      <c r="R895" s="38">
        <v>46028</v>
      </c>
      <c r="S895" s="79">
        <v>1</v>
      </c>
      <c r="T895" s="79"/>
      <c r="U895" s="18">
        <v>901305479</v>
      </c>
      <c r="V895" s="18"/>
      <c r="W895" s="79">
        <v>2026</v>
      </c>
      <c r="X895" s="79">
        <v>2026</v>
      </c>
      <c r="Y895" s="53" t="s">
        <v>393</v>
      </c>
      <c r="Z895" s="65" t="s">
        <v>537</v>
      </c>
      <c r="AA895" s="65"/>
    </row>
    <row r="896" spans="1:27" ht="14.25" customHeight="1" x14ac:dyDescent="0.3">
      <c r="A896" s="17">
        <f t="shared" si="23"/>
        <v>895</v>
      </c>
      <c r="B896" s="18">
        <v>22469498</v>
      </c>
      <c r="C896" s="19" t="s">
        <v>1048</v>
      </c>
      <c r="D896" s="18">
        <v>100333591</v>
      </c>
      <c r="E896" s="18">
        <v>83986342</v>
      </c>
      <c r="F896" s="18" t="s">
        <v>333</v>
      </c>
      <c r="G896" s="19" t="s">
        <v>414</v>
      </c>
      <c r="H896" s="20">
        <v>84</v>
      </c>
      <c r="I896" s="20">
        <v>84</v>
      </c>
      <c r="J896" s="19" t="s">
        <v>373</v>
      </c>
      <c r="K896" s="36" t="s">
        <v>64</v>
      </c>
      <c r="L896" s="36"/>
      <c r="M896" s="36" t="s">
        <v>18</v>
      </c>
      <c r="N896" s="26" t="s">
        <v>330</v>
      </c>
      <c r="O896" s="38">
        <v>46029</v>
      </c>
      <c r="P896" s="19" t="s">
        <v>49</v>
      </c>
      <c r="Q896" s="19" t="s">
        <v>879</v>
      </c>
      <c r="R896" s="38">
        <v>46029</v>
      </c>
      <c r="S896" s="79">
        <v>1</v>
      </c>
      <c r="T896" s="79"/>
      <c r="U896" s="18">
        <v>961860188</v>
      </c>
      <c r="V896" s="18"/>
      <c r="W896" s="79">
        <v>2026</v>
      </c>
      <c r="X896" s="79">
        <v>2026</v>
      </c>
      <c r="Y896" s="58" t="s">
        <v>403</v>
      </c>
      <c r="Z896" s="65" t="s">
        <v>537</v>
      </c>
      <c r="AA896" s="65"/>
    </row>
    <row r="897" spans="1:26" ht="14.25" customHeight="1" x14ac:dyDescent="0.3">
      <c r="A897" s="17">
        <f t="shared" si="23"/>
        <v>896</v>
      </c>
      <c r="B897" s="30">
        <v>44794507</v>
      </c>
      <c r="C897" s="19" t="s">
        <v>1040</v>
      </c>
      <c r="D897" s="18">
        <v>100231003</v>
      </c>
      <c r="E897" s="18">
        <v>83865870</v>
      </c>
      <c r="F897" s="18" t="s">
        <v>334</v>
      </c>
      <c r="G897" s="19" t="s">
        <v>724</v>
      </c>
      <c r="H897" s="20">
        <v>94</v>
      </c>
      <c r="I897" s="18">
        <v>10</v>
      </c>
      <c r="J897" s="19" t="s">
        <v>604</v>
      </c>
      <c r="K897" s="36" t="s">
        <v>64</v>
      </c>
      <c r="L897" s="38"/>
      <c r="M897" s="36"/>
      <c r="N897" s="55"/>
      <c r="O897" s="56"/>
      <c r="P897" s="19" t="s">
        <v>49</v>
      </c>
      <c r="Q897" s="19" t="s">
        <v>747</v>
      </c>
      <c r="R897" s="38">
        <v>46025</v>
      </c>
      <c r="S897" s="79">
        <v>1</v>
      </c>
      <c r="T897" s="79" t="s">
        <v>0</v>
      </c>
      <c r="U897" s="18">
        <v>998884208</v>
      </c>
      <c r="V897" s="19"/>
      <c r="W897" s="79">
        <v>2026</v>
      </c>
      <c r="X897" s="79" t="s">
        <v>0</v>
      </c>
      <c r="Y897" s="58" t="s">
        <v>426</v>
      </c>
      <c r="Z897" s="65" t="s">
        <v>537</v>
      </c>
    </row>
    <row r="898" spans="1:26" ht="14.25" customHeight="1" x14ac:dyDescent="0.3">
      <c r="A898" s="17">
        <f t="shared" si="23"/>
        <v>897</v>
      </c>
      <c r="B898" s="19">
        <v>10453317540</v>
      </c>
      <c r="C898" s="19" t="s">
        <v>1034</v>
      </c>
      <c r="D898" s="18">
        <v>100214532</v>
      </c>
      <c r="E898" s="18">
        <v>83839847</v>
      </c>
      <c r="F898" s="19" t="s">
        <v>333</v>
      </c>
      <c r="G898" s="19" t="s">
        <v>724</v>
      </c>
      <c r="H898" s="20">
        <v>94</v>
      </c>
      <c r="I898" s="19">
        <v>8</v>
      </c>
      <c r="J898" s="19" t="s">
        <v>529</v>
      </c>
      <c r="K898" s="36" t="s">
        <v>64</v>
      </c>
      <c r="L898" s="38"/>
      <c r="M898" s="36" t="s">
        <v>18</v>
      </c>
      <c r="N898" s="26" t="s">
        <v>330</v>
      </c>
      <c r="O898" s="38">
        <v>46027</v>
      </c>
      <c r="P898" s="19" t="s">
        <v>49</v>
      </c>
      <c r="Q898" s="19" t="s">
        <v>879</v>
      </c>
      <c r="R898" s="38">
        <v>46027</v>
      </c>
      <c r="S898" s="79">
        <v>1</v>
      </c>
      <c r="T898" s="79" t="s">
        <v>0</v>
      </c>
      <c r="U898" s="19">
        <v>947635182</v>
      </c>
      <c r="V898" s="19"/>
      <c r="W898" s="79">
        <v>2026</v>
      </c>
      <c r="X898" s="79" t="s">
        <v>0</v>
      </c>
      <c r="Y898" s="58" t="s">
        <v>404</v>
      </c>
      <c r="Z898" s="65" t="s">
        <v>537</v>
      </c>
    </row>
    <row r="899" spans="1:26" ht="14.25" customHeight="1" x14ac:dyDescent="0.3">
      <c r="A899" s="17">
        <f t="shared" si="23"/>
        <v>898</v>
      </c>
      <c r="B899" s="18">
        <v>29549177</v>
      </c>
      <c r="C899" s="19" t="s">
        <v>1058</v>
      </c>
      <c r="D899" s="18">
        <v>100314777</v>
      </c>
      <c r="E899" s="18">
        <v>83968984</v>
      </c>
      <c r="F899" s="18" t="s">
        <v>334</v>
      </c>
      <c r="G899" s="19" t="s">
        <v>724</v>
      </c>
      <c r="H899" s="20">
        <v>94</v>
      </c>
      <c r="I899" s="18"/>
      <c r="J899" s="19" t="s">
        <v>529</v>
      </c>
      <c r="K899" s="36" t="s">
        <v>64</v>
      </c>
      <c r="L899" s="38"/>
      <c r="M899" s="36" t="s">
        <v>18</v>
      </c>
      <c r="N899" s="26" t="s">
        <v>330</v>
      </c>
      <c r="O899" s="38">
        <v>46029</v>
      </c>
      <c r="P899" s="19" t="s">
        <v>49</v>
      </c>
      <c r="Q899" s="19" t="s">
        <v>54</v>
      </c>
      <c r="R899" s="38">
        <v>46028</v>
      </c>
      <c r="S899" s="79">
        <v>1</v>
      </c>
      <c r="T899" s="79" t="s">
        <v>0</v>
      </c>
      <c r="U899" s="18">
        <v>983740999</v>
      </c>
      <c r="V899" s="19"/>
      <c r="W899" s="79">
        <v>2026</v>
      </c>
      <c r="X899" s="79" t="s">
        <v>0</v>
      </c>
      <c r="Y899" s="58" t="s">
        <v>402</v>
      </c>
      <c r="Z899" s="65" t="s">
        <v>537</v>
      </c>
    </row>
    <row r="900" spans="1:26" ht="14.25" customHeight="1" x14ac:dyDescent="0.3">
      <c r="A900" s="17">
        <f t="shared" ref="A900:A963" si="24">A899+1</f>
        <v>899</v>
      </c>
      <c r="B900" s="18">
        <v>16414889</v>
      </c>
      <c r="C900" s="19" t="s">
        <v>1059</v>
      </c>
      <c r="D900" s="18">
        <v>100313746</v>
      </c>
      <c r="E900" s="18">
        <v>83969807</v>
      </c>
      <c r="F900" s="18" t="s">
        <v>333</v>
      </c>
      <c r="G900" s="19" t="s">
        <v>1047</v>
      </c>
      <c r="H900" s="18">
        <v>175</v>
      </c>
      <c r="I900" s="18"/>
      <c r="J900" s="19" t="s">
        <v>541</v>
      </c>
      <c r="K900" s="36" t="s">
        <v>64</v>
      </c>
      <c r="L900" s="38"/>
      <c r="M900" s="36" t="s">
        <v>18</v>
      </c>
      <c r="N900" s="26" t="s">
        <v>330</v>
      </c>
      <c r="O900" s="38">
        <v>46028</v>
      </c>
      <c r="P900" s="19" t="s">
        <v>49</v>
      </c>
      <c r="Q900" s="19" t="s">
        <v>770</v>
      </c>
      <c r="R900" s="38">
        <v>46028</v>
      </c>
      <c r="S900" s="79">
        <v>1</v>
      </c>
      <c r="T900" s="79" t="s">
        <v>0</v>
      </c>
      <c r="U900" s="18">
        <v>991288580</v>
      </c>
      <c r="V900" s="19"/>
      <c r="W900" s="79">
        <v>2026</v>
      </c>
      <c r="X900" s="79" t="s">
        <v>0</v>
      </c>
      <c r="Y900" s="58" t="s">
        <v>393</v>
      </c>
      <c r="Z900" s="65" t="s">
        <v>537</v>
      </c>
    </row>
    <row r="901" spans="1:26" ht="14.25" customHeight="1" x14ac:dyDescent="0.3">
      <c r="A901" s="17">
        <f t="shared" si="24"/>
        <v>900</v>
      </c>
      <c r="B901" s="18">
        <v>41675673</v>
      </c>
      <c r="C901" s="19" t="s">
        <v>1061</v>
      </c>
      <c r="D901" s="18">
        <v>100321762</v>
      </c>
      <c r="E901" s="18">
        <v>83972283</v>
      </c>
      <c r="F901" s="18" t="s">
        <v>333</v>
      </c>
      <c r="G901" s="19" t="s">
        <v>337</v>
      </c>
      <c r="H901" s="18">
        <v>170</v>
      </c>
      <c r="I901" s="18"/>
      <c r="J901" s="19" t="s">
        <v>529</v>
      </c>
      <c r="K901" s="36" t="s">
        <v>64</v>
      </c>
      <c r="L901" s="38"/>
      <c r="M901" s="36" t="s">
        <v>18</v>
      </c>
      <c r="N901" s="26" t="s">
        <v>330</v>
      </c>
      <c r="O901" s="38">
        <v>46029</v>
      </c>
      <c r="P901" s="19" t="s">
        <v>49</v>
      </c>
      <c r="Q901" s="19" t="s">
        <v>671</v>
      </c>
      <c r="R901" s="38">
        <v>46028</v>
      </c>
      <c r="S901" s="79">
        <v>1</v>
      </c>
      <c r="T901" s="79" t="s">
        <v>0</v>
      </c>
      <c r="U901" s="18">
        <v>940381350</v>
      </c>
      <c r="V901" s="19"/>
      <c r="W901" s="79">
        <v>2026</v>
      </c>
      <c r="X901" s="79" t="s">
        <v>0</v>
      </c>
      <c r="Y901" s="58" t="s">
        <v>397</v>
      </c>
      <c r="Z901" s="65" t="s">
        <v>538</v>
      </c>
    </row>
    <row r="902" spans="1:26" ht="14.25" customHeight="1" x14ac:dyDescent="0.3">
      <c r="A902" s="17">
        <f t="shared" si="24"/>
        <v>901</v>
      </c>
      <c r="B902" s="18">
        <v>29681428</v>
      </c>
      <c r="C902" s="19" t="s">
        <v>1064</v>
      </c>
      <c r="D902" s="18">
        <v>100333261</v>
      </c>
      <c r="E902" s="18">
        <v>83986224</v>
      </c>
      <c r="F902" s="18" t="s">
        <v>333</v>
      </c>
      <c r="G902" s="19" t="s">
        <v>724</v>
      </c>
      <c r="H902" s="20">
        <v>94</v>
      </c>
      <c r="I902" s="18"/>
      <c r="J902" s="19" t="s">
        <v>373</v>
      </c>
      <c r="K902" s="36" t="s">
        <v>64</v>
      </c>
      <c r="L902" s="38"/>
      <c r="M902" s="36" t="s">
        <v>18</v>
      </c>
      <c r="N902" s="26" t="s">
        <v>330</v>
      </c>
      <c r="O902" s="38">
        <v>46029</v>
      </c>
      <c r="P902" s="19" t="s">
        <v>49</v>
      </c>
      <c r="Q902" s="19" t="s">
        <v>747</v>
      </c>
      <c r="R902" s="38">
        <v>46029</v>
      </c>
      <c r="S902" s="79">
        <v>1</v>
      </c>
      <c r="T902" s="79" t="s">
        <v>0</v>
      </c>
      <c r="U902" s="18">
        <v>928389486</v>
      </c>
      <c r="V902" s="19"/>
      <c r="W902" s="79">
        <v>2026</v>
      </c>
      <c r="X902" s="79" t="s">
        <v>0</v>
      </c>
      <c r="Y902" s="53" t="s">
        <v>402</v>
      </c>
      <c r="Z902" s="65" t="s">
        <v>537</v>
      </c>
    </row>
    <row r="903" spans="1:26" ht="14.25" customHeight="1" x14ac:dyDescent="0.3">
      <c r="A903" s="17">
        <f t="shared" si="24"/>
        <v>902</v>
      </c>
      <c r="B903" s="18">
        <v>29417643</v>
      </c>
      <c r="C903" s="19" t="s">
        <v>1065</v>
      </c>
      <c r="D903" s="18">
        <v>100338611</v>
      </c>
      <c r="E903" s="18">
        <v>83988702</v>
      </c>
      <c r="F903" s="18" t="s">
        <v>333</v>
      </c>
      <c r="G903" s="19" t="s">
        <v>724</v>
      </c>
      <c r="H903" s="20">
        <v>94</v>
      </c>
      <c r="I903" s="18"/>
      <c r="J903" s="19" t="s">
        <v>541</v>
      </c>
      <c r="K903" s="36" t="s">
        <v>64</v>
      </c>
      <c r="L903" s="38"/>
      <c r="M903" s="36" t="s">
        <v>18</v>
      </c>
      <c r="N903" s="26" t="s">
        <v>330</v>
      </c>
      <c r="O903" s="38">
        <v>46029</v>
      </c>
      <c r="P903" s="19" t="s">
        <v>49</v>
      </c>
      <c r="Q903" s="19" t="s">
        <v>770</v>
      </c>
      <c r="R903" s="38">
        <v>46029</v>
      </c>
      <c r="S903" s="79">
        <v>1</v>
      </c>
      <c r="T903" s="79" t="s">
        <v>0</v>
      </c>
      <c r="U903" s="18">
        <v>959490806</v>
      </c>
      <c r="V903" s="19"/>
      <c r="W903" s="79">
        <v>2026</v>
      </c>
      <c r="X903" s="79" t="s">
        <v>0</v>
      </c>
      <c r="Y903" s="53" t="s">
        <v>402</v>
      </c>
      <c r="Z903" s="65" t="s">
        <v>537</v>
      </c>
    </row>
    <row r="904" spans="1:26" ht="14.25" customHeight="1" x14ac:dyDescent="0.3">
      <c r="A904" s="17">
        <f t="shared" si="24"/>
        <v>903</v>
      </c>
      <c r="B904" s="18">
        <v>80569063</v>
      </c>
      <c r="C904" s="19" t="s">
        <v>1066</v>
      </c>
      <c r="D904" s="18" t="s">
        <v>1067</v>
      </c>
      <c r="E904" s="18">
        <v>83989745</v>
      </c>
      <c r="F904" s="18" t="s">
        <v>333</v>
      </c>
      <c r="G904" s="19" t="s">
        <v>724</v>
      </c>
      <c r="H904" s="20">
        <v>94</v>
      </c>
      <c r="I904" s="18"/>
      <c r="J904" s="19" t="s">
        <v>541</v>
      </c>
      <c r="K904" s="36" t="s">
        <v>64</v>
      </c>
      <c r="L904" s="38"/>
      <c r="M904" s="36" t="s">
        <v>18</v>
      </c>
      <c r="N904" s="26" t="s">
        <v>330</v>
      </c>
      <c r="O904" s="38">
        <v>46029</v>
      </c>
      <c r="P904" s="19" t="s">
        <v>49</v>
      </c>
      <c r="Q904" s="19" t="s">
        <v>922</v>
      </c>
      <c r="R904" s="38">
        <v>46029</v>
      </c>
      <c r="S904" s="79">
        <v>1</v>
      </c>
      <c r="T904" s="79" t="s">
        <v>0</v>
      </c>
      <c r="U904" s="18">
        <v>951477048</v>
      </c>
      <c r="V904" s="19"/>
      <c r="W904" s="79">
        <v>2026</v>
      </c>
      <c r="X904" s="79" t="s">
        <v>0</v>
      </c>
      <c r="Y904" s="53" t="s">
        <v>396</v>
      </c>
      <c r="Z904" s="65" t="s">
        <v>537</v>
      </c>
    </row>
    <row r="905" spans="1:26" ht="14.25" customHeight="1" x14ac:dyDescent="0.3">
      <c r="A905" s="17">
        <f t="shared" si="24"/>
        <v>904</v>
      </c>
      <c r="B905" s="18">
        <v>43026803</v>
      </c>
      <c r="C905" s="19" t="s">
        <v>1068</v>
      </c>
      <c r="D905" s="18">
        <v>100344046</v>
      </c>
      <c r="E905" s="18">
        <v>83991441</v>
      </c>
      <c r="F905" s="18" t="s">
        <v>334</v>
      </c>
      <c r="G905" s="19" t="s">
        <v>1047</v>
      </c>
      <c r="H905" s="20">
        <v>175</v>
      </c>
      <c r="I905" s="18"/>
      <c r="J905" s="19" t="s">
        <v>373</v>
      </c>
      <c r="K905" s="36" t="s">
        <v>64</v>
      </c>
      <c r="L905" s="38"/>
      <c r="M905" s="36" t="s">
        <v>18</v>
      </c>
      <c r="N905" s="26" t="s">
        <v>330</v>
      </c>
      <c r="O905" s="38">
        <v>46029</v>
      </c>
      <c r="P905" s="19" t="s">
        <v>49</v>
      </c>
      <c r="Q905" s="19" t="s">
        <v>879</v>
      </c>
      <c r="R905" s="38">
        <v>46029</v>
      </c>
      <c r="S905" s="79">
        <v>1</v>
      </c>
      <c r="T905" s="79" t="s">
        <v>0</v>
      </c>
      <c r="U905" s="18">
        <v>948251170</v>
      </c>
      <c r="V905" s="19"/>
      <c r="W905" s="79">
        <v>2026</v>
      </c>
      <c r="X905" s="79" t="s">
        <v>0</v>
      </c>
      <c r="Y905" s="53" t="s">
        <v>400</v>
      </c>
      <c r="Z905" s="65" t="s">
        <v>538</v>
      </c>
    </row>
    <row r="906" spans="1:26" ht="14.25" customHeight="1" x14ac:dyDescent="0.3">
      <c r="A906" s="17">
        <f t="shared" si="24"/>
        <v>905</v>
      </c>
      <c r="B906" s="18">
        <v>29597904</v>
      </c>
      <c r="C906" s="19" t="s">
        <v>1070</v>
      </c>
      <c r="D906" s="18">
        <v>100358033</v>
      </c>
      <c r="E906" s="18">
        <v>84011791</v>
      </c>
      <c r="F906" s="18" t="s">
        <v>333</v>
      </c>
      <c r="G906" s="19" t="s">
        <v>724</v>
      </c>
      <c r="H906" s="20">
        <v>94</v>
      </c>
      <c r="I906" s="18"/>
      <c r="J906" s="19" t="s">
        <v>529</v>
      </c>
      <c r="K906" s="36" t="s">
        <v>64</v>
      </c>
      <c r="L906" s="38"/>
      <c r="M906" s="36" t="s">
        <v>18</v>
      </c>
      <c r="N906" s="26" t="s">
        <v>330</v>
      </c>
      <c r="O906" s="38">
        <v>46030</v>
      </c>
      <c r="P906" s="19" t="s">
        <v>49</v>
      </c>
      <c r="Q906" s="19" t="s">
        <v>671</v>
      </c>
      <c r="R906" s="38">
        <v>46030</v>
      </c>
      <c r="S906" s="79">
        <v>1</v>
      </c>
      <c r="T906" s="79" t="s">
        <v>0</v>
      </c>
      <c r="U906" s="18">
        <v>959449525</v>
      </c>
      <c r="V906" s="19"/>
      <c r="W906" s="79">
        <v>2026</v>
      </c>
      <c r="X906" s="79" t="s">
        <v>0</v>
      </c>
      <c r="Y906" s="58" t="s">
        <v>402</v>
      </c>
      <c r="Z906" s="65" t="s">
        <v>537</v>
      </c>
    </row>
    <row r="907" spans="1:26" ht="14.25" customHeight="1" x14ac:dyDescent="0.3">
      <c r="A907" s="17">
        <f t="shared" si="24"/>
        <v>906</v>
      </c>
      <c r="B907" s="18">
        <v>23989612</v>
      </c>
      <c r="C907" s="19" t="s">
        <v>1071</v>
      </c>
      <c r="D907" s="18">
        <v>100358293</v>
      </c>
      <c r="E907" s="18">
        <v>84012077</v>
      </c>
      <c r="F907" s="18" t="s">
        <v>334</v>
      </c>
      <c r="G907" s="19" t="s">
        <v>724</v>
      </c>
      <c r="H907" s="20">
        <v>94</v>
      </c>
      <c r="I907" s="18"/>
      <c r="J907" s="19" t="s">
        <v>373</v>
      </c>
      <c r="K907" s="36" t="s">
        <v>64</v>
      </c>
      <c r="L907" s="38"/>
      <c r="M907" s="36" t="s">
        <v>18</v>
      </c>
      <c r="N907" s="26" t="s">
        <v>330</v>
      </c>
      <c r="O907" s="38">
        <v>46030</v>
      </c>
      <c r="P907" s="19" t="s">
        <v>49</v>
      </c>
      <c r="Q907" s="19" t="s">
        <v>771</v>
      </c>
      <c r="R907" s="38">
        <v>46030</v>
      </c>
      <c r="S907" s="79">
        <v>1</v>
      </c>
      <c r="T907" s="79" t="s">
        <v>0</v>
      </c>
      <c r="U907" s="18">
        <v>984342930</v>
      </c>
      <c r="V907" s="19"/>
      <c r="W907" s="79">
        <v>2026</v>
      </c>
      <c r="X907" s="79" t="s">
        <v>0</v>
      </c>
      <c r="Y907" s="53" t="s">
        <v>408</v>
      </c>
      <c r="Z907" s="65" t="s">
        <v>537</v>
      </c>
    </row>
    <row r="908" spans="1:26" ht="14.25" customHeight="1" x14ac:dyDescent="0.3">
      <c r="A908" s="17">
        <f t="shared" si="24"/>
        <v>907</v>
      </c>
      <c r="B908" s="18">
        <v>43785497</v>
      </c>
      <c r="C908" s="19" t="s">
        <v>1073</v>
      </c>
      <c r="D908" s="18" t="s">
        <v>1074</v>
      </c>
      <c r="E908" s="18">
        <v>84015738</v>
      </c>
      <c r="F908" s="18" t="s">
        <v>333</v>
      </c>
      <c r="G908" s="19" t="s">
        <v>724</v>
      </c>
      <c r="H908" s="20">
        <v>94</v>
      </c>
      <c r="I908" s="18"/>
      <c r="J908" s="19" t="s">
        <v>373</v>
      </c>
      <c r="K908" s="36" t="s">
        <v>64</v>
      </c>
      <c r="L908" s="38"/>
      <c r="M908" s="36" t="s">
        <v>18</v>
      </c>
      <c r="N908" s="26" t="s">
        <v>330</v>
      </c>
      <c r="O908" s="38">
        <v>46030</v>
      </c>
      <c r="P908" s="19" t="s">
        <v>49</v>
      </c>
      <c r="Q908" s="19" t="s">
        <v>770</v>
      </c>
      <c r="R908" s="38">
        <v>46030</v>
      </c>
      <c r="S908" s="79">
        <v>1</v>
      </c>
      <c r="T908" s="79" t="s">
        <v>0</v>
      </c>
      <c r="U908" s="18">
        <v>935331674</v>
      </c>
      <c r="V908" s="19"/>
      <c r="W908" s="79">
        <v>2026</v>
      </c>
      <c r="X908" s="79" t="s">
        <v>0</v>
      </c>
      <c r="Y908" s="58" t="s">
        <v>404</v>
      </c>
      <c r="Z908" s="65" t="s">
        <v>538</v>
      </c>
    </row>
    <row r="909" spans="1:26" ht="14.25" customHeight="1" x14ac:dyDescent="0.3">
      <c r="A909" s="17">
        <f t="shared" si="24"/>
        <v>908</v>
      </c>
      <c r="B909" s="18">
        <v>44774654</v>
      </c>
      <c r="C909" s="19" t="s">
        <v>1075</v>
      </c>
      <c r="D909" s="18">
        <v>100370878</v>
      </c>
      <c r="E909" s="18">
        <v>84020410</v>
      </c>
      <c r="F909" s="18" t="s">
        <v>333</v>
      </c>
      <c r="G909" s="19" t="s">
        <v>337</v>
      </c>
      <c r="H909" s="20">
        <v>170</v>
      </c>
      <c r="I909" s="18"/>
      <c r="J909" s="19" t="s">
        <v>529</v>
      </c>
      <c r="K909" s="36" t="s">
        <v>64</v>
      </c>
      <c r="L909" s="38"/>
      <c r="M909" s="36" t="s">
        <v>18</v>
      </c>
      <c r="N909" s="26" t="s">
        <v>330</v>
      </c>
      <c r="O909" s="38">
        <v>46030</v>
      </c>
      <c r="P909" s="19" t="s">
        <v>49</v>
      </c>
      <c r="Q909" s="19" t="s">
        <v>747</v>
      </c>
      <c r="R909" s="38">
        <v>46030</v>
      </c>
      <c r="S909" s="79">
        <v>1</v>
      </c>
      <c r="T909" s="79" t="s">
        <v>0</v>
      </c>
      <c r="U909" s="18">
        <v>990111215</v>
      </c>
      <c r="V909" s="19"/>
      <c r="W909" s="79">
        <v>2026</v>
      </c>
      <c r="X909" s="79" t="s">
        <v>0</v>
      </c>
      <c r="Y909" s="53" t="s">
        <v>403</v>
      </c>
      <c r="Z909" s="65" t="s">
        <v>537</v>
      </c>
    </row>
    <row r="910" spans="1:26" ht="14.25" customHeight="1" x14ac:dyDescent="0.3">
      <c r="A910" s="17">
        <f t="shared" si="24"/>
        <v>909</v>
      </c>
      <c r="B910" s="18">
        <v>22244503</v>
      </c>
      <c r="C910" s="19" t="s">
        <v>1076</v>
      </c>
      <c r="D910" s="18">
        <v>100370345</v>
      </c>
      <c r="E910" s="18">
        <v>84020080</v>
      </c>
      <c r="F910" s="18" t="s">
        <v>333</v>
      </c>
      <c r="G910" s="19" t="s">
        <v>724</v>
      </c>
      <c r="H910" s="20">
        <v>94</v>
      </c>
      <c r="I910" s="18"/>
      <c r="J910" s="19" t="s">
        <v>541</v>
      </c>
      <c r="K910" s="36" t="s">
        <v>64</v>
      </c>
      <c r="L910" s="38"/>
      <c r="M910" s="36" t="s">
        <v>18</v>
      </c>
      <c r="N910" s="26" t="s">
        <v>330</v>
      </c>
      <c r="O910" s="38">
        <v>46030</v>
      </c>
      <c r="P910" s="19" t="s">
        <v>49</v>
      </c>
      <c r="Q910" s="19" t="s">
        <v>54</v>
      </c>
      <c r="R910" s="38">
        <v>46030</v>
      </c>
      <c r="S910" s="79">
        <v>1</v>
      </c>
      <c r="T910" s="79" t="s">
        <v>0</v>
      </c>
      <c r="U910" s="18">
        <v>925080492</v>
      </c>
      <c r="V910" s="19"/>
      <c r="W910" s="79">
        <v>2026</v>
      </c>
      <c r="X910" s="79" t="s">
        <v>0</v>
      </c>
      <c r="Y910" s="58" t="s">
        <v>399</v>
      </c>
      <c r="Z910" s="65" t="s">
        <v>537</v>
      </c>
    </row>
    <row r="911" spans="1:26" ht="14.25" customHeight="1" x14ac:dyDescent="0.3">
      <c r="A911" s="17">
        <f t="shared" si="24"/>
        <v>910</v>
      </c>
      <c r="B911" s="18">
        <v>16736150</v>
      </c>
      <c r="C911" s="19" t="s">
        <v>1077</v>
      </c>
      <c r="D911" s="18">
        <v>100369863</v>
      </c>
      <c r="E911" s="18">
        <v>84019823</v>
      </c>
      <c r="F911" s="18" t="s">
        <v>333</v>
      </c>
      <c r="G911" s="19" t="s">
        <v>337</v>
      </c>
      <c r="H911" s="20">
        <v>170</v>
      </c>
      <c r="I911" s="18"/>
      <c r="J911" s="19" t="s">
        <v>373</v>
      </c>
      <c r="K911" s="36" t="s">
        <v>64</v>
      </c>
      <c r="L911" s="38"/>
      <c r="M911" s="36" t="s">
        <v>18</v>
      </c>
      <c r="N911" s="26" t="s">
        <v>330</v>
      </c>
      <c r="O911" s="38">
        <v>46030</v>
      </c>
      <c r="P911" s="19" t="s">
        <v>1011</v>
      </c>
      <c r="Q911" s="19" t="s">
        <v>1055</v>
      </c>
      <c r="R911" s="38">
        <v>46030</v>
      </c>
      <c r="S911" s="79">
        <v>1</v>
      </c>
      <c r="T911" s="79" t="s">
        <v>0</v>
      </c>
      <c r="U911" s="18">
        <v>902528093</v>
      </c>
      <c r="V911" s="19"/>
      <c r="W911" s="79">
        <v>2026</v>
      </c>
      <c r="X911" s="79" t="s">
        <v>0</v>
      </c>
      <c r="Y911" s="58" t="s">
        <v>1010</v>
      </c>
      <c r="Z911" s="65" t="s">
        <v>537</v>
      </c>
    </row>
    <row r="912" spans="1:26" ht="14.25" customHeight="1" x14ac:dyDescent="0.3">
      <c r="A912" s="17">
        <f t="shared" si="24"/>
        <v>911</v>
      </c>
      <c r="B912" s="18">
        <v>16655557</v>
      </c>
      <c r="C912" s="19" t="s">
        <v>1078</v>
      </c>
      <c r="D912" s="18">
        <v>100373175</v>
      </c>
      <c r="E912" s="18">
        <v>84021754</v>
      </c>
      <c r="F912" s="18" t="s">
        <v>333</v>
      </c>
      <c r="G912" s="19" t="s">
        <v>724</v>
      </c>
      <c r="H912" s="20">
        <v>94</v>
      </c>
      <c r="I912" s="18"/>
      <c r="J912" s="19" t="s">
        <v>529</v>
      </c>
      <c r="K912" s="36" t="s">
        <v>64</v>
      </c>
      <c r="L912" s="38"/>
      <c r="M912" s="36" t="s">
        <v>18</v>
      </c>
      <c r="N912" s="26" t="s">
        <v>330</v>
      </c>
      <c r="O912" s="38">
        <v>46030</v>
      </c>
      <c r="P912" s="19" t="s">
        <v>1011</v>
      </c>
      <c r="Q912" s="19" t="s">
        <v>1011</v>
      </c>
      <c r="R912" s="38">
        <v>46030</v>
      </c>
      <c r="S912" s="79">
        <v>1</v>
      </c>
      <c r="T912" s="79" t="s">
        <v>0</v>
      </c>
      <c r="U912" s="18">
        <v>935230030</v>
      </c>
      <c r="V912" s="19"/>
      <c r="W912" s="79">
        <v>2026</v>
      </c>
      <c r="X912" s="79" t="s">
        <v>0</v>
      </c>
      <c r="Y912" s="58" t="s">
        <v>1010</v>
      </c>
      <c r="Z912" s="65" t="s">
        <v>538</v>
      </c>
    </row>
    <row r="913" spans="1:26" ht="14.25" customHeight="1" x14ac:dyDescent="0.3">
      <c r="A913" s="17">
        <f t="shared" si="24"/>
        <v>912</v>
      </c>
      <c r="B913" s="18">
        <v>41675673</v>
      </c>
      <c r="C913" s="19" t="s">
        <v>1061</v>
      </c>
      <c r="D913" s="18">
        <v>100321762</v>
      </c>
      <c r="E913" s="18">
        <v>83972283</v>
      </c>
      <c r="F913" s="18" t="s">
        <v>333</v>
      </c>
      <c r="G913" s="19" t="s">
        <v>337</v>
      </c>
      <c r="H913" s="18">
        <v>170</v>
      </c>
      <c r="I913" s="18"/>
      <c r="J913" s="19"/>
      <c r="K913" s="36" t="s">
        <v>64</v>
      </c>
      <c r="L913" s="38"/>
      <c r="M913" s="36" t="s">
        <v>18</v>
      </c>
      <c r="N913" s="26" t="s">
        <v>330</v>
      </c>
      <c r="O913" s="38">
        <v>46031</v>
      </c>
      <c r="P913" s="19" t="s">
        <v>49</v>
      </c>
      <c r="Q913" s="19" t="s">
        <v>671</v>
      </c>
      <c r="R913" s="38">
        <v>46031</v>
      </c>
      <c r="S913" s="79">
        <v>1</v>
      </c>
      <c r="T913" s="79" t="s">
        <v>0</v>
      </c>
      <c r="U913" s="18">
        <v>940381350</v>
      </c>
      <c r="V913" s="19"/>
      <c r="W913" s="79">
        <v>2026</v>
      </c>
      <c r="X913" s="79" t="s">
        <v>0</v>
      </c>
      <c r="Y913" s="58" t="s">
        <v>397</v>
      </c>
      <c r="Z913" s="65" t="s">
        <v>538</v>
      </c>
    </row>
    <row r="914" spans="1:26" ht="14.25" customHeight="1" x14ac:dyDescent="0.3">
      <c r="A914" s="17">
        <f t="shared" si="24"/>
        <v>913</v>
      </c>
      <c r="B914" s="18">
        <v>10326412835</v>
      </c>
      <c r="C914" s="19" t="s">
        <v>1079</v>
      </c>
      <c r="D914" s="18">
        <v>100394315</v>
      </c>
      <c r="E914" s="18">
        <v>84043527</v>
      </c>
      <c r="F914" s="18" t="s">
        <v>333</v>
      </c>
      <c r="G914" s="19" t="s">
        <v>337</v>
      </c>
      <c r="H914" s="18">
        <v>170</v>
      </c>
      <c r="I914" s="18"/>
      <c r="J914" s="19" t="s">
        <v>373</v>
      </c>
      <c r="K914" s="36" t="s">
        <v>64</v>
      </c>
      <c r="L914" s="38"/>
      <c r="M914" s="36" t="s">
        <v>18</v>
      </c>
      <c r="N914" s="26" t="s">
        <v>330</v>
      </c>
      <c r="O914" s="38">
        <v>46031</v>
      </c>
      <c r="P914" s="19" t="s">
        <v>49</v>
      </c>
      <c r="Q914" s="19" t="s">
        <v>771</v>
      </c>
      <c r="R914" s="38">
        <v>46031</v>
      </c>
      <c r="S914" s="79">
        <v>1</v>
      </c>
      <c r="T914" s="79" t="s">
        <v>0</v>
      </c>
      <c r="U914" s="18">
        <v>920014100</v>
      </c>
      <c r="V914" s="19"/>
      <c r="W914" s="79">
        <v>2026</v>
      </c>
      <c r="X914" s="79" t="s">
        <v>0</v>
      </c>
      <c r="Y914" s="53" t="s">
        <v>394</v>
      </c>
      <c r="Z914" s="65" t="s">
        <v>537</v>
      </c>
    </row>
    <row r="915" spans="1:26" ht="14.25" customHeight="1" x14ac:dyDescent="0.3">
      <c r="A915" s="17">
        <f t="shared" si="24"/>
        <v>914</v>
      </c>
      <c r="B915" s="18">
        <v>10180880041</v>
      </c>
      <c r="C915" s="19" t="s">
        <v>1080</v>
      </c>
      <c r="D915" s="18">
        <v>100398950</v>
      </c>
      <c r="E915" s="18">
        <v>84046400</v>
      </c>
      <c r="F915" s="18" t="s">
        <v>334</v>
      </c>
      <c r="G915" s="19" t="s">
        <v>724</v>
      </c>
      <c r="H915" s="20">
        <v>94</v>
      </c>
      <c r="I915" s="18"/>
      <c r="J915" s="19" t="s">
        <v>529</v>
      </c>
      <c r="K915" s="36" t="s">
        <v>64</v>
      </c>
      <c r="L915" s="38"/>
      <c r="M915" s="36" t="s">
        <v>18</v>
      </c>
      <c r="N915" s="26" t="s">
        <v>330</v>
      </c>
      <c r="O915" s="38">
        <v>46031</v>
      </c>
      <c r="P915" s="19" t="s">
        <v>49</v>
      </c>
      <c r="Q915" s="19" t="s">
        <v>518</v>
      </c>
      <c r="R915" s="38">
        <v>46031</v>
      </c>
      <c r="S915" s="79">
        <v>1</v>
      </c>
      <c r="T915" s="79" t="s">
        <v>0</v>
      </c>
      <c r="U915" s="18">
        <v>948490056</v>
      </c>
      <c r="V915" s="19"/>
      <c r="W915" s="79">
        <v>2026</v>
      </c>
      <c r="X915" s="79" t="s">
        <v>0</v>
      </c>
      <c r="Y915" s="53" t="s">
        <v>396</v>
      </c>
      <c r="Z915" s="65" t="s">
        <v>537</v>
      </c>
    </row>
    <row r="916" spans="1:26" ht="14.25" customHeight="1" x14ac:dyDescent="0.3">
      <c r="A916" s="17">
        <f t="shared" si="24"/>
        <v>915</v>
      </c>
      <c r="B916" s="18">
        <v>32907933</v>
      </c>
      <c r="C916" s="19" t="s">
        <v>1081</v>
      </c>
      <c r="D916" s="18">
        <v>100400288</v>
      </c>
      <c r="E916" s="18">
        <v>84046780</v>
      </c>
      <c r="F916" s="18" t="s">
        <v>333</v>
      </c>
      <c r="G916" s="19" t="s">
        <v>337</v>
      </c>
      <c r="H916" s="18">
        <v>170</v>
      </c>
      <c r="I916" s="18"/>
      <c r="J916" s="19" t="s">
        <v>541</v>
      </c>
      <c r="K916" s="36" t="s">
        <v>64</v>
      </c>
      <c r="L916" s="38"/>
      <c r="M916" s="36" t="s">
        <v>18</v>
      </c>
      <c r="N916" s="26" t="s">
        <v>330</v>
      </c>
      <c r="O916" s="38">
        <v>46031</v>
      </c>
      <c r="P916" s="19" t="s">
        <v>49</v>
      </c>
      <c r="Q916" s="19" t="s">
        <v>822</v>
      </c>
      <c r="R916" s="38">
        <v>46031</v>
      </c>
      <c r="S916" s="79">
        <v>1</v>
      </c>
      <c r="T916" s="79" t="s">
        <v>0</v>
      </c>
      <c r="U916" s="18">
        <v>947738083</v>
      </c>
      <c r="V916" s="19"/>
      <c r="W916" s="79">
        <v>2026</v>
      </c>
      <c r="X916" s="79" t="s">
        <v>0</v>
      </c>
      <c r="Y916" s="58" t="s">
        <v>394</v>
      </c>
      <c r="Z916" s="65" t="s">
        <v>538</v>
      </c>
    </row>
    <row r="917" spans="1:26" ht="14.25" customHeight="1" x14ac:dyDescent="0.3">
      <c r="A917" s="17">
        <f t="shared" si="24"/>
        <v>916</v>
      </c>
      <c r="B917" s="18">
        <v>44767706</v>
      </c>
      <c r="C917" s="19" t="s">
        <v>1082</v>
      </c>
      <c r="D917" s="18">
        <v>100403022</v>
      </c>
      <c r="E917" s="18">
        <v>84048069</v>
      </c>
      <c r="F917" s="18" t="s">
        <v>333</v>
      </c>
      <c r="G917" s="19" t="s">
        <v>414</v>
      </c>
      <c r="H917" s="20">
        <v>84</v>
      </c>
      <c r="I917" s="18"/>
      <c r="J917" s="19" t="s">
        <v>372</v>
      </c>
      <c r="K917" s="36" t="s">
        <v>64</v>
      </c>
      <c r="L917" s="38"/>
      <c r="M917" s="36" t="s">
        <v>18</v>
      </c>
      <c r="N917" s="26" t="s">
        <v>330</v>
      </c>
      <c r="O917" s="38">
        <v>46031</v>
      </c>
      <c r="P917" s="19" t="s">
        <v>49</v>
      </c>
      <c r="Q917" s="19" t="s">
        <v>747</v>
      </c>
      <c r="R917" s="38">
        <v>46031</v>
      </c>
      <c r="S917" s="79">
        <v>1</v>
      </c>
      <c r="T917" s="79" t="s">
        <v>0</v>
      </c>
      <c r="U917" s="18">
        <v>995334555</v>
      </c>
      <c r="V917" s="19"/>
      <c r="W917" s="79">
        <v>2026</v>
      </c>
      <c r="X917" s="79" t="s">
        <v>0</v>
      </c>
      <c r="Y917" s="53" t="s">
        <v>404</v>
      </c>
      <c r="Z917" s="65" t="s">
        <v>538</v>
      </c>
    </row>
    <row r="918" spans="1:26" ht="14.25" customHeight="1" x14ac:dyDescent="0.3">
      <c r="A918" s="17">
        <f t="shared" si="24"/>
        <v>917</v>
      </c>
      <c r="B918" s="18">
        <v>16788560</v>
      </c>
      <c r="C918" s="19" t="s">
        <v>1083</v>
      </c>
      <c r="D918" s="18">
        <v>100395002</v>
      </c>
      <c r="E918" s="18">
        <v>84043969</v>
      </c>
      <c r="F918" s="18" t="s">
        <v>333</v>
      </c>
      <c r="G918" s="19" t="s">
        <v>769</v>
      </c>
      <c r="H918" s="20">
        <v>69</v>
      </c>
      <c r="I918" s="18"/>
      <c r="J918" s="19" t="s">
        <v>373</v>
      </c>
      <c r="K918" s="36" t="s">
        <v>64</v>
      </c>
      <c r="L918" s="38"/>
      <c r="M918" s="36"/>
      <c r="N918" s="26" t="s">
        <v>330</v>
      </c>
      <c r="O918" s="38">
        <v>46031</v>
      </c>
      <c r="P918" s="19" t="s">
        <v>1011</v>
      </c>
      <c r="Q918" s="19" t="s">
        <v>1011</v>
      </c>
      <c r="R918" s="38">
        <v>46031</v>
      </c>
      <c r="S918" s="79">
        <v>1</v>
      </c>
      <c r="T918" s="79" t="s">
        <v>0</v>
      </c>
      <c r="U918" s="18">
        <v>958367820</v>
      </c>
      <c r="V918" s="19"/>
      <c r="W918" s="79">
        <v>2026</v>
      </c>
      <c r="X918" s="79" t="s">
        <v>0</v>
      </c>
      <c r="Y918" s="58" t="s">
        <v>1010</v>
      </c>
      <c r="Z918" s="65" t="s">
        <v>538</v>
      </c>
    </row>
    <row r="919" spans="1:26" ht="14.25" customHeight="1" x14ac:dyDescent="0.3">
      <c r="A919" s="17">
        <f t="shared" si="24"/>
        <v>918</v>
      </c>
      <c r="B919" s="18">
        <v>45302723</v>
      </c>
      <c r="C919" s="19" t="s">
        <v>1084</v>
      </c>
      <c r="D919" s="18">
        <v>100394591</v>
      </c>
      <c r="E919" s="18">
        <v>84043663</v>
      </c>
      <c r="F919" s="18" t="s">
        <v>333</v>
      </c>
      <c r="G919" s="19" t="s">
        <v>724</v>
      </c>
      <c r="H919" s="20">
        <v>94</v>
      </c>
      <c r="I919" s="18"/>
      <c r="J919" s="19" t="s">
        <v>634</v>
      </c>
      <c r="K919" s="36" t="s">
        <v>64</v>
      </c>
      <c r="L919" s="38"/>
      <c r="M919" s="36"/>
      <c r="N919" s="26" t="s">
        <v>330</v>
      </c>
      <c r="O919" s="38">
        <v>46031</v>
      </c>
      <c r="P919" s="19" t="s">
        <v>1011</v>
      </c>
      <c r="Q919" s="19" t="s">
        <v>1011</v>
      </c>
      <c r="R919" s="38">
        <v>46031</v>
      </c>
      <c r="S919" s="79">
        <v>1</v>
      </c>
      <c r="T919" s="79" t="s">
        <v>0</v>
      </c>
      <c r="U919" s="18">
        <v>900856699</v>
      </c>
      <c r="V919" s="19"/>
      <c r="W919" s="79">
        <v>2026</v>
      </c>
      <c r="X919" s="79" t="s">
        <v>0</v>
      </c>
      <c r="Y919" s="58" t="s">
        <v>1010</v>
      </c>
      <c r="Z919" s="65" t="s">
        <v>537</v>
      </c>
    </row>
    <row r="920" spans="1:26" ht="14.25" customHeight="1" x14ac:dyDescent="0.3">
      <c r="A920" s="17">
        <f t="shared" si="24"/>
        <v>919</v>
      </c>
      <c r="B920" s="18">
        <v>4429026</v>
      </c>
      <c r="C920" s="19" t="s">
        <v>1085</v>
      </c>
      <c r="D920" s="18">
        <v>100422295</v>
      </c>
      <c r="E920" s="18">
        <v>84059282</v>
      </c>
      <c r="F920" s="18" t="s">
        <v>333</v>
      </c>
      <c r="G920" s="19" t="s">
        <v>337</v>
      </c>
      <c r="H920" s="18">
        <v>170</v>
      </c>
      <c r="I920" s="18"/>
      <c r="J920" s="19" t="s">
        <v>373</v>
      </c>
      <c r="K920" s="36" t="s">
        <v>64</v>
      </c>
      <c r="L920" s="38"/>
      <c r="M920" s="36" t="s">
        <v>18</v>
      </c>
      <c r="N920" s="26" t="s">
        <v>330</v>
      </c>
      <c r="O920" s="38">
        <v>46032</v>
      </c>
      <c r="P920" s="19" t="s">
        <v>1011</v>
      </c>
      <c r="Q920" s="19" t="s">
        <v>1011</v>
      </c>
      <c r="R920" s="38">
        <v>46032</v>
      </c>
      <c r="S920" s="79">
        <v>1</v>
      </c>
      <c r="T920" s="79" t="s">
        <v>0</v>
      </c>
      <c r="U920" s="18">
        <v>934374863</v>
      </c>
      <c r="V920" s="19"/>
      <c r="W920" s="79">
        <v>2026</v>
      </c>
      <c r="X920" s="79" t="s">
        <v>0</v>
      </c>
      <c r="Y920" s="58" t="s">
        <v>1010</v>
      </c>
      <c r="Z920" s="65" t="s">
        <v>538</v>
      </c>
    </row>
    <row r="921" spans="1:26" ht="14.25" customHeight="1" x14ac:dyDescent="0.3">
      <c r="A921" s="17">
        <f t="shared" si="24"/>
        <v>920</v>
      </c>
    </row>
    <row r="922" spans="1:26" ht="14.25" customHeight="1" x14ac:dyDescent="0.3">
      <c r="A922" s="17">
        <f t="shared" si="24"/>
        <v>921</v>
      </c>
    </row>
    <row r="923" spans="1:26" ht="14.25" customHeight="1" x14ac:dyDescent="0.3">
      <c r="A923" s="17">
        <f t="shared" si="24"/>
        <v>922</v>
      </c>
    </row>
    <row r="924" spans="1:26" ht="14.25" customHeight="1" x14ac:dyDescent="0.3">
      <c r="A924" s="17">
        <f t="shared" si="24"/>
        <v>923</v>
      </c>
    </row>
    <row r="925" spans="1:26" ht="14.25" customHeight="1" x14ac:dyDescent="0.3">
      <c r="A925" s="17">
        <f t="shared" si="24"/>
        <v>924</v>
      </c>
    </row>
    <row r="926" spans="1:26" ht="14.25" customHeight="1" x14ac:dyDescent="0.3">
      <c r="A926" s="17">
        <f t="shared" si="24"/>
        <v>925</v>
      </c>
    </row>
    <row r="927" spans="1:26" ht="14.25" customHeight="1" x14ac:dyDescent="0.3">
      <c r="A927" s="17">
        <f t="shared" si="24"/>
        <v>926</v>
      </c>
    </row>
    <row r="928" spans="1:26" ht="14.25" customHeight="1" x14ac:dyDescent="0.3">
      <c r="A928" s="17">
        <f t="shared" si="24"/>
        <v>927</v>
      </c>
    </row>
    <row r="929" spans="1:1" ht="14.25" customHeight="1" x14ac:dyDescent="0.3">
      <c r="A929" s="17">
        <f t="shared" si="24"/>
        <v>928</v>
      </c>
    </row>
    <row r="930" spans="1:1" ht="14.25" customHeight="1" x14ac:dyDescent="0.3">
      <c r="A930" s="17">
        <f t="shared" si="24"/>
        <v>929</v>
      </c>
    </row>
    <row r="931" spans="1:1" ht="14.25" customHeight="1" x14ac:dyDescent="0.3">
      <c r="A931" s="17">
        <f t="shared" si="24"/>
        <v>930</v>
      </c>
    </row>
    <row r="932" spans="1:1" ht="14.25" customHeight="1" x14ac:dyDescent="0.3">
      <c r="A932" s="17">
        <f t="shared" si="24"/>
        <v>931</v>
      </c>
    </row>
    <row r="933" spans="1:1" ht="14.25" customHeight="1" x14ac:dyDescent="0.3">
      <c r="A933" s="17">
        <f t="shared" si="24"/>
        <v>932</v>
      </c>
    </row>
    <row r="934" spans="1:1" ht="14.25" customHeight="1" x14ac:dyDescent="0.3">
      <c r="A934" s="17">
        <f t="shared" si="24"/>
        <v>933</v>
      </c>
    </row>
    <row r="935" spans="1:1" ht="14.25" customHeight="1" x14ac:dyDescent="0.3">
      <c r="A935" s="17">
        <f t="shared" si="24"/>
        <v>934</v>
      </c>
    </row>
    <row r="936" spans="1:1" ht="14.25" customHeight="1" x14ac:dyDescent="0.3">
      <c r="A936" s="17">
        <f t="shared" si="24"/>
        <v>935</v>
      </c>
    </row>
    <row r="937" spans="1:1" ht="14.25" customHeight="1" x14ac:dyDescent="0.3">
      <c r="A937" s="17">
        <f t="shared" si="24"/>
        <v>936</v>
      </c>
    </row>
    <row r="938" spans="1:1" ht="14.25" customHeight="1" x14ac:dyDescent="0.3">
      <c r="A938" s="17">
        <f t="shared" si="24"/>
        <v>937</v>
      </c>
    </row>
    <row r="939" spans="1:1" ht="14.25" customHeight="1" x14ac:dyDescent="0.3">
      <c r="A939" s="17">
        <f t="shared" si="24"/>
        <v>938</v>
      </c>
    </row>
    <row r="940" spans="1:1" ht="14.25" customHeight="1" x14ac:dyDescent="0.3">
      <c r="A940" s="17">
        <f t="shared" si="24"/>
        <v>939</v>
      </c>
    </row>
    <row r="941" spans="1:1" ht="14.25" customHeight="1" x14ac:dyDescent="0.3">
      <c r="A941" s="17">
        <f t="shared" si="24"/>
        <v>940</v>
      </c>
    </row>
    <row r="942" spans="1:1" ht="14.25" customHeight="1" x14ac:dyDescent="0.3">
      <c r="A942" s="17">
        <f t="shared" si="24"/>
        <v>941</v>
      </c>
    </row>
    <row r="943" spans="1:1" ht="14.25" customHeight="1" x14ac:dyDescent="0.3">
      <c r="A943" s="17">
        <f t="shared" si="24"/>
        <v>942</v>
      </c>
    </row>
    <row r="944" spans="1:1" ht="14.25" customHeight="1" x14ac:dyDescent="0.3">
      <c r="A944" s="17">
        <f t="shared" si="24"/>
        <v>943</v>
      </c>
    </row>
    <row r="945" spans="1:1" ht="14.25" customHeight="1" x14ac:dyDescent="0.3">
      <c r="A945" s="17">
        <f t="shared" si="24"/>
        <v>944</v>
      </c>
    </row>
    <row r="946" spans="1:1" ht="14.25" customHeight="1" x14ac:dyDescent="0.3">
      <c r="A946" s="17">
        <f t="shared" si="24"/>
        <v>945</v>
      </c>
    </row>
    <row r="947" spans="1:1" ht="14.25" customHeight="1" x14ac:dyDescent="0.3">
      <c r="A947" s="17">
        <f t="shared" si="24"/>
        <v>946</v>
      </c>
    </row>
    <row r="948" spans="1:1" ht="14.25" customHeight="1" x14ac:dyDescent="0.3">
      <c r="A948" s="17">
        <f t="shared" si="24"/>
        <v>947</v>
      </c>
    </row>
    <row r="949" spans="1:1" ht="14.25" customHeight="1" x14ac:dyDescent="0.3">
      <c r="A949" s="17">
        <f t="shared" si="24"/>
        <v>948</v>
      </c>
    </row>
    <row r="950" spans="1:1" ht="14.25" customHeight="1" x14ac:dyDescent="0.3">
      <c r="A950" s="17">
        <f t="shared" si="24"/>
        <v>949</v>
      </c>
    </row>
    <row r="951" spans="1:1" ht="14.25" customHeight="1" x14ac:dyDescent="0.3">
      <c r="A951" s="17">
        <f t="shared" si="24"/>
        <v>950</v>
      </c>
    </row>
    <row r="952" spans="1:1" ht="14.25" customHeight="1" x14ac:dyDescent="0.3">
      <c r="A952" s="17">
        <f t="shared" si="24"/>
        <v>951</v>
      </c>
    </row>
    <row r="953" spans="1:1" ht="14.25" customHeight="1" x14ac:dyDescent="0.3">
      <c r="A953" s="17">
        <f t="shared" si="24"/>
        <v>952</v>
      </c>
    </row>
    <row r="954" spans="1:1" ht="14.25" customHeight="1" x14ac:dyDescent="0.3">
      <c r="A954" s="17">
        <f t="shared" si="24"/>
        <v>953</v>
      </c>
    </row>
    <row r="955" spans="1:1" ht="14.25" customHeight="1" x14ac:dyDescent="0.3">
      <c r="A955" s="17">
        <f t="shared" si="24"/>
        <v>954</v>
      </c>
    </row>
    <row r="956" spans="1:1" ht="14.25" customHeight="1" x14ac:dyDescent="0.3">
      <c r="A956" s="17">
        <f t="shared" si="24"/>
        <v>955</v>
      </c>
    </row>
    <row r="957" spans="1:1" ht="14.25" customHeight="1" x14ac:dyDescent="0.3">
      <c r="A957" s="17">
        <f t="shared" si="24"/>
        <v>956</v>
      </c>
    </row>
    <row r="958" spans="1:1" ht="14.25" customHeight="1" x14ac:dyDescent="0.3">
      <c r="A958" s="17">
        <f t="shared" si="24"/>
        <v>957</v>
      </c>
    </row>
    <row r="959" spans="1:1" ht="14.25" customHeight="1" x14ac:dyDescent="0.3">
      <c r="A959" s="17">
        <f t="shared" si="24"/>
        <v>958</v>
      </c>
    </row>
    <row r="960" spans="1:1" ht="14.25" customHeight="1" x14ac:dyDescent="0.3">
      <c r="A960" s="17">
        <f t="shared" si="24"/>
        <v>959</v>
      </c>
    </row>
    <row r="961" spans="1:1" ht="14.25" customHeight="1" x14ac:dyDescent="0.3">
      <c r="A961" s="17">
        <f t="shared" si="24"/>
        <v>960</v>
      </c>
    </row>
    <row r="962" spans="1:1" ht="14.25" customHeight="1" x14ac:dyDescent="0.3">
      <c r="A962" s="17">
        <f t="shared" si="24"/>
        <v>961</v>
      </c>
    </row>
    <row r="963" spans="1:1" ht="14.25" customHeight="1" x14ac:dyDescent="0.3">
      <c r="A963" s="17">
        <f t="shared" si="24"/>
        <v>962</v>
      </c>
    </row>
    <row r="964" spans="1:1" ht="14.25" customHeight="1" x14ac:dyDescent="0.3">
      <c r="A964" s="17">
        <f t="shared" ref="A964:A1027" si="25">A963+1</f>
        <v>963</v>
      </c>
    </row>
    <row r="965" spans="1:1" ht="14.25" customHeight="1" x14ac:dyDescent="0.3">
      <c r="A965" s="17">
        <f t="shared" si="25"/>
        <v>964</v>
      </c>
    </row>
    <row r="966" spans="1:1" ht="14.25" customHeight="1" x14ac:dyDescent="0.3">
      <c r="A966" s="17">
        <f t="shared" si="25"/>
        <v>965</v>
      </c>
    </row>
    <row r="967" spans="1:1" ht="14.25" customHeight="1" x14ac:dyDescent="0.3">
      <c r="A967" s="17">
        <f t="shared" si="25"/>
        <v>966</v>
      </c>
    </row>
    <row r="968" spans="1:1" ht="14.25" customHeight="1" x14ac:dyDescent="0.3">
      <c r="A968" s="17">
        <f t="shared" si="25"/>
        <v>967</v>
      </c>
    </row>
    <row r="969" spans="1:1" ht="14.25" customHeight="1" x14ac:dyDescent="0.3">
      <c r="A969" s="17">
        <f t="shared" si="25"/>
        <v>968</v>
      </c>
    </row>
    <row r="970" spans="1:1" ht="14.25" customHeight="1" x14ac:dyDescent="0.3">
      <c r="A970" s="17">
        <f t="shared" si="25"/>
        <v>969</v>
      </c>
    </row>
    <row r="971" spans="1:1" ht="14.25" customHeight="1" x14ac:dyDescent="0.3">
      <c r="A971" s="17">
        <f t="shared" si="25"/>
        <v>970</v>
      </c>
    </row>
    <row r="972" spans="1:1" ht="14.25" customHeight="1" x14ac:dyDescent="0.3">
      <c r="A972" s="17">
        <f t="shared" si="25"/>
        <v>971</v>
      </c>
    </row>
    <row r="973" spans="1:1" ht="14.25" customHeight="1" x14ac:dyDescent="0.3">
      <c r="A973" s="17">
        <f t="shared" si="25"/>
        <v>972</v>
      </c>
    </row>
    <row r="974" spans="1:1" ht="14.25" customHeight="1" x14ac:dyDescent="0.3">
      <c r="A974" s="17">
        <f t="shared" si="25"/>
        <v>973</v>
      </c>
    </row>
    <row r="975" spans="1:1" ht="14.25" customHeight="1" x14ac:dyDescent="0.3">
      <c r="A975" s="17">
        <f t="shared" si="25"/>
        <v>974</v>
      </c>
    </row>
    <row r="976" spans="1:1" ht="14.25" customHeight="1" x14ac:dyDescent="0.3">
      <c r="A976" s="17">
        <f t="shared" si="25"/>
        <v>975</v>
      </c>
    </row>
    <row r="977" spans="1:1" ht="14.25" customHeight="1" x14ac:dyDescent="0.3">
      <c r="A977" s="17">
        <f t="shared" si="25"/>
        <v>976</v>
      </c>
    </row>
    <row r="978" spans="1:1" ht="14.25" customHeight="1" x14ac:dyDescent="0.3">
      <c r="A978" s="17">
        <f t="shared" si="25"/>
        <v>977</v>
      </c>
    </row>
    <row r="979" spans="1:1" ht="14.25" customHeight="1" x14ac:dyDescent="0.3">
      <c r="A979" s="17">
        <f t="shared" si="25"/>
        <v>978</v>
      </c>
    </row>
    <row r="980" spans="1:1" ht="14.25" customHeight="1" x14ac:dyDescent="0.3">
      <c r="A980" s="17">
        <f t="shared" si="25"/>
        <v>979</v>
      </c>
    </row>
    <row r="981" spans="1:1" ht="14.25" customHeight="1" x14ac:dyDescent="0.3">
      <c r="A981" s="17">
        <f t="shared" si="25"/>
        <v>980</v>
      </c>
    </row>
    <row r="982" spans="1:1" ht="14.25" customHeight="1" x14ac:dyDescent="0.3">
      <c r="A982" s="17">
        <f t="shared" si="25"/>
        <v>981</v>
      </c>
    </row>
    <row r="983" spans="1:1" ht="14.25" customHeight="1" x14ac:dyDescent="0.3">
      <c r="A983" s="17">
        <f t="shared" si="25"/>
        <v>982</v>
      </c>
    </row>
    <row r="984" spans="1:1" ht="14.25" customHeight="1" x14ac:dyDescent="0.3">
      <c r="A984" s="17">
        <f t="shared" si="25"/>
        <v>983</v>
      </c>
    </row>
    <row r="985" spans="1:1" ht="14.25" customHeight="1" x14ac:dyDescent="0.3">
      <c r="A985" s="17">
        <f t="shared" si="25"/>
        <v>984</v>
      </c>
    </row>
    <row r="986" spans="1:1" ht="14.25" customHeight="1" x14ac:dyDescent="0.3">
      <c r="A986" s="17">
        <f t="shared" si="25"/>
        <v>985</v>
      </c>
    </row>
    <row r="987" spans="1:1" ht="14.25" customHeight="1" x14ac:dyDescent="0.3">
      <c r="A987" s="17">
        <f t="shared" si="25"/>
        <v>986</v>
      </c>
    </row>
    <row r="988" spans="1:1" ht="14.25" customHeight="1" x14ac:dyDescent="0.3">
      <c r="A988" s="17">
        <f t="shared" si="25"/>
        <v>987</v>
      </c>
    </row>
    <row r="989" spans="1:1" ht="14.25" customHeight="1" x14ac:dyDescent="0.3">
      <c r="A989" s="17">
        <f t="shared" si="25"/>
        <v>988</v>
      </c>
    </row>
    <row r="990" spans="1:1" ht="14.25" customHeight="1" x14ac:dyDescent="0.3">
      <c r="A990" s="17">
        <f t="shared" si="25"/>
        <v>989</v>
      </c>
    </row>
    <row r="991" spans="1:1" ht="14.25" customHeight="1" x14ac:dyDescent="0.3">
      <c r="A991" s="17">
        <f t="shared" si="25"/>
        <v>990</v>
      </c>
    </row>
    <row r="992" spans="1:1" ht="14.25" customHeight="1" x14ac:dyDescent="0.3">
      <c r="A992" s="17">
        <f t="shared" si="25"/>
        <v>991</v>
      </c>
    </row>
    <row r="993" spans="1:1" ht="14.25" customHeight="1" x14ac:dyDescent="0.3">
      <c r="A993" s="17">
        <f t="shared" si="25"/>
        <v>992</v>
      </c>
    </row>
    <row r="994" spans="1:1" ht="15" customHeight="1" x14ac:dyDescent="0.3">
      <c r="A994" s="17">
        <f t="shared" si="25"/>
        <v>993</v>
      </c>
    </row>
    <row r="995" spans="1:1" ht="15" customHeight="1" x14ac:dyDescent="0.3">
      <c r="A995" s="17">
        <f t="shared" si="25"/>
        <v>994</v>
      </c>
    </row>
    <row r="996" spans="1:1" ht="15" customHeight="1" x14ac:dyDescent="0.3">
      <c r="A996" s="17">
        <f t="shared" si="25"/>
        <v>995</v>
      </c>
    </row>
    <row r="997" spans="1:1" ht="15" customHeight="1" x14ac:dyDescent="0.3">
      <c r="A997" s="17">
        <f t="shared" si="25"/>
        <v>996</v>
      </c>
    </row>
    <row r="998" spans="1:1" ht="15" customHeight="1" x14ac:dyDescent="0.3">
      <c r="A998" s="17">
        <f t="shared" si="25"/>
        <v>997</v>
      </c>
    </row>
    <row r="999" spans="1:1" ht="15" customHeight="1" x14ac:dyDescent="0.3">
      <c r="A999" s="17">
        <f t="shared" si="25"/>
        <v>998</v>
      </c>
    </row>
    <row r="1000" spans="1:1" ht="15" customHeight="1" x14ac:dyDescent="0.3">
      <c r="A1000" s="17">
        <f t="shared" si="25"/>
        <v>999</v>
      </c>
    </row>
    <row r="1001" spans="1:1" ht="15" customHeight="1" x14ac:dyDescent="0.3">
      <c r="A1001" s="17">
        <f t="shared" si="25"/>
        <v>1000</v>
      </c>
    </row>
    <row r="1002" spans="1:1" ht="15" customHeight="1" x14ac:dyDescent="0.3">
      <c r="A1002" s="17">
        <f t="shared" si="25"/>
        <v>1001</v>
      </c>
    </row>
    <row r="1003" spans="1:1" ht="15" customHeight="1" x14ac:dyDescent="0.3">
      <c r="A1003" s="17">
        <f t="shared" si="25"/>
        <v>1002</v>
      </c>
    </row>
    <row r="1004" spans="1:1" ht="15" customHeight="1" x14ac:dyDescent="0.3">
      <c r="A1004" s="17">
        <f t="shared" si="25"/>
        <v>1003</v>
      </c>
    </row>
    <row r="1005" spans="1:1" ht="15" customHeight="1" x14ac:dyDescent="0.3">
      <c r="A1005" s="17">
        <f t="shared" si="25"/>
        <v>1004</v>
      </c>
    </row>
    <row r="1006" spans="1:1" ht="15" customHeight="1" x14ac:dyDescent="0.3">
      <c r="A1006" s="17">
        <f t="shared" si="25"/>
        <v>1005</v>
      </c>
    </row>
    <row r="1007" spans="1:1" ht="15" customHeight="1" x14ac:dyDescent="0.3">
      <c r="A1007" s="17">
        <f t="shared" si="25"/>
        <v>1006</v>
      </c>
    </row>
    <row r="1008" spans="1:1" ht="15" customHeight="1" x14ac:dyDescent="0.3">
      <c r="A1008" s="17">
        <f t="shared" si="25"/>
        <v>1007</v>
      </c>
    </row>
    <row r="1009" spans="1:1" ht="15" customHeight="1" x14ac:dyDescent="0.3">
      <c r="A1009" s="17">
        <f t="shared" si="25"/>
        <v>1008</v>
      </c>
    </row>
    <row r="1010" spans="1:1" ht="15" customHeight="1" x14ac:dyDescent="0.3">
      <c r="A1010" s="17">
        <f t="shared" si="25"/>
        <v>1009</v>
      </c>
    </row>
    <row r="1011" spans="1:1" ht="15" customHeight="1" x14ac:dyDescent="0.3">
      <c r="A1011" s="17">
        <f t="shared" si="25"/>
        <v>1010</v>
      </c>
    </row>
    <row r="1012" spans="1:1" ht="15" customHeight="1" x14ac:dyDescent="0.3">
      <c r="A1012" s="17">
        <f t="shared" si="25"/>
        <v>1011</v>
      </c>
    </row>
    <row r="1013" spans="1:1" ht="15" customHeight="1" x14ac:dyDescent="0.3">
      <c r="A1013" s="17">
        <f t="shared" si="25"/>
        <v>1012</v>
      </c>
    </row>
    <row r="1014" spans="1:1" ht="15" customHeight="1" x14ac:dyDescent="0.3">
      <c r="A1014" s="17">
        <f t="shared" si="25"/>
        <v>1013</v>
      </c>
    </row>
    <row r="1015" spans="1:1" ht="15" customHeight="1" x14ac:dyDescent="0.3">
      <c r="A1015" s="17">
        <f t="shared" si="25"/>
        <v>1014</v>
      </c>
    </row>
    <row r="1016" spans="1:1" ht="15" customHeight="1" x14ac:dyDescent="0.3">
      <c r="A1016" s="17">
        <f t="shared" si="25"/>
        <v>1015</v>
      </c>
    </row>
    <row r="1017" spans="1:1" ht="15" customHeight="1" x14ac:dyDescent="0.3">
      <c r="A1017" s="17">
        <f t="shared" si="25"/>
        <v>1016</v>
      </c>
    </row>
    <row r="1018" spans="1:1" ht="15" customHeight="1" x14ac:dyDescent="0.3">
      <c r="A1018" s="17">
        <f t="shared" si="25"/>
        <v>1017</v>
      </c>
    </row>
    <row r="1019" spans="1:1" ht="15" customHeight="1" x14ac:dyDescent="0.3">
      <c r="A1019" s="17">
        <f t="shared" si="25"/>
        <v>1018</v>
      </c>
    </row>
    <row r="1020" spans="1:1" ht="15" customHeight="1" x14ac:dyDescent="0.3">
      <c r="A1020" s="17">
        <f t="shared" si="25"/>
        <v>1019</v>
      </c>
    </row>
    <row r="1021" spans="1:1" ht="15" customHeight="1" x14ac:dyDescent="0.3">
      <c r="A1021" s="17">
        <f t="shared" si="25"/>
        <v>1020</v>
      </c>
    </row>
    <row r="1022" spans="1:1" ht="15" customHeight="1" x14ac:dyDescent="0.3">
      <c r="A1022" s="17">
        <f t="shared" si="25"/>
        <v>1021</v>
      </c>
    </row>
    <row r="1023" spans="1:1" ht="15" customHeight="1" x14ac:dyDescent="0.3">
      <c r="A1023" s="17">
        <f t="shared" si="25"/>
        <v>1022</v>
      </c>
    </row>
    <row r="1024" spans="1:1" ht="15" customHeight="1" x14ac:dyDescent="0.3">
      <c r="A1024" s="17">
        <f t="shared" si="25"/>
        <v>1023</v>
      </c>
    </row>
    <row r="1025" spans="1:1" ht="15" customHeight="1" x14ac:dyDescent="0.3">
      <c r="A1025" s="17">
        <f t="shared" si="25"/>
        <v>1024</v>
      </c>
    </row>
    <row r="1026" spans="1:1" ht="15" customHeight="1" x14ac:dyDescent="0.3">
      <c r="A1026" s="17">
        <f t="shared" si="25"/>
        <v>1025</v>
      </c>
    </row>
    <row r="1027" spans="1:1" ht="15" customHeight="1" x14ac:dyDescent="0.3">
      <c r="A1027" s="17">
        <f t="shared" si="25"/>
        <v>1026</v>
      </c>
    </row>
    <row r="1028" spans="1:1" ht="15" customHeight="1" x14ac:dyDescent="0.3">
      <c r="A1028" s="17">
        <f t="shared" ref="A1028:A1091" si="26">A1027+1</f>
        <v>1027</v>
      </c>
    </row>
    <row r="1029" spans="1:1" ht="15" customHeight="1" x14ac:dyDescent="0.3">
      <c r="A1029" s="17">
        <f t="shared" si="26"/>
        <v>1028</v>
      </c>
    </row>
    <row r="1030" spans="1:1" ht="15" customHeight="1" x14ac:dyDescent="0.3">
      <c r="A1030" s="17">
        <f t="shared" si="26"/>
        <v>1029</v>
      </c>
    </row>
    <row r="1031" spans="1:1" ht="15" customHeight="1" x14ac:dyDescent="0.3">
      <c r="A1031" s="17">
        <f t="shared" si="26"/>
        <v>1030</v>
      </c>
    </row>
    <row r="1032" spans="1:1" ht="15" customHeight="1" x14ac:dyDescent="0.3">
      <c r="A1032" s="17">
        <f t="shared" si="26"/>
        <v>1031</v>
      </c>
    </row>
    <row r="1033" spans="1:1" ht="15" customHeight="1" x14ac:dyDescent="0.3">
      <c r="A1033" s="17">
        <f t="shared" si="26"/>
        <v>1032</v>
      </c>
    </row>
    <row r="1034" spans="1:1" ht="15" customHeight="1" x14ac:dyDescent="0.3">
      <c r="A1034" s="17">
        <f t="shared" si="26"/>
        <v>1033</v>
      </c>
    </row>
    <row r="1035" spans="1:1" ht="15" customHeight="1" x14ac:dyDescent="0.3">
      <c r="A1035" s="17">
        <f t="shared" si="26"/>
        <v>1034</v>
      </c>
    </row>
    <row r="1036" spans="1:1" ht="15" customHeight="1" x14ac:dyDescent="0.3">
      <c r="A1036" s="17">
        <f t="shared" si="26"/>
        <v>1035</v>
      </c>
    </row>
    <row r="1037" spans="1:1" ht="15" customHeight="1" x14ac:dyDescent="0.3">
      <c r="A1037" s="17">
        <f t="shared" si="26"/>
        <v>1036</v>
      </c>
    </row>
    <row r="1038" spans="1:1" ht="15" customHeight="1" x14ac:dyDescent="0.3">
      <c r="A1038" s="17">
        <f t="shared" si="26"/>
        <v>1037</v>
      </c>
    </row>
    <row r="1039" spans="1:1" ht="15" customHeight="1" x14ac:dyDescent="0.3">
      <c r="A1039" s="17">
        <f t="shared" si="26"/>
        <v>1038</v>
      </c>
    </row>
    <row r="1040" spans="1:1" ht="15" customHeight="1" x14ac:dyDescent="0.3">
      <c r="A1040" s="17">
        <f t="shared" si="26"/>
        <v>1039</v>
      </c>
    </row>
    <row r="1041" spans="1:1" ht="15" customHeight="1" x14ac:dyDescent="0.3">
      <c r="A1041" s="17">
        <f t="shared" si="26"/>
        <v>1040</v>
      </c>
    </row>
    <row r="1042" spans="1:1" ht="15" customHeight="1" x14ac:dyDescent="0.3">
      <c r="A1042" s="17">
        <f t="shared" si="26"/>
        <v>1041</v>
      </c>
    </row>
    <row r="1043" spans="1:1" ht="15" customHeight="1" x14ac:dyDescent="0.3">
      <c r="A1043" s="17">
        <f t="shared" si="26"/>
        <v>1042</v>
      </c>
    </row>
    <row r="1044" spans="1:1" ht="15" customHeight="1" x14ac:dyDescent="0.3">
      <c r="A1044" s="17">
        <f t="shared" si="26"/>
        <v>1043</v>
      </c>
    </row>
    <row r="1045" spans="1:1" ht="15" customHeight="1" x14ac:dyDescent="0.3">
      <c r="A1045" s="17">
        <f t="shared" si="26"/>
        <v>1044</v>
      </c>
    </row>
    <row r="1046" spans="1:1" ht="15" customHeight="1" x14ac:dyDescent="0.3">
      <c r="A1046" s="17">
        <f t="shared" si="26"/>
        <v>1045</v>
      </c>
    </row>
    <row r="1047" spans="1:1" ht="15" customHeight="1" x14ac:dyDescent="0.3">
      <c r="A1047" s="17">
        <f t="shared" si="26"/>
        <v>1046</v>
      </c>
    </row>
    <row r="1048" spans="1:1" ht="15" customHeight="1" x14ac:dyDescent="0.3">
      <c r="A1048" s="17">
        <f t="shared" si="26"/>
        <v>1047</v>
      </c>
    </row>
    <row r="1049" spans="1:1" ht="15" customHeight="1" x14ac:dyDescent="0.3">
      <c r="A1049" s="17">
        <f t="shared" si="26"/>
        <v>1048</v>
      </c>
    </row>
    <row r="1050" spans="1:1" ht="15" customHeight="1" x14ac:dyDescent="0.3">
      <c r="A1050" s="17">
        <f t="shared" si="26"/>
        <v>1049</v>
      </c>
    </row>
    <row r="1051" spans="1:1" ht="15" customHeight="1" x14ac:dyDescent="0.3">
      <c r="A1051" s="17">
        <f t="shared" si="26"/>
        <v>1050</v>
      </c>
    </row>
    <row r="1052" spans="1:1" ht="15" customHeight="1" x14ac:dyDescent="0.3">
      <c r="A1052" s="17">
        <f t="shared" si="26"/>
        <v>1051</v>
      </c>
    </row>
    <row r="1053" spans="1:1" ht="15" customHeight="1" x14ac:dyDescent="0.3">
      <c r="A1053" s="17">
        <f t="shared" si="26"/>
        <v>1052</v>
      </c>
    </row>
    <row r="1054" spans="1:1" ht="15" customHeight="1" x14ac:dyDescent="0.3">
      <c r="A1054" s="17">
        <f t="shared" si="26"/>
        <v>1053</v>
      </c>
    </row>
    <row r="1055" spans="1:1" ht="15" customHeight="1" x14ac:dyDescent="0.3">
      <c r="A1055" s="17">
        <f t="shared" si="26"/>
        <v>1054</v>
      </c>
    </row>
    <row r="1056" spans="1:1" ht="15" customHeight="1" x14ac:dyDescent="0.3">
      <c r="A1056" s="17">
        <f t="shared" si="26"/>
        <v>1055</v>
      </c>
    </row>
    <row r="1057" spans="1:1" ht="15" customHeight="1" x14ac:dyDescent="0.3">
      <c r="A1057" s="17">
        <f t="shared" si="26"/>
        <v>1056</v>
      </c>
    </row>
    <row r="1058" spans="1:1" ht="15" customHeight="1" x14ac:dyDescent="0.3">
      <c r="A1058" s="17">
        <f t="shared" si="26"/>
        <v>1057</v>
      </c>
    </row>
    <row r="1059" spans="1:1" ht="15" customHeight="1" x14ac:dyDescent="0.3">
      <c r="A1059" s="17">
        <f t="shared" si="26"/>
        <v>1058</v>
      </c>
    </row>
    <row r="1060" spans="1:1" ht="15" customHeight="1" x14ac:dyDescent="0.3">
      <c r="A1060" s="17">
        <f t="shared" si="26"/>
        <v>1059</v>
      </c>
    </row>
    <row r="1061" spans="1:1" ht="15" customHeight="1" x14ac:dyDescent="0.3">
      <c r="A1061" s="17">
        <f t="shared" si="26"/>
        <v>1060</v>
      </c>
    </row>
    <row r="1062" spans="1:1" ht="15" customHeight="1" x14ac:dyDescent="0.3">
      <c r="A1062" s="17">
        <f t="shared" si="26"/>
        <v>1061</v>
      </c>
    </row>
    <row r="1063" spans="1:1" ht="15" customHeight="1" x14ac:dyDescent="0.3">
      <c r="A1063" s="17">
        <f t="shared" si="26"/>
        <v>1062</v>
      </c>
    </row>
    <row r="1064" spans="1:1" ht="15" customHeight="1" x14ac:dyDescent="0.3">
      <c r="A1064" s="17">
        <f t="shared" si="26"/>
        <v>1063</v>
      </c>
    </row>
    <row r="1065" spans="1:1" ht="15" customHeight="1" x14ac:dyDescent="0.3">
      <c r="A1065" s="17">
        <f t="shared" si="26"/>
        <v>1064</v>
      </c>
    </row>
    <row r="1066" spans="1:1" ht="15" customHeight="1" x14ac:dyDescent="0.3">
      <c r="A1066" s="17">
        <f t="shared" si="26"/>
        <v>1065</v>
      </c>
    </row>
    <row r="1067" spans="1:1" ht="15" customHeight="1" x14ac:dyDescent="0.3">
      <c r="A1067" s="17">
        <f t="shared" si="26"/>
        <v>1066</v>
      </c>
    </row>
    <row r="1068" spans="1:1" ht="15" customHeight="1" x14ac:dyDescent="0.3">
      <c r="A1068" s="17">
        <f t="shared" si="26"/>
        <v>1067</v>
      </c>
    </row>
    <row r="1069" spans="1:1" ht="15" customHeight="1" x14ac:dyDescent="0.3">
      <c r="A1069" s="17">
        <f t="shared" si="26"/>
        <v>1068</v>
      </c>
    </row>
    <row r="1070" spans="1:1" ht="15" customHeight="1" x14ac:dyDescent="0.3">
      <c r="A1070" s="17">
        <f t="shared" si="26"/>
        <v>1069</v>
      </c>
    </row>
    <row r="1071" spans="1:1" ht="15" customHeight="1" x14ac:dyDescent="0.3">
      <c r="A1071" s="17">
        <f t="shared" si="26"/>
        <v>1070</v>
      </c>
    </row>
    <row r="1072" spans="1:1" ht="15" customHeight="1" x14ac:dyDescent="0.3">
      <c r="A1072" s="17">
        <f t="shared" si="26"/>
        <v>1071</v>
      </c>
    </row>
    <row r="1073" spans="1:1" ht="15" customHeight="1" x14ac:dyDescent="0.3">
      <c r="A1073" s="17">
        <f t="shared" si="26"/>
        <v>1072</v>
      </c>
    </row>
    <row r="1074" spans="1:1" ht="15" customHeight="1" x14ac:dyDescent="0.3">
      <c r="A1074" s="17">
        <f t="shared" si="26"/>
        <v>1073</v>
      </c>
    </row>
    <row r="1075" spans="1:1" ht="15" customHeight="1" x14ac:dyDescent="0.3">
      <c r="A1075" s="17">
        <f t="shared" si="26"/>
        <v>1074</v>
      </c>
    </row>
    <row r="1076" spans="1:1" ht="15" customHeight="1" x14ac:dyDescent="0.3">
      <c r="A1076" s="17">
        <f t="shared" si="26"/>
        <v>1075</v>
      </c>
    </row>
    <row r="1077" spans="1:1" ht="15" customHeight="1" x14ac:dyDescent="0.3">
      <c r="A1077" s="17">
        <f t="shared" si="26"/>
        <v>1076</v>
      </c>
    </row>
    <row r="1078" spans="1:1" ht="15" customHeight="1" x14ac:dyDescent="0.3">
      <c r="A1078" s="17">
        <f t="shared" si="26"/>
        <v>1077</v>
      </c>
    </row>
    <row r="1079" spans="1:1" ht="15" customHeight="1" x14ac:dyDescent="0.3">
      <c r="A1079" s="17">
        <f t="shared" si="26"/>
        <v>1078</v>
      </c>
    </row>
    <row r="1080" spans="1:1" ht="15" customHeight="1" x14ac:dyDescent="0.3">
      <c r="A1080" s="17">
        <f t="shared" si="26"/>
        <v>1079</v>
      </c>
    </row>
    <row r="1081" spans="1:1" ht="15" customHeight="1" x14ac:dyDescent="0.3">
      <c r="A1081" s="17">
        <f t="shared" si="26"/>
        <v>1080</v>
      </c>
    </row>
    <row r="1082" spans="1:1" ht="15" customHeight="1" x14ac:dyDescent="0.3">
      <c r="A1082" s="17">
        <f t="shared" si="26"/>
        <v>1081</v>
      </c>
    </row>
    <row r="1083" spans="1:1" ht="15" customHeight="1" x14ac:dyDescent="0.3">
      <c r="A1083" s="17">
        <f t="shared" si="26"/>
        <v>1082</v>
      </c>
    </row>
    <row r="1084" spans="1:1" ht="15" customHeight="1" x14ac:dyDescent="0.3">
      <c r="A1084" s="17">
        <f t="shared" si="26"/>
        <v>1083</v>
      </c>
    </row>
    <row r="1085" spans="1:1" ht="15" customHeight="1" x14ac:dyDescent="0.3">
      <c r="A1085" s="17">
        <f t="shared" si="26"/>
        <v>1084</v>
      </c>
    </row>
    <row r="1086" spans="1:1" ht="15" customHeight="1" x14ac:dyDescent="0.3">
      <c r="A1086" s="17">
        <f t="shared" si="26"/>
        <v>1085</v>
      </c>
    </row>
    <row r="1087" spans="1:1" ht="15" customHeight="1" x14ac:dyDescent="0.3">
      <c r="A1087" s="17">
        <f t="shared" si="26"/>
        <v>1086</v>
      </c>
    </row>
    <row r="1088" spans="1:1" ht="15" customHeight="1" x14ac:dyDescent="0.3">
      <c r="A1088" s="17">
        <f t="shared" si="26"/>
        <v>1087</v>
      </c>
    </row>
    <row r="1089" spans="1:1" ht="15" customHeight="1" x14ac:dyDescent="0.3">
      <c r="A1089" s="17">
        <f t="shared" si="26"/>
        <v>1088</v>
      </c>
    </row>
    <row r="1090" spans="1:1" ht="15" customHeight="1" x14ac:dyDescent="0.3">
      <c r="A1090" s="17">
        <f t="shared" si="26"/>
        <v>1089</v>
      </c>
    </row>
    <row r="1091" spans="1:1" ht="15" customHeight="1" x14ac:dyDescent="0.3">
      <c r="A1091" s="17">
        <f t="shared" si="26"/>
        <v>1090</v>
      </c>
    </row>
    <row r="1092" spans="1:1" ht="15" customHeight="1" x14ac:dyDescent="0.3">
      <c r="A1092" s="17">
        <f t="shared" ref="A1092:A1155" si="27">A1091+1</f>
        <v>1091</v>
      </c>
    </row>
    <row r="1093" spans="1:1" ht="15" customHeight="1" x14ac:dyDescent="0.3">
      <c r="A1093" s="17">
        <f t="shared" si="27"/>
        <v>1092</v>
      </c>
    </row>
    <row r="1094" spans="1:1" ht="15" customHeight="1" x14ac:dyDescent="0.3">
      <c r="A1094" s="17">
        <f t="shared" si="27"/>
        <v>1093</v>
      </c>
    </row>
    <row r="1095" spans="1:1" ht="15" customHeight="1" x14ac:dyDescent="0.3">
      <c r="A1095" s="17">
        <f t="shared" si="27"/>
        <v>1094</v>
      </c>
    </row>
    <row r="1096" spans="1:1" ht="15" customHeight="1" x14ac:dyDescent="0.3">
      <c r="A1096" s="17">
        <f t="shared" si="27"/>
        <v>1095</v>
      </c>
    </row>
    <row r="1097" spans="1:1" ht="15" customHeight="1" x14ac:dyDescent="0.3">
      <c r="A1097" s="17">
        <f t="shared" si="27"/>
        <v>1096</v>
      </c>
    </row>
    <row r="1098" spans="1:1" ht="15" customHeight="1" x14ac:dyDescent="0.3">
      <c r="A1098" s="17">
        <f t="shared" si="27"/>
        <v>1097</v>
      </c>
    </row>
    <row r="1099" spans="1:1" ht="15" customHeight="1" x14ac:dyDescent="0.3">
      <c r="A1099" s="17">
        <f t="shared" si="27"/>
        <v>1098</v>
      </c>
    </row>
    <row r="1100" spans="1:1" ht="15" customHeight="1" x14ac:dyDescent="0.3">
      <c r="A1100" s="17">
        <f t="shared" si="27"/>
        <v>1099</v>
      </c>
    </row>
    <row r="1101" spans="1:1" ht="15" customHeight="1" x14ac:dyDescent="0.3">
      <c r="A1101" s="17">
        <f t="shared" si="27"/>
        <v>1100</v>
      </c>
    </row>
    <row r="1102" spans="1:1" ht="15" customHeight="1" x14ac:dyDescent="0.3">
      <c r="A1102" s="17">
        <f t="shared" si="27"/>
        <v>1101</v>
      </c>
    </row>
    <row r="1103" spans="1:1" ht="15" customHeight="1" x14ac:dyDescent="0.3">
      <c r="A1103" s="17">
        <f t="shared" si="27"/>
        <v>1102</v>
      </c>
    </row>
    <row r="1104" spans="1:1" ht="15" customHeight="1" x14ac:dyDescent="0.3">
      <c r="A1104" s="17">
        <f t="shared" si="27"/>
        <v>1103</v>
      </c>
    </row>
    <row r="1105" spans="1:1" ht="15" customHeight="1" x14ac:dyDescent="0.3">
      <c r="A1105" s="17">
        <f t="shared" si="27"/>
        <v>1104</v>
      </c>
    </row>
    <row r="1106" spans="1:1" ht="15" customHeight="1" x14ac:dyDescent="0.3">
      <c r="A1106" s="17">
        <f t="shared" si="27"/>
        <v>1105</v>
      </c>
    </row>
    <row r="1107" spans="1:1" ht="15" customHeight="1" x14ac:dyDescent="0.3">
      <c r="A1107" s="17">
        <f t="shared" si="27"/>
        <v>1106</v>
      </c>
    </row>
    <row r="1108" spans="1:1" ht="15" customHeight="1" x14ac:dyDescent="0.3">
      <c r="A1108" s="17">
        <f t="shared" si="27"/>
        <v>1107</v>
      </c>
    </row>
    <row r="1109" spans="1:1" ht="15" customHeight="1" x14ac:dyDescent="0.3">
      <c r="A1109" s="17">
        <f t="shared" si="27"/>
        <v>1108</v>
      </c>
    </row>
    <row r="1110" spans="1:1" ht="15" customHeight="1" x14ac:dyDescent="0.3">
      <c r="A1110" s="17">
        <f t="shared" si="27"/>
        <v>1109</v>
      </c>
    </row>
    <row r="1111" spans="1:1" ht="15" customHeight="1" x14ac:dyDescent="0.3">
      <c r="A1111" s="17">
        <f t="shared" si="27"/>
        <v>1110</v>
      </c>
    </row>
    <row r="1112" spans="1:1" ht="15" customHeight="1" x14ac:dyDescent="0.3">
      <c r="A1112" s="17">
        <f t="shared" si="27"/>
        <v>1111</v>
      </c>
    </row>
    <row r="1113" spans="1:1" ht="15" customHeight="1" x14ac:dyDescent="0.3">
      <c r="A1113" s="17">
        <f t="shared" si="27"/>
        <v>1112</v>
      </c>
    </row>
    <row r="1114" spans="1:1" ht="15" customHeight="1" x14ac:dyDescent="0.3">
      <c r="A1114" s="17">
        <f t="shared" si="27"/>
        <v>1113</v>
      </c>
    </row>
    <row r="1115" spans="1:1" ht="15" customHeight="1" x14ac:dyDescent="0.3">
      <c r="A1115" s="17">
        <f t="shared" si="27"/>
        <v>1114</v>
      </c>
    </row>
    <row r="1116" spans="1:1" ht="15" customHeight="1" x14ac:dyDescent="0.3">
      <c r="A1116" s="17">
        <f t="shared" si="27"/>
        <v>1115</v>
      </c>
    </row>
    <row r="1117" spans="1:1" ht="15" customHeight="1" x14ac:dyDescent="0.3">
      <c r="A1117" s="17">
        <f t="shared" si="27"/>
        <v>1116</v>
      </c>
    </row>
    <row r="1118" spans="1:1" ht="15" customHeight="1" x14ac:dyDescent="0.3">
      <c r="A1118" s="17">
        <f t="shared" si="27"/>
        <v>1117</v>
      </c>
    </row>
    <row r="1119" spans="1:1" ht="15" customHeight="1" x14ac:dyDescent="0.3">
      <c r="A1119" s="17">
        <f t="shared" si="27"/>
        <v>1118</v>
      </c>
    </row>
    <row r="1120" spans="1:1" ht="15" customHeight="1" x14ac:dyDescent="0.3">
      <c r="A1120" s="17">
        <f t="shared" si="27"/>
        <v>1119</v>
      </c>
    </row>
    <row r="1121" spans="1:1" ht="15" customHeight="1" x14ac:dyDescent="0.3">
      <c r="A1121" s="17">
        <f t="shared" si="27"/>
        <v>1120</v>
      </c>
    </row>
    <row r="1122" spans="1:1" ht="15" customHeight="1" x14ac:dyDescent="0.3">
      <c r="A1122" s="17">
        <f t="shared" si="27"/>
        <v>1121</v>
      </c>
    </row>
    <row r="1123" spans="1:1" ht="15" customHeight="1" x14ac:dyDescent="0.3">
      <c r="A1123" s="17">
        <f t="shared" si="27"/>
        <v>1122</v>
      </c>
    </row>
    <row r="1124" spans="1:1" ht="15" customHeight="1" x14ac:dyDescent="0.3">
      <c r="A1124" s="17">
        <f t="shared" si="27"/>
        <v>1123</v>
      </c>
    </row>
    <row r="1125" spans="1:1" ht="15" customHeight="1" x14ac:dyDescent="0.3">
      <c r="A1125" s="17">
        <f t="shared" si="27"/>
        <v>1124</v>
      </c>
    </row>
    <row r="1126" spans="1:1" ht="15" customHeight="1" x14ac:dyDescent="0.3">
      <c r="A1126" s="17">
        <f t="shared" si="27"/>
        <v>1125</v>
      </c>
    </row>
    <row r="1127" spans="1:1" ht="15" customHeight="1" x14ac:dyDescent="0.3">
      <c r="A1127" s="17">
        <f t="shared" si="27"/>
        <v>1126</v>
      </c>
    </row>
    <row r="1128" spans="1:1" ht="15" customHeight="1" x14ac:dyDescent="0.3">
      <c r="A1128" s="17">
        <f t="shared" si="27"/>
        <v>1127</v>
      </c>
    </row>
    <row r="1129" spans="1:1" ht="15" customHeight="1" x14ac:dyDescent="0.3">
      <c r="A1129" s="17">
        <f t="shared" si="27"/>
        <v>1128</v>
      </c>
    </row>
    <row r="1130" spans="1:1" ht="15" customHeight="1" x14ac:dyDescent="0.3">
      <c r="A1130" s="17">
        <f t="shared" si="27"/>
        <v>1129</v>
      </c>
    </row>
    <row r="1131" spans="1:1" ht="15" customHeight="1" x14ac:dyDescent="0.3">
      <c r="A1131" s="17">
        <f t="shared" si="27"/>
        <v>1130</v>
      </c>
    </row>
    <row r="1132" spans="1:1" ht="15" customHeight="1" x14ac:dyDescent="0.3">
      <c r="A1132" s="17">
        <f t="shared" si="27"/>
        <v>1131</v>
      </c>
    </row>
    <row r="1133" spans="1:1" ht="15" customHeight="1" x14ac:dyDescent="0.3">
      <c r="A1133" s="17">
        <f t="shared" si="27"/>
        <v>1132</v>
      </c>
    </row>
    <row r="1134" spans="1:1" ht="15" customHeight="1" x14ac:dyDescent="0.3">
      <c r="A1134" s="17">
        <f t="shared" si="27"/>
        <v>1133</v>
      </c>
    </row>
    <row r="1135" spans="1:1" ht="15" customHeight="1" x14ac:dyDescent="0.3">
      <c r="A1135" s="17">
        <f t="shared" si="27"/>
        <v>1134</v>
      </c>
    </row>
    <row r="1136" spans="1:1" ht="15" customHeight="1" x14ac:dyDescent="0.3">
      <c r="A1136" s="17">
        <f t="shared" si="27"/>
        <v>1135</v>
      </c>
    </row>
    <row r="1137" spans="1:1" ht="15" customHeight="1" x14ac:dyDescent="0.3">
      <c r="A1137" s="17">
        <f t="shared" si="27"/>
        <v>1136</v>
      </c>
    </row>
    <row r="1138" spans="1:1" ht="15" customHeight="1" x14ac:dyDescent="0.3">
      <c r="A1138" s="17">
        <f t="shared" si="27"/>
        <v>1137</v>
      </c>
    </row>
    <row r="1139" spans="1:1" ht="15" customHeight="1" x14ac:dyDescent="0.3">
      <c r="A1139" s="17">
        <f t="shared" si="27"/>
        <v>1138</v>
      </c>
    </row>
    <row r="1140" spans="1:1" ht="15" customHeight="1" x14ac:dyDescent="0.3">
      <c r="A1140" s="17">
        <f t="shared" si="27"/>
        <v>1139</v>
      </c>
    </row>
    <row r="1141" spans="1:1" ht="15" customHeight="1" x14ac:dyDescent="0.3">
      <c r="A1141" s="17">
        <f t="shared" si="27"/>
        <v>1140</v>
      </c>
    </row>
    <row r="1142" spans="1:1" ht="15" customHeight="1" x14ac:dyDescent="0.3">
      <c r="A1142" s="17">
        <f t="shared" si="27"/>
        <v>1141</v>
      </c>
    </row>
    <row r="1143" spans="1:1" ht="15" customHeight="1" x14ac:dyDescent="0.3">
      <c r="A1143" s="17">
        <f t="shared" si="27"/>
        <v>1142</v>
      </c>
    </row>
    <row r="1144" spans="1:1" ht="15" customHeight="1" x14ac:dyDescent="0.3">
      <c r="A1144" s="17">
        <f t="shared" si="27"/>
        <v>1143</v>
      </c>
    </row>
    <row r="1145" spans="1:1" ht="15" customHeight="1" x14ac:dyDescent="0.3">
      <c r="A1145" s="17">
        <f t="shared" si="27"/>
        <v>1144</v>
      </c>
    </row>
    <row r="1146" spans="1:1" ht="15" customHeight="1" x14ac:dyDescent="0.3">
      <c r="A1146" s="17">
        <f t="shared" si="27"/>
        <v>1145</v>
      </c>
    </row>
    <row r="1147" spans="1:1" ht="15" customHeight="1" x14ac:dyDescent="0.3">
      <c r="A1147" s="17">
        <f t="shared" si="27"/>
        <v>1146</v>
      </c>
    </row>
    <row r="1148" spans="1:1" ht="15" customHeight="1" x14ac:dyDescent="0.3">
      <c r="A1148" s="17">
        <f t="shared" si="27"/>
        <v>1147</v>
      </c>
    </row>
    <row r="1149" spans="1:1" ht="15" customHeight="1" x14ac:dyDescent="0.3">
      <c r="A1149" s="17">
        <f t="shared" si="27"/>
        <v>1148</v>
      </c>
    </row>
    <row r="1150" spans="1:1" ht="15" customHeight="1" x14ac:dyDescent="0.3">
      <c r="A1150" s="17">
        <f t="shared" si="27"/>
        <v>1149</v>
      </c>
    </row>
    <row r="1151" spans="1:1" ht="15" customHeight="1" x14ac:dyDescent="0.3">
      <c r="A1151" s="17">
        <f t="shared" si="27"/>
        <v>1150</v>
      </c>
    </row>
    <row r="1152" spans="1:1" ht="15" customHeight="1" x14ac:dyDescent="0.3">
      <c r="A1152" s="17">
        <f t="shared" si="27"/>
        <v>1151</v>
      </c>
    </row>
    <row r="1153" spans="1:1" ht="15" customHeight="1" x14ac:dyDescent="0.3">
      <c r="A1153" s="17">
        <f t="shared" si="27"/>
        <v>1152</v>
      </c>
    </row>
    <row r="1154" spans="1:1" ht="15" customHeight="1" x14ac:dyDescent="0.3">
      <c r="A1154" s="17">
        <f t="shared" si="27"/>
        <v>1153</v>
      </c>
    </row>
    <row r="1155" spans="1:1" ht="15" customHeight="1" x14ac:dyDescent="0.3">
      <c r="A1155" s="17">
        <f t="shared" si="27"/>
        <v>1154</v>
      </c>
    </row>
    <row r="1156" spans="1:1" ht="15" customHeight="1" x14ac:dyDescent="0.3">
      <c r="A1156" s="17">
        <f t="shared" ref="A1156:A1219" si="28">A1155+1</f>
        <v>1155</v>
      </c>
    </row>
    <row r="1157" spans="1:1" ht="15" customHeight="1" x14ac:dyDescent="0.3">
      <c r="A1157" s="17">
        <f t="shared" si="28"/>
        <v>1156</v>
      </c>
    </row>
    <row r="1158" spans="1:1" ht="15" customHeight="1" x14ac:dyDescent="0.3">
      <c r="A1158" s="17">
        <f t="shared" si="28"/>
        <v>1157</v>
      </c>
    </row>
    <row r="1159" spans="1:1" ht="15" customHeight="1" x14ac:dyDescent="0.3">
      <c r="A1159" s="17">
        <f t="shared" si="28"/>
        <v>1158</v>
      </c>
    </row>
    <row r="1160" spans="1:1" ht="15" customHeight="1" x14ac:dyDescent="0.3">
      <c r="A1160" s="17">
        <f t="shared" si="28"/>
        <v>1159</v>
      </c>
    </row>
    <row r="1161" spans="1:1" ht="15" customHeight="1" x14ac:dyDescent="0.3">
      <c r="A1161" s="17">
        <f t="shared" si="28"/>
        <v>1160</v>
      </c>
    </row>
    <row r="1162" spans="1:1" ht="15" customHeight="1" x14ac:dyDescent="0.3">
      <c r="A1162" s="17">
        <f t="shared" si="28"/>
        <v>1161</v>
      </c>
    </row>
    <row r="1163" spans="1:1" ht="15" customHeight="1" x14ac:dyDescent="0.3">
      <c r="A1163" s="17">
        <f t="shared" si="28"/>
        <v>1162</v>
      </c>
    </row>
    <row r="1164" spans="1:1" ht="15" customHeight="1" x14ac:dyDescent="0.3">
      <c r="A1164" s="17">
        <f t="shared" si="28"/>
        <v>1163</v>
      </c>
    </row>
    <row r="1165" spans="1:1" ht="15" customHeight="1" x14ac:dyDescent="0.3">
      <c r="A1165" s="17">
        <f t="shared" si="28"/>
        <v>1164</v>
      </c>
    </row>
    <row r="1166" spans="1:1" ht="15" customHeight="1" x14ac:dyDescent="0.3">
      <c r="A1166" s="17">
        <f t="shared" si="28"/>
        <v>1165</v>
      </c>
    </row>
    <row r="1167" spans="1:1" ht="15" customHeight="1" x14ac:dyDescent="0.3">
      <c r="A1167" s="17">
        <f t="shared" si="28"/>
        <v>1166</v>
      </c>
    </row>
    <row r="1168" spans="1:1" ht="15" customHeight="1" x14ac:dyDescent="0.3">
      <c r="A1168" s="17">
        <f t="shared" si="28"/>
        <v>1167</v>
      </c>
    </row>
    <row r="1169" spans="1:1" ht="15" customHeight="1" x14ac:dyDescent="0.3">
      <c r="A1169" s="17">
        <f t="shared" si="28"/>
        <v>1168</v>
      </c>
    </row>
    <row r="1170" spans="1:1" ht="15" customHeight="1" x14ac:dyDescent="0.3">
      <c r="A1170" s="17">
        <f t="shared" si="28"/>
        <v>1169</v>
      </c>
    </row>
    <row r="1171" spans="1:1" ht="15" customHeight="1" x14ac:dyDescent="0.3">
      <c r="A1171" s="17">
        <f t="shared" si="28"/>
        <v>1170</v>
      </c>
    </row>
    <row r="1172" spans="1:1" ht="15" customHeight="1" x14ac:dyDescent="0.3">
      <c r="A1172" s="17">
        <f t="shared" si="28"/>
        <v>1171</v>
      </c>
    </row>
    <row r="1173" spans="1:1" ht="15" customHeight="1" x14ac:dyDescent="0.3">
      <c r="A1173" s="17">
        <f t="shared" si="28"/>
        <v>1172</v>
      </c>
    </row>
    <row r="1174" spans="1:1" ht="15" customHeight="1" x14ac:dyDescent="0.3">
      <c r="A1174" s="17">
        <f t="shared" si="28"/>
        <v>1173</v>
      </c>
    </row>
    <row r="1175" spans="1:1" ht="15" customHeight="1" x14ac:dyDescent="0.3">
      <c r="A1175" s="17">
        <f t="shared" si="28"/>
        <v>1174</v>
      </c>
    </row>
    <row r="1176" spans="1:1" ht="15" customHeight="1" x14ac:dyDescent="0.3">
      <c r="A1176" s="17">
        <f t="shared" si="28"/>
        <v>1175</v>
      </c>
    </row>
    <row r="1177" spans="1:1" ht="15" customHeight="1" x14ac:dyDescent="0.3">
      <c r="A1177" s="17">
        <f t="shared" si="28"/>
        <v>1176</v>
      </c>
    </row>
    <row r="1178" spans="1:1" ht="15" customHeight="1" x14ac:dyDescent="0.3">
      <c r="A1178" s="17">
        <f t="shared" si="28"/>
        <v>1177</v>
      </c>
    </row>
    <row r="1179" spans="1:1" ht="15" customHeight="1" x14ac:dyDescent="0.3">
      <c r="A1179" s="17">
        <f t="shared" si="28"/>
        <v>1178</v>
      </c>
    </row>
    <row r="1180" spans="1:1" ht="15" customHeight="1" x14ac:dyDescent="0.3">
      <c r="A1180" s="17">
        <f t="shared" si="28"/>
        <v>1179</v>
      </c>
    </row>
    <row r="1181" spans="1:1" ht="15" customHeight="1" x14ac:dyDescent="0.3">
      <c r="A1181" s="17">
        <f t="shared" si="28"/>
        <v>1180</v>
      </c>
    </row>
    <row r="1182" spans="1:1" ht="15" customHeight="1" x14ac:dyDescent="0.3">
      <c r="A1182" s="17">
        <f t="shared" si="28"/>
        <v>1181</v>
      </c>
    </row>
    <row r="1183" spans="1:1" ht="15" customHeight="1" x14ac:dyDescent="0.3">
      <c r="A1183" s="17">
        <f t="shared" si="28"/>
        <v>1182</v>
      </c>
    </row>
    <row r="1184" spans="1:1" ht="15" customHeight="1" x14ac:dyDescent="0.3">
      <c r="A1184" s="17">
        <f t="shared" si="28"/>
        <v>1183</v>
      </c>
    </row>
    <row r="1185" spans="1:1" ht="15" customHeight="1" x14ac:dyDescent="0.3">
      <c r="A1185" s="17">
        <f t="shared" si="28"/>
        <v>1184</v>
      </c>
    </row>
    <row r="1186" spans="1:1" ht="15" customHeight="1" x14ac:dyDescent="0.3">
      <c r="A1186" s="17">
        <f t="shared" si="28"/>
        <v>1185</v>
      </c>
    </row>
    <row r="1187" spans="1:1" ht="15" customHeight="1" x14ac:dyDescent="0.3">
      <c r="A1187" s="17">
        <f t="shared" si="28"/>
        <v>1186</v>
      </c>
    </row>
    <row r="1188" spans="1:1" ht="15" customHeight="1" x14ac:dyDescent="0.3">
      <c r="A1188" s="17">
        <f t="shared" si="28"/>
        <v>1187</v>
      </c>
    </row>
    <row r="1189" spans="1:1" ht="15" customHeight="1" x14ac:dyDescent="0.3">
      <c r="A1189" s="17">
        <f t="shared" si="28"/>
        <v>1188</v>
      </c>
    </row>
    <row r="1190" spans="1:1" ht="15" customHeight="1" x14ac:dyDescent="0.3">
      <c r="A1190" s="17">
        <f t="shared" si="28"/>
        <v>1189</v>
      </c>
    </row>
    <row r="1191" spans="1:1" ht="15" customHeight="1" x14ac:dyDescent="0.3">
      <c r="A1191" s="17">
        <f t="shared" si="28"/>
        <v>1190</v>
      </c>
    </row>
    <row r="1192" spans="1:1" ht="15" customHeight="1" x14ac:dyDescent="0.3">
      <c r="A1192" s="17">
        <f t="shared" si="28"/>
        <v>1191</v>
      </c>
    </row>
    <row r="1193" spans="1:1" ht="15" customHeight="1" x14ac:dyDescent="0.3">
      <c r="A1193" s="17">
        <f t="shared" si="28"/>
        <v>1192</v>
      </c>
    </row>
    <row r="1194" spans="1:1" ht="15" customHeight="1" x14ac:dyDescent="0.3">
      <c r="A1194" s="17">
        <f t="shared" si="28"/>
        <v>1193</v>
      </c>
    </row>
    <row r="1195" spans="1:1" ht="15" customHeight="1" x14ac:dyDescent="0.3">
      <c r="A1195" s="17">
        <f t="shared" si="28"/>
        <v>1194</v>
      </c>
    </row>
    <row r="1196" spans="1:1" ht="15" customHeight="1" x14ac:dyDescent="0.3">
      <c r="A1196" s="17">
        <f t="shared" si="28"/>
        <v>1195</v>
      </c>
    </row>
    <row r="1197" spans="1:1" ht="15" customHeight="1" x14ac:dyDescent="0.3">
      <c r="A1197" s="17">
        <f t="shared" si="28"/>
        <v>1196</v>
      </c>
    </row>
    <row r="1198" spans="1:1" ht="15" customHeight="1" x14ac:dyDescent="0.3">
      <c r="A1198" s="17">
        <f t="shared" si="28"/>
        <v>1197</v>
      </c>
    </row>
    <row r="1199" spans="1:1" ht="15" customHeight="1" x14ac:dyDescent="0.3">
      <c r="A1199" s="17">
        <f t="shared" si="28"/>
        <v>1198</v>
      </c>
    </row>
    <row r="1200" spans="1:1" ht="15" customHeight="1" x14ac:dyDescent="0.3">
      <c r="A1200" s="17">
        <f t="shared" si="28"/>
        <v>1199</v>
      </c>
    </row>
    <row r="1201" spans="1:1" ht="15" customHeight="1" x14ac:dyDescent="0.3">
      <c r="A1201" s="17">
        <f t="shared" si="28"/>
        <v>1200</v>
      </c>
    </row>
    <row r="1202" spans="1:1" ht="15" customHeight="1" x14ac:dyDescent="0.3">
      <c r="A1202" s="17">
        <f t="shared" si="28"/>
        <v>1201</v>
      </c>
    </row>
    <row r="1203" spans="1:1" ht="15" customHeight="1" x14ac:dyDescent="0.3">
      <c r="A1203" s="17">
        <f t="shared" si="28"/>
        <v>1202</v>
      </c>
    </row>
    <row r="1204" spans="1:1" ht="15" customHeight="1" x14ac:dyDescent="0.3">
      <c r="A1204" s="17">
        <f t="shared" si="28"/>
        <v>1203</v>
      </c>
    </row>
    <row r="1205" spans="1:1" ht="15" customHeight="1" x14ac:dyDescent="0.3">
      <c r="A1205" s="17">
        <f t="shared" si="28"/>
        <v>1204</v>
      </c>
    </row>
    <row r="1206" spans="1:1" ht="15" customHeight="1" x14ac:dyDescent="0.3">
      <c r="A1206" s="17">
        <f t="shared" si="28"/>
        <v>1205</v>
      </c>
    </row>
    <row r="1207" spans="1:1" ht="15" customHeight="1" x14ac:dyDescent="0.3">
      <c r="A1207" s="17">
        <f t="shared" si="28"/>
        <v>1206</v>
      </c>
    </row>
    <row r="1208" spans="1:1" ht="15" customHeight="1" x14ac:dyDescent="0.3">
      <c r="A1208" s="17">
        <f t="shared" si="28"/>
        <v>1207</v>
      </c>
    </row>
    <row r="1209" spans="1:1" ht="15" customHeight="1" x14ac:dyDescent="0.3">
      <c r="A1209" s="17">
        <f t="shared" si="28"/>
        <v>1208</v>
      </c>
    </row>
    <row r="1210" spans="1:1" ht="15" customHeight="1" x14ac:dyDescent="0.3">
      <c r="A1210" s="17">
        <f t="shared" si="28"/>
        <v>1209</v>
      </c>
    </row>
    <row r="1211" spans="1:1" ht="15" customHeight="1" x14ac:dyDescent="0.3">
      <c r="A1211" s="17">
        <f t="shared" si="28"/>
        <v>1210</v>
      </c>
    </row>
    <row r="1212" spans="1:1" ht="15" customHeight="1" x14ac:dyDescent="0.3">
      <c r="A1212" s="17">
        <f t="shared" si="28"/>
        <v>1211</v>
      </c>
    </row>
    <row r="1213" spans="1:1" ht="15" customHeight="1" x14ac:dyDescent="0.3">
      <c r="A1213" s="17">
        <f t="shared" si="28"/>
        <v>1212</v>
      </c>
    </row>
    <row r="1214" spans="1:1" ht="15" customHeight="1" x14ac:dyDescent="0.3">
      <c r="A1214" s="17">
        <f t="shared" si="28"/>
        <v>1213</v>
      </c>
    </row>
    <row r="1215" spans="1:1" ht="15" customHeight="1" x14ac:dyDescent="0.3">
      <c r="A1215" s="17">
        <f t="shared" si="28"/>
        <v>1214</v>
      </c>
    </row>
    <row r="1216" spans="1:1" ht="15" customHeight="1" x14ac:dyDescent="0.3">
      <c r="A1216" s="17">
        <f t="shared" si="28"/>
        <v>1215</v>
      </c>
    </row>
    <row r="1217" spans="1:1" ht="15" customHeight="1" x14ac:dyDescent="0.3">
      <c r="A1217" s="17">
        <f t="shared" si="28"/>
        <v>1216</v>
      </c>
    </row>
    <row r="1218" spans="1:1" ht="15" customHeight="1" x14ac:dyDescent="0.3">
      <c r="A1218" s="17">
        <f t="shared" si="28"/>
        <v>1217</v>
      </c>
    </row>
    <row r="1219" spans="1:1" ht="15" customHeight="1" x14ac:dyDescent="0.3">
      <c r="A1219" s="17">
        <f t="shared" si="28"/>
        <v>1218</v>
      </c>
    </row>
    <row r="1220" spans="1:1" ht="15" customHeight="1" x14ac:dyDescent="0.3">
      <c r="A1220" s="17">
        <f t="shared" ref="A1220:A1259" si="29">A1219+1</f>
        <v>1219</v>
      </c>
    </row>
    <row r="1221" spans="1:1" ht="15" customHeight="1" x14ac:dyDescent="0.3">
      <c r="A1221" s="17">
        <f t="shared" si="29"/>
        <v>1220</v>
      </c>
    </row>
    <row r="1222" spans="1:1" ht="15" customHeight="1" x14ac:dyDescent="0.3">
      <c r="A1222" s="17">
        <f t="shared" si="29"/>
        <v>1221</v>
      </c>
    </row>
    <row r="1223" spans="1:1" ht="15" customHeight="1" x14ac:dyDescent="0.3">
      <c r="A1223" s="17">
        <f t="shared" si="29"/>
        <v>1222</v>
      </c>
    </row>
    <row r="1224" spans="1:1" ht="15" customHeight="1" x14ac:dyDescent="0.3">
      <c r="A1224" s="17">
        <f t="shared" si="29"/>
        <v>1223</v>
      </c>
    </row>
    <row r="1225" spans="1:1" ht="15" customHeight="1" x14ac:dyDescent="0.3">
      <c r="A1225" s="17">
        <f t="shared" si="29"/>
        <v>1224</v>
      </c>
    </row>
    <row r="1226" spans="1:1" ht="15" customHeight="1" x14ac:dyDescent="0.3">
      <c r="A1226" s="17">
        <f t="shared" si="29"/>
        <v>1225</v>
      </c>
    </row>
    <row r="1227" spans="1:1" ht="15" customHeight="1" x14ac:dyDescent="0.3">
      <c r="A1227" s="17">
        <f t="shared" si="29"/>
        <v>1226</v>
      </c>
    </row>
    <row r="1228" spans="1:1" ht="15" customHeight="1" x14ac:dyDescent="0.3">
      <c r="A1228" s="17">
        <f t="shared" si="29"/>
        <v>1227</v>
      </c>
    </row>
    <row r="1229" spans="1:1" ht="15" customHeight="1" x14ac:dyDescent="0.3">
      <c r="A1229" s="17">
        <f t="shared" si="29"/>
        <v>1228</v>
      </c>
    </row>
    <row r="1230" spans="1:1" ht="15" customHeight="1" x14ac:dyDescent="0.3">
      <c r="A1230" s="17">
        <f t="shared" si="29"/>
        <v>1229</v>
      </c>
    </row>
    <row r="1231" spans="1:1" ht="15" customHeight="1" x14ac:dyDescent="0.3">
      <c r="A1231" s="17">
        <f t="shared" si="29"/>
        <v>1230</v>
      </c>
    </row>
    <row r="1232" spans="1:1" ht="15" customHeight="1" x14ac:dyDescent="0.3">
      <c r="A1232" s="17">
        <f t="shared" si="29"/>
        <v>1231</v>
      </c>
    </row>
    <row r="1233" spans="1:1" ht="15" customHeight="1" x14ac:dyDescent="0.3">
      <c r="A1233" s="17">
        <f t="shared" si="29"/>
        <v>1232</v>
      </c>
    </row>
    <row r="1234" spans="1:1" ht="15" customHeight="1" x14ac:dyDescent="0.3">
      <c r="A1234" s="17">
        <f t="shared" si="29"/>
        <v>1233</v>
      </c>
    </row>
    <row r="1235" spans="1:1" ht="15" customHeight="1" x14ac:dyDescent="0.3">
      <c r="A1235" s="17">
        <f t="shared" si="29"/>
        <v>1234</v>
      </c>
    </row>
    <row r="1236" spans="1:1" ht="15" customHeight="1" x14ac:dyDescent="0.3">
      <c r="A1236" s="17">
        <f t="shared" si="29"/>
        <v>1235</v>
      </c>
    </row>
    <row r="1237" spans="1:1" ht="15" customHeight="1" x14ac:dyDescent="0.3">
      <c r="A1237" s="17">
        <f t="shared" si="29"/>
        <v>1236</v>
      </c>
    </row>
    <row r="1238" spans="1:1" ht="15" customHeight="1" x14ac:dyDescent="0.3">
      <c r="A1238" s="17">
        <f t="shared" si="29"/>
        <v>1237</v>
      </c>
    </row>
    <row r="1239" spans="1:1" ht="15" customHeight="1" x14ac:dyDescent="0.3">
      <c r="A1239" s="17">
        <f t="shared" si="29"/>
        <v>1238</v>
      </c>
    </row>
    <row r="1240" spans="1:1" ht="15" customHeight="1" x14ac:dyDescent="0.3">
      <c r="A1240" s="17">
        <f t="shared" si="29"/>
        <v>1239</v>
      </c>
    </row>
    <row r="1241" spans="1:1" ht="15" customHeight="1" x14ac:dyDescent="0.3">
      <c r="A1241" s="17">
        <f t="shared" si="29"/>
        <v>1240</v>
      </c>
    </row>
    <row r="1242" spans="1:1" ht="15" customHeight="1" x14ac:dyDescent="0.3">
      <c r="A1242" s="17">
        <f t="shared" si="29"/>
        <v>1241</v>
      </c>
    </row>
    <row r="1243" spans="1:1" ht="15" customHeight="1" x14ac:dyDescent="0.3">
      <c r="A1243" s="17">
        <f t="shared" si="29"/>
        <v>1242</v>
      </c>
    </row>
    <row r="1244" spans="1:1" ht="15" customHeight="1" x14ac:dyDescent="0.3">
      <c r="A1244" s="17">
        <f t="shared" si="29"/>
        <v>1243</v>
      </c>
    </row>
    <row r="1245" spans="1:1" ht="15" customHeight="1" x14ac:dyDescent="0.3">
      <c r="A1245" s="17">
        <f t="shared" si="29"/>
        <v>1244</v>
      </c>
    </row>
    <row r="1246" spans="1:1" ht="15" customHeight="1" x14ac:dyDescent="0.3">
      <c r="A1246" s="17">
        <f t="shared" si="29"/>
        <v>1245</v>
      </c>
    </row>
    <row r="1247" spans="1:1" ht="15" customHeight="1" x14ac:dyDescent="0.3">
      <c r="A1247" s="17">
        <f t="shared" si="29"/>
        <v>1246</v>
      </c>
    </row>
    <row r="1248" spans="1:1" ht="15" customHeight="1" x14ac:dyDescent="0.3">
      <c r="A1248" s="17">
        <f t="shared" si="29"/>
        <v>1247</v>
      </c>
    </row>
    <row r="1249" spans="1:26" ht="15" customHeight="1" x14ac:dyDescent="0.3">
      <c r="A1249" s="17">
        <f t="shared" si="29"/>
        <v>1248</v>
      </c>
    </row>
    <row r="1250" spans="1:26" ht="15" customHeight="1" x14ac:dyDescent="0.3">
      <c r="A1250" s="17" t="e">
        <f>#REF!+1</f>
        <v>#REF!</v>
      </c>
    </row>
    <row r="1251" spans="1:26" ht="15" customHeight="1" x14ac:dyDescent="0.3">
      <c r="A1251" s="17" t="e">
        <f t="shared" si="29"/>
        <v>#REF!</v>
      </c>
    </row>
    <row r="1252" spans="1:26" ht="15" customHeight="1" x14ac:dyDescent="0.3">
      <c r="A1252" s="17" t="e">
        <f t="shared" si="29"/>
        <v>#REF!</v>
      </c>
    </row>
    <row r="1253" spans="1:26" ht="15" customHeight="1" x14ac:dyDescent="0.3">
      <c r="A1253" s="17" t="e">
        <f t="shared" si="29"/>
        <v>#REF!</v>
      </c>
    </row>
    <row r="1254" spans="1:26" ht="15" customHeight="1" x14ac:dyDescent="0.3">
      <c r="A1254" s="17" t="e">
        <f t="shared" si="29"/>
        <v>#REF!</v>
      </c>
    </row>
    <row r="1255" spans="1:26" ht="15" customHeight="1" x14ac:dyDescent="0.3">
      <c r="A1255" s="17" t="e">
        <f t="shared" si="29"/>
        <v>#REF!</v>
      </c>
    </row>
    <row r="1256" spans="1:26" ht="15" customHeight="1" x14ac:dyDescent="0.3">
      <c r="A1256" s="17" t="e">
        <f t="shared" si="29"/>
        <v>#REF!</v>
      </c>
    </row>
    <row r="1257" spans="1:26" ht="15" customHeight="1" x14ac:dyDescent="0.3">
      <c r="A1257" s="17" t="e">
        <f t="shared" si="29"/>
        <v>#REF!</v>
      </c>
    </row>
    <row r="1258" spans="1:26" ht="15" customHeight="1" x14ac:dyDescent="0.3">
      <c r="A1258" s="17" t="e">
        <f t="shared" si="29"/>
        <v>#REF!</v>
      </c>
    </row>
    <row r="1259" spans="1:26" ht="15" customHeight="1" x14ac:dyDescent="0.3">
      <c r="A1259" s="17" t="e">
        <f t="shared" si="29"/>
        <v>#REF!</v>
      </c>
    </row>
    <row r="1260" spans="1:26" ht="15" customHeight="1" x14ac:dyDescent="0.3">
      <c r="A1260" s="20">
        <v>1293</v>
      </c>
      <c r="B1260" s="18">
        <v>40949490</v>
      </c>
      <c r="C1260" s="19" t="s">
        <v>1052</v>
      </c>
      <c r="D1260" s="18">
        <v>100281792</v>
      </c>
      <c r="E1260" s="18">
        <v>83929611</v>
      </c>
      <c r="F1260" s="18" t="s">
        <v>333</v>
      </c>
      <c r="G1260" s="19" t="s">
        <v>724</v>
      </c>
      <c r="H1260" s="20">
        <v>94</v>
      </c>
      <c r="I1260" s="18">
        <v>2</v>
      </c>
      <c r="J1260" s="19" t="s">
        <v>373</v>
      </c>
      <c r="K1260" s="36" t="s">
        <v>64</v>
      </c>
      <c r="L1260" s="38"/>
      <c r="M1260" s="36" t="s">
        <v>18</v>
      </c>
      <c r="N1260" s="26" t="s">
        <v>330</v>
      </c>
      <c r="O1260" s="38">
        <v>46027</v>
      </c>
      <c r="P1260" s="19" t="s">
        <v>1011</v>
      </c>
      <c r="Q1260" s="19" t="s">
        <v>1053</v>
      </c>
      <c r="R1260" s="38">
        <v>46027</v>
      </c>
      <c r="S1260" s="79">
        <v>1</v>
      </c>
      <c r="T1260" s="79" t="s">
        <v>0</v>
      </c>
      <c r="U1260" s="18">
        <v>967976743</v>
      </c>
      <c r="V1260" s="19"/>
      <c r="W1260" s="79">
        <v>2026</v>
      </c>
      <c r="X1260" s="79" t="s">
        <v>0</v>
      </c>
      <c r="Y1260" s="53" t="s">
        <v>393</v>
      </c>
      <c r="Z1260" s="65" t="s">
        <v>538</v>
      </c>
    </row>
    <row r="1261" spans="1:26" ht="15" customHeight="1" x14ac:dyDescent="0.3">
      <c r="A1261" s="20">
        <v>1300</v>
      </c>
      <c r="B1261" s="18">
        <v>20614240696</v>
      </c>
      <c r="C1261" s="19" t="s">
        <v>1060</v>
      </c>
      <c r="D1261" s="18">
        <v>100318389</v>
      </c>
      <c r="E1261" s="18">
        <v>83970679</v>
      </c>
      <c r="F1261" s="18" t="s">
        <v>334</v>
      </c>
      <c r="G1261" s="19" t="s">
        <v>724</v>
      </c>
      <c r="H1261" s="20">
        <v>94</v>
      </c>
      <c r="I1261" s="18"/>
      <c r="J1261" s="19"/>
      <c r="K1261" s="36" t="s">
        <v>64</v>
      </c>
      <c r="L1261" s="38"/>
      <c r="M1261" s="36" t="s">
        <v>18</v>
      </c>
      <c r="N1261" s="26" t="s">
        <v>330</v>
      </c>
      <c r="O1261" s="38">
        <v>46028</v>
      </c>
      <c r="P1261" s="19" t="s">
        <v>49</v>
      </c>
      <c r="Q1261" s="19" t="s">
        <v>922</v>
      </c>
      <c r="R1261" s="38">
        <v>46028</v>
      </c>
      <c r="S1261" s="79">
        <v>1</v>
      </c>
      <c r="T1261" s="79" t="s">
        <v>0</v>
      </c>
      <c r="U1261" s="18">
        <v>960955252</v>
      </c>
      <c r="V1261" s="19"/>
      <c r="W1261" s="79">
        <v>2026</v>
      </c>
      <c r="X1261" s="79" t="s">
        <v>0</v>
      </c>
      <c r="Y1261" s="53" t="s">
        <v>404</v>
      </c>
      <c r="Z1261" s="65" t="s">
        <v>538</v>
      </c>
    </row>
    <row r="1262" spans="1:26" ht="15" customHeight="1" x14ac:dyDescent="0.3">
      <c r="A1262" s="20">
        <v>1320</v>
      </c>
      <c r="B1262" s="18">
        <v>73337019</v>
      </c>
      <c r="C1262" s="19" t="s">
        <v>1072</v>
      </c>
      <c r="D1262" s="18">
        <v>100360765</v>
      </c>
      <c r="E1262" s="18">
        <v>84013376</v>
      </c>
      <c r="F1262" s="18" t="s">
        <v>333</v>
      </c>
      <c r="G1262" s="19" t="s">
        <v>724</v>
      </c>
      <c r="H1262" s="20">
        <v>94</v>
      </c>
      <c r="I1262" s="18"/>
      <c r="J1262" s="19" t="s">
        <v>373</v>
      </c>
      <c r="K1262" s="36" t="s">
        <v>64</v>
      </c>
      <c r="L1262" s="38"/>
      <c r="M1262" s="36" t="s">
        <v>18</v>
      </c>
      <c r="N1262" s="26" t="s">
        <v>330</v>
      </c>
      <c r="O1262" s="38">
        <v>46030</v>
      </c>
      <c r="P1262" s="19" t="s">
        <v>1011</v>
      </c>
      <c r="Q1262" s="19" t="s">
        <v>1055</v>
      </c>
      <c r="R1262" s="38">
        <v>46030</v>
      </c>
      <c r="S1262" s="79">
        <v>1</v>
      </c>
      <c r="T1262" s="79" t="s">
        <v>0</v>
      </c>
      <c r="U1262" s="18">
        <v>904379112</v>
      </c>
      <c r="V1262" s="19"/>
      <c r="W1262" s="79">
        <v>2026</v>
      </c>
      <c r="X1262" s="79" t="s">
        <v>0</v>
      </c>
      <c r="Y1262" s="58" t="s">
        <v>1010</v>
      </c>
      <c r="Z1262" s="65" t="s">
        <v>538</v>
      </c>
    </row>
    <row r="1263" spans="1:26" ht="15" customHeight="1" x14ac:dyDescent="0.3">
      <c r="A1263" s="20">
        <v>1337</v>
      </c>
      <c r="B1263" s="18">
        <v>16736150</v>
      </c>
      <c r="C1263" s="19" t="s">
        <v>1077</v>
      </c>
      <c r="D1263" s="18">
        <v>100416627</v>
      </c>
      <c r="E1263" s="18">
        <v>84056888</v>
      </c>
      <c r="F1263" s="18" t="s">
        <v>333</v>
      </c>
      <c r="G1263" s="19" t="s">
        <v>337</v>
      </c>
      <c r="H1263" s="18">
        <v>170</v>
      </c>
      <c r="I1263" s="18"/>
      <c r="J1263" s="19" t="s">
        <v>529</v>
      </c>
      <c r="K1263" s="36" t="s">
        <v>64</v>
      </c>
      <c r="L1263" s="38"/>
      <c r="M1263" s="36" t="s">
        <v>18</v>
      </c>
      <c r="N1263" s="26" t="s">
        <v>330</v>
      </c>
      <c r="O1263" s="38">
        <v>46032</v>
      </c>
      <c r="P1263" s="19" t="s">
        <v>1011</v>
      </c>
      <c r="Q1263" s="19" t="s">
        <v>1055</v>
      </c>
      <c r="R1263" s="38">
        <v>46032</v>
      </c>
      <c r="S1263" s="79">
        <v>1</v>
      </c>
      <c r="T1263" s="79" t="s">
        <v>0</v>
      </c>
      <c r="U1263" s="18">
        <v>902528093</v>
      </c>
      <c r="V1263" s="19"/>
      <c r="W1263" s="79">
        <v>2026</v>
      </c>
      <c r="X1263" s="79" t="s">
        <v>0</v>
      </c>
      <c r="Y1263" s="58" t="s">
        <v>1010</v>
      </c>
      <c r="Z1263" s="65" t="s">
        <v>537</v>
      </c>
    </row>
    <row r="1264" spans="1:26" ht="15" customHeight="1" x14ac:dyDescent="0.3">
      <c r="A1264" s="20">
        <v>1344</v>
      </c>
      <c r="B1264" s="18">
        <v>20614573075</v>
      </c>
      <c r="C1264" s="19" t="s">
        <v>1086</v>
      </c>
      <c r="D1264" s="18">
        <v>100456750</v>
      </c>
      <c r="E1264" s="18">
        <v>84095785</v>
      </c>
      <c r="F1264" s="18" t="s">
        <v>334</v>
      </c>
      <c r="G1264" s="19" t="s">
        <v>724</v>
      </c>
      <c r="H1264" s="20">
        <v>94</v>
      </c>
      <c r="I1264" s="18"/>
      <c r="J1264" s="19" t="s">
        <v>373</v>
      </c>
      <c r="K1264" s="36" t="s">
        <v>64</v>
      </c>
      <c r="L1264" s="38"/>
      <c r="M1264" s="36" t="s">
        <v>18</v>
      </c>
      <c r="N1264" s="26" t="s">
        <v>330</v>
      </c>
      <c r="O1264" s="38">
        <v>46034</v>
      </c>
      <c r="P1264" s="19" t="s">
        <v>49</v>
      </c>
      <c r="Q1264" s="19" t="s">
        <v>671</v>
      </c>
      <c r="R1264" s="38">
        <v>46034</v>
      </c>
      <c r="S1264" s="79">
        <v>1</v>
      </c>
      <c r="T1264" s="79" t="s">
        <v>0</v>
      </c>
      <c r="U1264" s="18">
        <v>940882367</v>
      </c>
      <c r="V1264" s="19"/>
      <c r="W1264" s="79">
        <v>2026</v>
      </c>
      <c r="X1264" s="79" t="s">
        <v>0</v>
      </c>
      <c r="Y1264" s="53" t="s">
        <v>402</v>
      </c>
      <c r="Z1264" s="65" t="s">
        <v>537</v>
      </c>
    </row>
    <row r="1265" spans="1:26" ht="15" customHeight="1" x14ac:dyDescent="0.3">
      <c r="A1265" s="20">
        <v>1345</v>
      </c>
      <c r="B1265" s="18">
        <v>20559212700</v>
      </c>
      <c r="C1265" s="19" t="s">
        <v>1087</v>
      </c>
      <c r="D1265" s="18">
        <v>100460463</v>
      </c>
      <c r="E1265" s="18">
        <v>84101193</v>
      </c>
      <c r="F1265" s="18" t="s">
        <v>333</v>
      </c>
      <c r="G1265" s="19" t="s">
        <v>337</v>
      </c>
      <c r="H1265" s="18">
        <v>170</v>
      </c>
      <c r="I1265" s="18"/>
      <c r="J1265" s="19" t="s">
        <v>529</v>
      </c>
      <c r="K1265" s="36" t="s">
        <v>64</v>
      </c>
      <c r="L1265" s="38"/>
      <c r="M1265" s="36" t="s">
        <v>18</v>
      </c>
      <c r="N1265" s="26" t="s">
        <v>330</v>
      </c>
      <c r="O1265" s="38">
        <v>46034</v>
      </c>
      <c r="P1265" s="19" t="s">
        <v>49</v>
      </c>
      <c r="Q1265" s="19" t="s">
        <v>518</v>
      </c>
      <c r="R1265" s="38">
        <v>46034</v>
      </c>
      <c r="S1265" s="79">
        <v>1</v>
      </c>
      <c r="T1265" s="79" t="s">
        <v>0</v>
      </c>
      <c r="U1265" s="18">
        <v>995213200</v>
      </c>
      <c r="V1265" s="19"/>
      <c r="W1265" s="79">
        <v>2026</v>
      </c>
      <c r="X1265" s="79" t="s">
        <v>0</v>
      </c>
      <c r="Y1265" s="53" t="s">
        <v>402</v>
      </c>
      <c r="Z1265" s="65" t="s">
        <v>538</v>
      </c>
    </row>
    <row r="1266" spans="1:26" ht="15" customHeight="1" x14ac:dyDescent="0.3">
      <c r="A1266" s="20">
        <v>1346</v>
      </c>
      <c r="B1266" s="18">
        <v>41675673</v>
      </c>
      <c r="C1266" s="19" t="s">
        <v>1061</v>
      </c>
      <c r="D1266" s="18">
        <v>100462033</v>
      </c>
      <c r="E1266" s="18">
        <v>84101312</v>
      </c>
      <c r="F1266" s="18" t="s">
        <v>333</v>
      </c>
      <c r="G1266" s="19" t="s">
        <v>337</v>
      </c>
      <c r="H1266" s="18">
        <v>170</v>
      </c>
      <c r="I1266" s="18"/>
      <c r="J1266" s="19" t="s">
        <v>604</v>
      </c>
      <c r="K1266" s="36" t="s">
        <v>64</v>
      </c>
      <c r="L1266" s="38"/>
      <c r="M1266" s="36" t="s">
        <v>18</v>
      </c>
      <c r="N1266" s="26" t="s">
        <v>330</v>
      </c>
      <c r="O1266" s="38">
        <v>46034</v>
      </c>
      <c r="P1266" s="19" t="s">
        <v>49</v>
      </c>
      <c r="Q1266" s="19" t="s">
        <v>671</v>
      </c>
      <c r="R1266" s="38">
        <v>46034</v>
      </c>
      <c r="S1266" s="79">
        <v>1</v>
      </c>
      <c r="T1266" s="79" t="s">
        <v>0</v>
      </c>
      <c r="U1266" s="18">
        <v>940381350</v>
      </c>
      <c r="V1266" s="19"/>
      <c r="W1266" s="79">
        <v>2026</v>
      </c>
      <c r="X1266" s="79" t="s">
        <v>0</v>
      </c>
      <c r="Y1266" s="58" t="s">
        <v>397</v>
      </c>
      <c r="Z1266" s="65" t="s">
        <v>538</v>
      </c>
    </row>
    <row r="1267" spans="1:26" ht="15" customHeight="1" x14ac:dyDescent="0.3">
      <c r="A1267" s="20">
        <v>1351</v>
      </c>
      <c r="B1267" s="18">
        <v>73055183</v>
      </c>
      <c r="C1267" s="19" t="s">
        <v>1088</v>
      </c>
      <c r="D1267" s="18">
        <v>100466227</v>
      </c>
      <c r="E1267" s="18">
        <v>84103698</v>
      </c>
      <c r="F1267" s="18" t="s">
        <v>333</v>
      </c>
      <c r="G1267" s="19" t="s">
        <v>724</v>
      </c>
      <c r="H1267" s="20">
        <v>94</v>
      </c>
      <c r="I1267" s="18"/>
      <c r="J1267" s="19" t="s">
        <v>372</v>
      </c>
      <c r="K1267" s="36" t="s">
        <v>64</v>
      </c>
      <c r="L1267" s="38"/>
      <c r="M1267" s="36" t="s">
        <v>18</v>
      </c>
      <c r="N1267" s="26" t="s">
        <v>330</v>
      </c>
      <c r="O1267" s="38">
        <v>46034</v>
      </c>
      <c r="P1267" s="19" t="s">
        <v>1011</v>
      </c>
      <c r="Q1267" s="19" t="s">
        <v>1069</v>
      </c>
      <c r="R1267" s="38">
        <v>46034</v>
      </c>
      <c r="S1267" s="79">
        <v>1</v>
      </c>
      <c r="T1267" s="79" t="s">
        <v>0</v>
      </c>
      <c r="U1267" s="18">
        <v>938132903</v>
      </c>
      <c r="V1267" s="19"/>
      <c r="W1267" s="79">
        <v>2026</v>
      </c>
      <c r="X1267" s="79" t="s">
        <v>0</v>
      </c>
      <c r="Y1267" s="58" t="s">
        <v>1010</v>
      </c>
      <c r="Z1267" s="65" t="s">
        <v>538</v>
      </c>
    </row>
    <row r="1268" spans="1:26" ht="15" customHeight="1" x14ac:dyDescent="0.3">
      <c r="A1268" s="20">
        <v>1352</v>
      </c>
      <c r="B1268" s="18">
        <v>80603716</v>
      </c>
      <c r="C1268" s="19" t="s">
        <v>1089</v>
      </c>
      <c r="D1268" s="18">
        <v>100466309</v>
      </c>
      <c r="E1268" s="81">
        <v>84104098</v>
      </c>
      <c r="F1268" s="18" t="s">
        <v>333</v>
      </c>
      <c r="G1268" s="19" t="s">
        <v>724</v>
      </c>
      <c r="H1268" s="20">
        <v>94</v>
      </c>
      <c r="I1268" s="18"/>
      <c r="J1268" s="19" t="s">
        <v>529</v>
      </c>
      <c r="K1268" s="36" t="s">
        <v>64</v>
      </c>
      <c r="L1268" s="38"/>
      <c r="M1268" s="36" t="s">
        <v>18</v>
      </c>
      <c r="N1268" s="26" t="s">
        <v>330</v>
      </c>
      <c r="O1268" s="38">
        <v>46034</v>
      </c>
      <c r="P1268" s="19" t="s">
        <v>1011</v>
      </c>
      <c r="Q1268" s="19" t="s">
        <v>1055</v>
      </c>
      <c r="R1268" s="38">
        <v>46034</v>
      </c>
      <c r="S1268" s="79">
        <v>1</v>
      </c>
      <c r="T1268" s="79" t="s">
        <v>0</v>
      </c>
      <c r="U1268" s="18">
        <v>945855033</v>
      </c>
      <c r="V1268" s="19"/>
      <c r="W1268" s="79">
        <v>2026</v>
      </c>
      <c r="X1268" s="79" t="s">
        <v>0</v>
      </c>
      <c r="Y1268" s="58" t="s">
        <v>1010</v>
      </c>
      <c r="Z1268" s="65" t="s">
        <v>538</v>
      </c>
    </row>
    <row r="1269" spans="1:26" ht="15" customHeight="1" x14ac:dyDescent="0.3">
      <c r="A1269" s="20">
        <v>1353</v>
      </c>
      <c r="B1269" s="18">
        <v>16788560</v>
      </c>
      <c r="C1269" s="19" t="s">
        <v>1083</v>
      </c>
      <c r="D1269" s="18">
        <v>100468196</v>
      </c>
      <c r="E1269" s="81">
        <v>84104725</v>
      </c>
      <c r="F1269" s="18" t="s">
        <v>333</v>
      </c>
      <c r="G1269" s="19" t="s">
        <v>724</v>
      </c>
      <c r="H1269" s="20">
        <v>94</v>
      </c>
      <c r="I1269" s="18"/>
      <c r="J1269" s="19" t="s">
        <v>541</v>
      </c>
      <c r="K1269" s="36" t="s">
        <v>64</v>
      </c>
      <c r="L1269" s="38"/>
      <c r="M1269" s="36" t="s">
        <v>18</v>
      </c>
      <c r="N1269" s="26" t="s">
        <v>330</v>
      </c>
      <c r="O1269" s="38">
        <v>46034</v>
      </c>
      <c r="P1269" s="19" t="s">
        <v>1011</v>
      </c>
      <c r="Q1269" s="19" t="s">
        <v>1011</v>
      </c>
      <c r="R1269" s="38">
        <v>46034</v>
      </c>
      <c r="S1269" s="79">
        <v>1</v>
      </c>
      <c r="T1269" s="79" t="s">
        <v>0</v>
      </c>
      <c r="U1269" s="18">
        <v>958367820</v>
      </c>
      <c r="V1269" s="19"/>
      <c r="W1269" s="79">
        <v>2026</v>
      </c>
      <c r="X1269" s="79" t="s">
        <v>0</v>
      </c>
      <c r="Y1269" s="58" t="s">
        <v>1010</v>
      </c>
      <c r="Z1269" s="65" t="s">
        <v>538</v>
      </c>
    </row>
    <row r="1270" spans="1:26" ht="15" customHeight="1" x14ac:dyDescent="0.3">
      <c r="A1270" s="20">
        <v>1355</v>
      </c>
      <c r="B1270" s="18">
        <v>80344546</v>
      </c>
      <c r="C1270" s="19" t="s">
        <v>1090</v>
      </c>
      <c r="D1270" s="18">
        <v>100430461</v>
      </c>
      <c r="E1270" s="18">
        <v>84064508</v>
      </c>
      <c r="F1270" s="18" t="s">
        <v>333</v>
      </c>
      <c r="G1270" s="19" t="s">
        <v>724</v>
      </c>
      <c r="H1270" s="20">
        <v>94</v>
      </c>
      <c r="I1270" s="18"/>
      <c r="J1270" s="19" t="s">
        <v>541</v>
      </c>
      <c r="K1270" s="36" t="s">
        <v>64</v>
      </c>
      <c r="L1270" s="38"/>
      <c r="M1270" s="36" t="s">
        <v>18</v>
      </c>
      <c r="N1270" s="26" t="s">
        <v>330</v>
      </c>
      <c r="O1270" s="38">
        <v>46032</v>
      </c>
      <c r="P1270" s="19" t="s">
        <v>49</v>
      </c>
      <c r="Q1270" s="19" t="s">
        <v>54</v>
      </c>
      <c r="R1270" s="38">
        <v>46032</v>
      </c>
      <c r="S1270" s="79">
        <v>1</v>
      </c>
      <c r="T1270" s="79" t="s">
        <v>0</v>
      </c>
      <c r="U1270" s="18">
        <v>925267704</v>
      </c>
      <c r="V1270" s="19"/>
      <c r="W1270" s="79">
        <v>2026</v>
      </c>
      <c r="X1270" s="79" t="s">
        <v>0</v>
      </c>
      <c r="Y1270" s="58" t="s">
        <v>407</v>
      </c>
      <c r="Z1270" s="65" t="s">
        <v>537</v>
      </c>
    </row>
    <row r="1271" spans="1:26" ht="15" customHeight="1" x14ac:dyDescent="0.3">
      <c r="A1271" s="20">
        <v>1359</v>
      </c>
      <c r="B1271" s="18">
        <v>43380836</v>
      </c>
      <c r="C1271" s="19" t="s">
        <v>1091</v>
      </c>
      <c r="D1271" s="18">
        <v>100489024</v>
      </c>
      <c r="E1271" s="18">
        <v>84126524</v>
      </c>
      <c r="F1271" s="18" t="s">
        <v>333</v>
      </c>
      <c r="G1271" s="19" t="s">
        <v>724</v>
      </c>
      <c r="H1271" s="20">
        <v>94</v>
      </c>
      <c r="I1271" s="18"/>
      <c r="J1271" s="19" t="s">
        <v>541</v>
      </c>
      <c r="K1271" s="36" t="s">
        <v>64</v>
      </c>
      <c r="L1271" s="38"/>
      <c r="M1271" s="36" t="s">
        <v>18</v>
      </c>
      <c r="N1271" s="26" t="s">
        <v>330</v>
      </c>
      <c r="O1271" s="38">
        <v>46035</v>
      </c>
      <c r="P1271" s="19" t="s">
        <v>49</v>
      </c>
      <c r="Q1271" s="19" t="s">
        <v>771</v>
      </c>
      <c r="R1271" s="38">
        <v>46035</v>
      </c>
      <c r="S1271" s="79">
        <v>1</v>
      </c>
      <c r="T1271" s="79" t="s">
        <v>0</v>
      </c>
      <c r="U1271" s="18">
        <v>933951567</v>
      </c>
      <c r="V1271" s="19"/>
      <c r="W1271" s="79">
        <v>2026</v>
      </c>
      <c r="X1271" s="79" t="s">
        <v>0</v>
      </c>
      <c r="Y1271" s="58" t="s">
        <v>404</v>
      </c>
      <c r="Z1271" s="65" t="s">
        <v>537</v>
      </c>
    </row>
    <row r="1272" spans="1:26" ht="15" customHeight="1" x14ac:dyDescent="0.3">
      <c r="A1272" s="20">
        <v>1361</v>
      </c>
      <c r="B1272" s="18">
        <v>70855790</v>
      </c>
      <c r="C1272" s="19" t="s">
        <v>1092</v>
      </c>
      <c r="D1272" s="18">
        <v>100482238</v>
      </c>
      <c r="E1272" s="18">
        <v>84122143</v>
      </c>
      <c r="F1272" s="18" t="s">
        <v>333</v>
      </c>
      <c r="G1272" s="19" t="s">
        <v>724</v>
      </c>
      <c r="H1272" s="20">
        <v>94</v>
      </c>
      <c r="I1272" s="18"/>
      <c r="J1272" s="19" t="s">
        <v>604</v>
      </c>
      <c r="K1272" s="36" t="s">
        <v>64</v>
      </c>
      <c r="L1272" s="38"/>
      <c r="M1272" s="36" t="s">
        <v>18</v>
      </c>
      <c r="N1272" s="26" t="s">
        <v>330</v>
      </c>
      <c r="O1272" s="38">
        <v>46035</v>
      </c>
      <c r="P1272" s="19" t="s">
        <v>1011</v>
      </c>
      <c r="Q1272" s="19" t="s">
        <v>1055</v>
      </c>
      <c r="R1272" s="38">
        <v>46035</v>
      </c>
      <c r="S1272" s="79">
        <v>1</v>
      </c>
      <c r="T1272" s="79" t="s">
        <v>0</v>
      </c>
      <c r="U1272" s="18">
        <v>956152828</v>
      </c>
      <c r="V1272" s="19"/>
      <c r="W1272" s="79">
        <v>2026</v>
      </c>
      <c r="X1272" s="79" t="s">
        <v>0</v>
      </c>
      <c r="Y1272" s="58" t="s">
        <v>1010</v>
      </c>
      <c r="Z1272" s="65" t="s">
        <v>538</v>
      </c>
    </row>
    <row r="1273" spans="1:26" ht="15" customHeight="1" x14ac:dyDescent="0.3">
      <c r="A1273" s="20">
        <v>1363</v>
      </c>
      <c r="B1273" s="18">
        <v>43296142</v>
      </c>
      <c r="C1273" s="19" t="s">
        <v>1093</v>
      </c>
      <c r="D1273" s="18">
        <v>100495682</v>
      </c>
      <c r="E1273" s="18">
        <v>84130392</v>
      </c>
      <c r="F1273" s="18" t="s">
        <v>333</v>
      </c>
      <c r="G1273" s="19" t="s">
        <v>337</v>
      </c>
      <c r="H1273" s="18">
        <v>170</v>
      </c>
      <c r="I1273" s="18"/>
      <c r="J1273" s="19" t="s">
        <v>373</v>
      </c>
      <c r="K1273" s="36" t="s">
        <v>64</v>
      </c>
      <c r="L1273" s="38"/>
      <c r="M1273" s="36" t="s">
        <v>18</v>
      </c>
      <c r="N1273" s="26" t="s">
        <v>330</v>
      </c>
      <c r="O1273" s="38">
        <v>46035</v>
      </c>
      <c r="P1273" s="19" t="s">
        <v>49</v>
      </c>
      <c r="Q1273" s="19" t="s">
        <v>54</v>
      </c>
      <c r="R1273" s="38">
        <v>46035</v>
      </c>
      <c r="S1273" s="79">
        <v>1</v>
      </c>
      <c r="T1273" s="79" t="s">
        <v>0</v>
      </c>
      <c r="U1273" s="18">
        <v>971164153</v>
      </c>
      <c r="V1273" s="19"/>
      <c r="W1273" s="79">
        <v>2026</v>
      </c>
      <c r="X1273" s="79" t="s">
        <v>0</v>
      </c>
      <c r="Y1273" s="58" t="s">
        <v>404</v>
      </c>
      <c r="Z1273" s="65" t="s">
        <v>537</v>
      </c>
    </row>
    <row r="1274" spans="1:26" ht="15" customHeight="1" x14ac:dyDescent="0.3">
      <c r="A1274" s="20">
        <v>1364</v>
      </c>
      <c r="B1274" s="18">
        <v>46293429</v>
      </c>
      <c r="C1274" s="19" t="s">
        <v>1050</v>
      </c>
      <c r="D1274" s="18">
        <v>100501217</v>
      </c>
      <c r="E1274" s="18">
        <v>84133575</v>
      </c>
      <c r="F1274" s="18" t="s">
        <v>333</v>
      </c>
      <c r="G1274" s="19" t="s">
        <v>339</v>
      </c>
      <c r="H1274" s="20">
        <v>79</v>
      </c>
      <c r="I1274" s="18"/>
      <c r="J1274" s="19" t="s">
        <v>373</v>
      </c>
      <c r="K1274" s="36" t="s">
        <v>64</v>
      </c>
      <c r="L1274" s="38"/>
      <c r="M1274" s="36" t="s">
        <v>18</v>
      </c>
      <c r="N1274" s="26" t="s">
        <v>330</v>
      </c>
      <c r="O1274" s="38">
        <v>46035</v>
      </c>
      <c r="P1274" s="19" t="s">
        <v>49</v>
      </c>
      <c r="Q1274" s="19" t="s">
        <v>822</v>
      </c>
      <c r="R1274" s="38">
        <v>46035</v>
      </c>
      <c r="S1274" s="79">
        <v>1</v>
      </c>
      <c r="T1274" s="79" t="s">
        <v>0</v>
      </c>
      <c r="U1274" s="18">
        <v>955647266</v>
      </c>
      <c r="V1274" s="19"/>
      <c r="W1274" s="79">
        <v>2026</v>
      </c>
      <c r="X1274" s="79" t="s">
        <v>0</v>
      </c>
      <c r="Y1274" s="58" t="s">
        <v>1010</v>
      </c>
      <c r="Z1274" s="65" t="s">
        <v>537</v>
      </c>
    </row>
    <row r="1275" spans="1:26" ht="15" customHeight="1" x14ac:dyDescent="0.3">
      <c r="A1275" s="20">
        <v>1378</v>
      </c>
      <c r="B1275" s="18">
        <v>75467229</v>
      </c>
      <c r="C1275" s="19" t="s">
        <v>1101</v>
      </c>
      <c r="D1275" s="18">
        <v>100528868</v>
      </c>
      <c r="E1275" s="18">
        <v>84162997</v>
      </c>
      <c r="F1275" s="18" t="s">
        <v>333</v>
      </c>
      <c r="G1275" s="19" t="s">
        <v>724</v>
      </c>
      <c r="H1275" s="20">
        <v>94</v>
      </c>
      <c r="I1275" s="18"/>
      <c r="J1275" s="19"/>
      <c r="K1275" s="36" t="s">
        <v>64</v>
      </c>
      <c r="L1275" s="38"/>
      <c r="M1275" s="36" t="s">
        <v>18</v>
      </c>
      <c r="N1275" s="26" t="s">
        <v>330</v>
      </c>
      <c r="O1275" s="38">
        <v>46036</v>
      </c>
      <c r="P1275" s="19" t="s">
        <v>49</v>
      </c>
      <c r="Q1275" s="19" t="s">
        <v>747</v>
      </c>
      <c r="R1275" s="38">
        <v>46036</v>
      </c>
      <c r="S1275" s="79">
        <v>1</v>
      </c>
      <c r="T1275" s="79" t="s">
        <v>0</v>
      </c>
      <c r="U1275" s="18">
        <v>913347789</v>
      </c>
      <c r="V1275" s="19"/>
      <c r="W1275" s="79">
        <v>2026</v>
      </c>
      <c r="X1275" s="79" t="s">
        <v>0</v>
      </c>
      <c r="Y1275" s="58" t="s">
        <v>1010</v>
      </c>
      <c r="Z1275" s="65" t="s">
        <v>537</v>
      </c>
    </row>
    <row r="1276" spans="1:26" ht="15" customHeight="1" x14ac:dyDescent="0.3">
      <c r="A1276" s="20">
        <v>1384</v>
      </c>
      <c r="B1276" s="18">
        <v>16655557</v>
      </c>
      <c r="C1276" s="19" t="s">
        <v>1104</v>
      </c>
      <c r="D1276" s="18">
        <v>100373175</v>
      </c>
      <c r="E1276" s="18">
        <v>84021754</v>
      </c>
      <c r="F1276" s="18" t="s">
        <v>333</v>
      </c>
      <c r="G1276" s="19" t="s">
        <v>724</v>
      </c>
      <c r="H1276" s="20">
        <v>94</v>
      </c>
      <c r="I1276" s="18"/>
      <c r="J1276" s="19"/>
      <c r="K1276" s="36" t="s">
        <v>64</v>
      </c>
      <c r="L1276" s="38"/>
      <c r="M1276" s="36" t="s">
        <v>18</v>
      </c>
      <c r="N1276" s="26" t="s">
        <v>330</v>
      </c>
      <c r="O1276" s="82">
        <v>46030</v>
      </c>
      <c r="P1276" s="19" t="s">
        <v>1011</v>
      </c>
      <c r="Q1276" s="19" t="s">
        <v>1011</v>
      </c>
      <c r="R1276" s="82">
        <v>46030</v>
      </c>
      <c r="S1276" s="79">
        <v>1</v>
      </c>
      <c r="T1276" s="79" t="s">
        <v>0</v>
      </c>
      <c r="U1276" s="18">
        <v>921088836</v>
      </c>
      <c r="V1276" s="19"/>
      <c r="W1276" s="79">
        <v>2026</v>
      </c>
      <c r="X1276" s="79" t="s">
        <v>0</v>
      </c>
      <c r="Y1276" s="58" t="s">
        <v>1010</v>
      </c>
      <c r="Z1276" s="65" t="s">
        <v>538</v>
      </c>
    </row>
    <row r="1277" spans="1:26" ht="15" customHeight="1" x14ac:dyDescent="0.3">
      <c r="A1277" s="20">
        <v>1396</v>
      </c>
      <c r="B1277" s="18">
        <v>23704746</v>
      </c>
      <c r="C1277" s="19" t="s">
        <v>1107</v>
      </c>
      <c r="D1277" s="18">
        <v>100582408</v>
      </c>
      <c r="E1277" s="18">
        <v>84208096</v>
      </c>
      <c r="F1277" s="18" t="s">
        <v>333</v>
      </c>
      <c r="G1277" s="19" t="s">
        <v>724</v>
      </c>
      <c r="H1277" s="20">
        <v>94</v>
      </c>
      <c r="I1277" s="19"/>
      <c r="J1277" s="19" t="s">
        <v>1110</v>
      </c>
      <c r="K1277" s="36" t="s">
        <v>64</v>
      </c>
      <c r="L1277" s="38"/>
      <c r="M1277" s="36"/>
      <c r="N1277" s="26" t="s">
        <v>330</v>
      </c>
      <c r="O1277" s="38">
        <v>46038</v>
      </c>
      <c r="P1277" s="19" t="s">
        <v>49</v>
      </c>
      <c r="Q1277" s="19" t="s">
        <v>822</v>
      </c>
      <c r="R1277" s="38">
        <v>46038</v>
      </c>
      <c r="S1277" s="79">
        <v>1</v>
      </c>
      <c r="T1277" s="79" t="s">
        <v>0</v>
      </c>
      <c r="U1277" s="18">
        <v>954070763</v>
      </c>
      <c r="V1277" s="19"/>
      <c r="W1277" s="79">
        <v>2026</v>
      </c>
      <c r="X1277" s="79" t="s">
        <v>0</v>
      </c>
      <c r="Y1277" s="53" t="s">
        <v>398</v>
      </c>
      <c r="Z1277" s="65" t="s">
        <v>537</v>
      </c>
    </row>
    <row r="1278" spans="1:26" ht="15" customHeight="1" x14ac:dyDescent="0.3">
      <c r="A1278" s="20">
        <v>1344</v>
      </c>
      <c r="B1278" s="18">
        <v>44794507</v>
      </c>
      <c r="C1278" s="19" t="s">
        <v>1040</v>
      </c>
      <c r="D1278" s="18">
        <v>100471053</v>
      </c>
      <c r="E1278" s="81">
        <v>84106197</v>
      </c>
      <c r="F1278" s="18" t="s">
        <v>334</v>
      </c>
      <c r="G1278" s="19" t="s">
        <v>724</v>
      </c>
      <c r="H1278" s="20">
        <v>94</v>
      </c>
      <c r="I1278" s="18"/>
      <c r="J1278" s="19" t="s">
        <v>529</v>
      </c>
      <c r="K1278" s="36" t="s">
        <v>64</v>
      </c>
      <c r="L1278" s="38"/>
      <c r="M1278" s="36" t="s">
        <v>18</v>
      </c>
      <c r="N1278" s="26" t="s">
        <v>330</v>
      </c>
      <c r="O1278" s="38">
        <v>46034</v>
      </c>
      <c r="P1278" s="19" t="s">
        <v>49</v>
      </c>
      <c r="Q1278" s="19" t="s">
        <v>747</v>
      </c>
      <c r="R1278" s="38">
        <v>46034</v>
      </c>
      <c r="S1278" s="79">
        <v>1</v>
      </c>
      <c r="T1278" s="79" t="s">
        <v>0</v>
      </c>
      <c r="U1278" s="18">
        <v>998884208</v>
      </c>
      <c r="V1278" s="19"/>
      <c r="W1278" s="79">
        <v>2026</v>
      </c>
      <c r="X1278" s="79" t="s">
        <v>0</v>
      </c>
      <c r="Y1278" s="53" t="s">
        <v>426</v>
      </c>
      <c r="Z1278" s="65" t="s">
        <v>537</v>
      </c>
    </row>
    <row r="1279" spans="1:26" ht="15" customHeight="1" x14ac:dyDescent="0.3">
      <c r="A1279" s="20">
        <v>1350</v>
      </c>
      <c r="B1279" s="18">
        <v>6807097</v>
      </c>
      <c r="C1279" s="19" t="s">
        <v>1094</v>
      </c>
      <c r="D1279" s="18">
        <v>100510633</v>
      </c>
      <c r="E1279" s="18">
        <v>84151898</v>
      </c>
      <c r="F1279" s="18" t="s">
        <v>333</v>
      </c>
      <c r="G1279" s="19" t="s">
        <v>724</v>
      </c>
      <c r="H1279" s="20">
        <v>94</v>
      </c>
      <c r="I1279" s="18"/>
      <c r="J1279" s="19" t="s">
        <v>443</v>
      </c>
      <c r="K1279" s="36" t="s">
        <v>64</v>
      </c>
      <c r="L1279" s="38"/>
      <c r="M1279" s="36" t="s">
        <v>18</v>
      </c>
      <c r="N1279" s="26" t="s">
        <v>330</v>
      </c>
      <c r="O1279" s="38">
        <v>46036</v>
      </c>
      <c r="P1279" s="19" t="s">
        <v>49</v>
      </c>
      <c r="Q1279" s="19" t="s">
        <v>770</v>
      </c>
      <c r="R1279" s="38">
        <v>46036</v>
      </c>
      <c r="S1279" s="79">
        <v>1</v>
      </c>
      <c r="T1279" s="79" t="s">
        <v>0</v>
      </c>
      <c r="U1279" s="18">
        <v>997906988</v>
      </c>
      <c r="V1279" s="19"/>
      <c r="W1279" s="79">
        <v>2026</v>
      </c>
      <c r="X1279" s="79" t="s">
        <v>0</v>
      </c>
      <c r="Y1279" s="58" t="s">
        <v>397</v>
      </c>
      <c r="Z1279" s="65" t="s">
        <v>537</v>
      </c>
    </row>
    <row r="1280" spans="1:26" ht="15" customHeight="1" x14ac:dyDescent="0.3">
      <c r="A1280" s="20">
        <v>1352</v>
      </c>
      <c r="B1280" s="18">
        <v>28290087</v>
      </c>
      <c r="C1280" s="19" t="s">
        <v>1095</v>
      </c>
      <c r="D1280" s="18">
        <v>100514072</v>
      </c>
      <c r="E1280" s="18">
        <v>84154561</v>
      </c>
      <c r="F1280" s="18" t="s">
        <v>333</v>
      </c>
      <c r="G1280" s="19" t="s">
        <v>724</v>
      </c>
      <c r="H1280" s="20">
        <v>94</v>
      </c>
      <c r="I1280" s="18"/>
      <c r="J1280" s="19" t="s">
        <v>373</v>
      </c>
      <c r="K1280" s="36" t="s">
        <v>64</v>
      </c>
      <c r="L1280" s="38"/>
      <c r="M1280" s="36" t="s">
        <v>18</v>
      </c>
      <c r="N1280" s="26" t="s">
        <v>330</v>
      </c>
      <c r="O1280" s="38">
        <v>46036</v>
      </c>
      <c r="P1280" s="19" t="s">
        <v>49</v>
      </c>
      <c r="Q1280" s="19" t="s">
        <v>770</v>
      </c>
      <c r="R1280" s="38">
        <v>46036</v>
      </c>
      <c r="S1280" s="79">
        <v>1</v>
      </c>
      <c r="T1280" s="79" t="s">
        <v>0</v>
      </c>
      <c r="U1280" s="18">
        <v>968607956</v>
      </c>
      <c r="V1280" s="19"/>
      <c r="W1280" s="79">
        <v>2026</v>
      </c>
      <c r="X1280" s="79" t="s">
        <v>0</v>
      </c>
      <c r="Y1280" s="58" t="s">
        <v>407</v>
      </c>
      <c r="Z1280" s="65" t="s">
        <v>538</v>
      </c>
    </row>
    <row r="1281" spans="1:27" ht="15" customHeight="1" x14ac:dyDescent="0.3">
      <c r="A1281" s="20">
        <v>1355</v>
      </c>
      <c r="B1281" s="18">
        <v>41750481</v>
      </c>
      <c r="C1281" s="19" t="s">
        <v>1096</v>
      </c>
      <c r="D1281" s="18">
        <v>100520275</v>
      </c>
      <c r="E1281" s="18">
        <v>84159510</v>
      </c>
      <c r="F1281" s="18" t="s">
        <v>333</v>
      </c>
      <c r="G1281" s="19" t="s">
        <v>724</v>
      </c>
      <c r="H1281" s="20">
        <v>94</v>
      </c>
      <c r="I1281" s="18"/>
      <c r="J1281" s="19" t="s">
        <v>529</v>
      </c>
      <c r="K1281" s="36" t="s">
        <v>64</v>
      </c>
      <c r="L1281" s="38"/>
      <c r="M1281" s="36" t="s">
        <v>18</v>
      </c>
      <c r="N1281" s="26" t="s">
        <v>330</v>
      </c>
      <c r="O1281" s="38">
        <v>46036</v>
      </c>
      <c r="P1281" s="19" t="s">
        <v>49</v>
      </c>
      <c r="Q1281" s="19" t="s">
        <v>770</v>
      </c>
      <c r="R1281" s="38">
        <v>46036</v>
      </c>
      <c r="S1281" s="79">
        <v>1</v>
      </c>
      <c r="T1281" s="79" t="s">
        <v>0</v>
      </c>
      <c r="U1281" s="18">
        <v>939358630</v>
      </c>
      <c r="V1281" s="19"/>
      <c r="W1281" s="79">
        <v>2026</v>
      </c>
      <c r="X1281" s="79" t="s">
        <v>0</v>
      </c>
      <c r="Y1281" s="65" t="s">
        <v>393</v>
      </c>
      <c r="Z1281" s="65" t="s">
        <v>538</v>
      </c>
    </row>
    <row r="1282" spans="1:27" ht="15" customHeight="1" x14ac:dyDescent="0.3">
      <c r="A1282" s="20">
        <v>1358</v>
      </c>
      <c r="B1282" s="18">
        <v>4430820</v>
      </c>
      <c r="C1282" s="19" t="s">
        <v>1097</v>
      </c>
      <c r="D1282" s="18">
        <v>100523468</v>
      </c>
      <c r="E1282" s="18">
        <v>84160312</v>
      </c>
      <c r="F1282" s="18" t="s">
        <v>333</v>
      </c>
      <c r="G1282" s="19" t="s">
        <v>724</v>
      </c>
      <c r="H1282" s="20">
        <v>94</v>
      </c>
      <c r="I1282" s="18"/>
      <c r="J1282" s="19" t="s">
        <v>529</v>
      </c>
      <c r="K1282" s="36" t="s">
        <v>64</v>
      </c>
      <c r="L1282" s="38"/>
      <c r="M1282" s="36" t="s">
        <v>18</v>
      </c>
      <c r="N1282" s="26" t="s">
        <v>330</v>
      </c>
      <c r="O1282" s="38">
        <v>46036</v>
      </c>
      <c r="P1282" s="19" t="s">
        <v>49</v>
      </c>
      <c r="Q1282" s="19" t="s">
        <v>933</v>
      </c>
      <c r="R1282" s="38">
        <v>46036</v>
      </c>
      <c r="S1282" s="79">
        <v>1</v>
      </c>
      <c r="T1282" s="79" t="s">
        <v>0</v>
      </c>
      <c r="U1282" s="18">
        <v>953640523</v>
      </c>
      <c r="V1282" s="19"/>
      <c r="W1282" s="79">
        <v>2026</v>
      </c>
      <c r="X1282" s="79" t="s">
        <v>0</v>
      </c>
      <c r="Y1282" s="58" t="s">
        <v>409</v>
      </c>
      <c r="Z1282" s="65" t="s">
        <v>537</v>
      </c>
    </row>
    <row r="1283" spans="1:27" ht="15" customHeight="1" x14ac:dyDescent="0.3">
      <c r="A1283" s="20">
        <v>1359</v>
      </c>
      <c r="B1283" s="18">
        <v>18079808</v>
      </c>
      <c r="C1283" s="19" t="s">
        <v>1098</v>
      </c>
      <c r="D1283" s="18">
        <v>100524290</v>
      </c>
      <c r="E1283" s="18">
        <v>84160655</v>
      </c>
      <c r="F1283" s="18" t="s">
        <v>333</v>
      </c>
      <c r="G1283" s="19" t="s">
        <v>724</v>
      </c>
      <c r="H1283" s="20">
        <v>94</v>
      </c>
      <c r="I1283" s="18"/>
      <c r="J1283" s="19" t="s">
        <v>529</v>
      </c>
      <c r="K1283" s="36" t="s">
        <v>64</v>
      </c>
      <c r="L1283" s="38"/>
      <c r="M1283" s="36" t="s">
        <v>18</v>
      </c>
      <c r="N1283" s="26" t="s">
        <v>330</v>
      </c>
      <c r="O1283" s="38">
        <v>46036</v>
      </c>
      <c r="P1283" s="19" t="s">
        <v>49</v>
      </c>
      <c r="Q1283" s="19" t="s">
        <v>518</v>
      </c>
      <c r="R1283" s="38">
        <v>46036</v>
      </c>
      <c r="S1283" s="79">
        <v>1</v>
      </c>
      <c r="T1283" s="79" t="s">
        <v>0</v>
      </c>
      <c r="U1283" s="18">
        <v>949853096</v>
      </c>
      <c r="V1283" s="19"/>
      <c r="W1283" s="79">
        <v>2026</v>
      </c>
      <c r="X1283" s="79" t="s">
        <v>0</v>
      </c>
      <c r="Y1283" s="58" t="s">
        <v>396</v>
      </c>
      <c r="Z1283" s="65" t="s">
        <v>538</v>
      </c>
    </row>
    <row r="1284" spans="1:27" ht="15" customHeight="1" x14ac:dyDescent="0.3">
      <c r="A1284" s="20">
        <v>1360</v>
      </c>
      <c r="B1284" s="18">
        <v>44228225</v>
      </c>
      <c r="C1284" s="19" t="s">
        <v>1099</v>
      </c>
      <c r="D1284" s="18">
        <v>100524695</v>
      </c>
      <c r="E1284" s="18">
        <v>84160930</v>
      </c>
      <c r="F1284" s="18" t="s">
        <v>333</v>
      </c>
      <c r="G1284" s="19" t="s">
        <v>724</v>
      </c>
      <c r="H1284" s="20">
        <v>94</v>
      </c>
      <c r="I1284" s="18"/>
      <c r="J1284" s="19" t="s">
        <v>529</v>
      </c>
      <c r="K1284" s="36" t="s">
        <v>64</v>
      </c>
      <c r="L1284" s="38"/>
      <c r="M1284" s="36" t="s">
        <v>18</v>
      </c>
      <c r="N1284" s="26" t="s">
        <v>330</v>
      </c>
      <c r="O1284" s="38">
        <v>46036</v>
      </c>
      <c r="P1284" s="19" t="s">
        <v>49</v>
      </c>
      <c r="Q1284" s="19" t="s">
        <v>747</v>
      </c>
      <c r="R1284" s="38">
        <v>46036</v>
      </c>
      <c r="S1284" s="79">
        <v>1</v>
      </c>
      <c r="T1284" s="79" t="s">
        <v>0</v>
      </c>
      <c r="U1284" s="18">
        <v>910088695</v>
      </c>
      <c r="V1284" s="19"/>
      <c r="W1284" s="79">
        <v>2026</v>
      </c>
      <c r="X1284" s="79" t="s">
        <v>0</v>
      </c>
      <c r="Y1284" s="65" t="s">
        <v>393</v>
      </c>
      <c r="Z1284" s="65" t="s">
        <v>538</v>
      </c>
    </row>
    <row r="1285" spans="1:27" ht="15" customHeight="1" x14ac:dyDescent="0.3">
      <c r="A1285" s="20">
        <v>1367</v>
      </c>
      <c r="B1285" s="18">
        <v>8137603</v>
      </c>
      <c r="C1285" s="19" t="s">
        <v>1102</v>
      </c>
      <c r="D1285" s="18">
        <v>100566227</v>
      </c>
      <c r="E1285" s="18">
        <v>84198425</v>
      </c>
      <c r="F1285" s="18" t="s">
        <v>333</v>
      </c>
      <c r="G1285" s="19" t="s">
        <v>724</v>
      </c>
      <c r="H1285" s="20">
        <v>94</v>
      </c>
      <c r="I1285" s="18"/>
      <c r="J1285" s="19" t="s">
        <v>475</v>
      </c>
      <c r="K1285" s="36" t="s">
        <v>64</v>
      </c>
      <c r="L1285" s="38"/>
      <c r="M1285" s="36" t="s">
        <v>18</v>
      </c>
      <c r="N1285" s="26" t="s">
        <v>330</v>
      </c>
      <c r="O1285" s="38">
        <v>46037</v>
      </c>
      <c r="P1285" s="19" t="s">
        <v>49</v>
      </c>
      <c r="Q1285" s="19" t="s">
        <v>822</v>
      </c>
      <c r="R1285" s="38">
        <v>46037</v>
      </c>
      <c r="S1285" s="79">
        <v>1</v>
      </c>
      <c r="T1285" s="79" t="s">
        <v>0</v>
      </c>
      <c r="U1285" s="18">
        <v>965001212</v>
      </c>
      <c r="V1285" s="19"/>
      <c r="W1285" s="79">
        <v>2026</v>
      </c>
      <c r="X1285" s="79" t="s">
        <v>0</v>
      </c>
      <c r="Y1285" s="58" t="s">
        <v>397</v>
      </c>
      <c r="Z1285" s="65" t="s">
        <v>537</v>
      </c>
    </row>
    <row r="1286" spans="1:27" ht="15" customHeight="1" x14ac:dyDescent="0.3">
      <c r="A1286" s="20">
        <v>1372</v>
      </c>
      <c r="B1286" s="18">
        <v>1294560</v>
      </c>
      <c r="C1286" s="19" t="s">
        <v>1105</v>
      </c>
      <c r="D1286" s="18">
        <v>100571219</v>
      </c>
      <c r="E1286" s="18">
        <v>84201125</v>
      </c>
      <c r="F1286" s="18" t="s">
        <v>333</v>
      </c>
      <c r="G1286" s="19" t="s">
        <v>724</v>
      </c>
      <c r="H1286" s="20">
        <v>94</v>
      </c>
      <c r="I1286" s="18"/>
      <c r="J1286" s="19" t="s">
        <v>529</v>
      </c>
      <c r="K1286" s="36" t="s">
        <v>64</v>
      </c>
      <c r="L1286" s="38"/>
      <c r="M1286" s="36"/>
      <c r="N1286" s="26" t="s">
        <v>330</v>
      </c>
      <c r="O1286" s="38">
        <v>46038</v>
      </c>
      <c r="P1286" s="19" t="s">
        <v>49</v>
      </c>
      <c r="Q1286" s="19" t="s">
        <v>822</v>
      </c>
      <c r="R1286" s="38">
        <v>46038</v>
      </c>
      <c r="S1286" s="79">
        <v>1</v>
      </c>
      <c r="T1286" s="79" t="s">
        <v>0</v>
      </c>
      <c r="U1286" s="18">
        <v>922810178</v>
      </c>
      <c r="V1286" s="19"/>
      <c r="W1286" s="79">
        <v>2026</v>
      </c>
      <c r="X1286" s="79" t="s">
        <v>0</v>
      </c>
      <c r="Y1286" s="53" t="s">
        <v>402</v>
      </c>
      <c r="Z1286" s="65" t="s">
        <v>538</v>
      </c>
    </row>
    <row r="1287" spans="1:27" ht="15" customHeight="1" x14ac:dyDescent="0.3">
      <c r="A1287" s="20">
        <v>1377</v>
      </c>
      <c r="B1287" s="18">
        <v>40281592</v>
      </c>
      <c r="C1287" s="19" t="s">
        <v>1106</v>
      </c>
      <c r="D1287" s="18">
        <v>100581145</v>
      </c>
      <c r="E1287" s="18">
        <v>84207526</v>
      </c>
      <c r="F1287" s="18" t="s">
        <v>333</v>
      </c>
      <c r="G1287" s="19" t="s">
        <v>724</v>
      </c>
      <c r="H1287" s="20">
        <v>94</v>
      </c>
      <c r="I1287" s="19"/>
      <c r="J1287" s="19" t="s">
        <v>373</v>
      </c>
      <c r="K1287" s="36" t="s">
        <v>64</v>
      </c>
      <c r="L1287" s="38"/>
      <c r="M1287" s="36"/>
      <c r="N1287" s="26" t="s">
        <v>330</v>
      </c>
      <c r="O1287" s="38">
        <v>46038</v>
      </c>
      <c r="P1287" s="19" t="s">
        <v>49</v>
      </c>
      <c r="Q1287" s="19" t="s">
        <v>770</v>
      </c>
      <c r="R1287" s="38">
        <v>46038</v>
      </c>
      <c r="S1287" s="79">
        <v>1</v>
      </c>
      <c r="T1287" s="79" t="s">
        <v>0</v>
      </c>
      <c r="U1287" s="18">
        <v>944919980</v>
      </c>
      <c r="V1287" s="19"/>
      <c r="W1287" s="79">
        <v>2026</v>
      </c>
      <c r="X1287" s="79" t="s">
        <v>0</v>
      </c>
      <c r="Y1287" s="53" t="s">
        <v>394</v>
      </c>
      <c r="Z1287" s="65" t="s">
        <v>537</v>
      </c>
    </row>
    <row r="1288" spans="1:27" ht="15" customHeight="1" x14ac:dyDescent="0.3">
      <c r="A1288" s="20">
        <v>1380</v>
      </c>
      <c r="B1288" s="18">
        <v>40882388</v>
      </c>
      <c r="C1288" s="19" t="s">
        <v>1108</v>
      </c>
      <c r="D1288" s="18">
        <v>100579333</v>
      </c>
      <c r="E1288" s="18">
        <v>84205929</v>
      </c>
      <c r="F1288" s="18" t="s">
        <v>333</v>
      </c>
      <c r="G1288" s="19" t="s">
        <v>724</v>
      </c>
      <c r="H1288" s="20">
        <v>94</v>
      </c>
      <c r="I1288" s="19"/>
      <c r="J1288" s="19" t="s">
        <v>373</v>
      </c>
      <c r="K1288" s="36" t="s">
        <v>64</v>
      </c>
      <c r="L1288" s="38"/>
      <c r="M1288" s="36"/>
      <c r="N1288" s="26" t="s">
        <v>330</v>
      </c>
      <c r="O1288" s="38">
        <v>46038</v>
      </c>
      <c r="P1288" s="19" t="s">
        <v>1011</v>
      </c>
      <c r="Q1288" s="19" t="s">
        <v>1053</v>
      </c>
      <c r="R1288" s="38">
        <v>46038</v>
      </c>
      <c r="S1288" s="79">
        <v>1</v>
      </c>
      <c r="T1288" s="79" t="s">
        <v>0</v>
      </c>
      <c r="U1288" s="18">
        <v>927580136</v>
      </c>
      <c r="V1288" s="19"/>
      <c r="W1288" s="79">
        <v>2026</v>
      </c>
      <c r="X1288" s="79" t="s">
        <v>0</v>
      </c>
      <c r="Y1288" s="65" t="s">
        <v>393</v>
      </c>
      <c r="Z1288" s="65" t="s">
        <v>538</v>
      </c>
    </row>
    <row r="1289" spans="1:27" ht="15" customHeight="1" x14ac:dyDescent="0.3">
      <c r="A1289" s="20">
        <v>1385</v>
      </c>
      <c r="B1289" s="18">
        <v>47454515</v>
      </c>
      <c r="C1289" s="19" t="s">
        <v>1111</v>
      </c>
      <c r="D1289" s="18">
        <v>100599366</v>
      </c>
      <c r="E1289" s="18">
        <v>84218450</v>
      </c>
      <c r="F1289" s="18" t="s">
        <v>333</v>
      </c>
      <c r="G1289" s="19" t="s">
        <v>724</v>
      </c>
      <c r="H1289" s="20">
        <v>94</v>
      </c>
      <c r="I1289" s="19"/>
      <c r="J1289" s="19" t="s">
        <v>663</v>
      </c>
      <c r="K1289" s="36" t="s">
        <v>64</v>
      </c>
      <c r="L1289" s="38"/>
      <c r="M1289" s="36"/>
      <c r="N1289" s="26" t="s">
        <v>330</v>
      </c>
      <c r="O1289" s="38">
        <v>46039</v>
      </c>
      <c r="P1289" s="19" t="s">
        <v>49</v>
      </c>
      <c r="Q1289" s="19" t="s">
        <v>879</v>
      </c>
      <c r="R1289" s="38">
        <v>46039</v>
      </c>
      <c r="S1289" s="79">
        <v>1</v>
      </c>
      <c r="T1289" s="79" t="s">
        <v>0</v>
      </c>
      <c r="U1289" s="18">
        <v>979414618</v>
      </c>
      <c r="V1289" s="19"/>
      <c r="W1289" s="79">
        <v>2026</v>
      </c>
      <c r="X1289" s="79" t="s">
        <v>0</v>
      </c>
      <c r="Y1289" s="53" t="s">
        <v>398</v>
      </c>
      <c r="Z1289" s="65" t="s">
        <v>537</v>
      </c>
    </row>
    <row r="1290" spans="1:27" ht="15" customHeight="1" x14ac:dyDescent="0.3">
      <c r="A1290" s="20">
        <v>1392</v>
      </c>
      <c r="B1290" s="18">
        <v>3895318</v>
      </c>
      <c r="C1290" s="19" t="s">
        <v>1114</v>
      </c>
      <c r="D1290" s="18">
        <v>100609676</v>
      </c>
      <c r="E1290" s="18">
        <v>84223208</v>
      </c>
      <c r="F1290" s="18" t="s">
        <v>333</v>
      </c>
      <c r="G1290" s="19" t="s">
        <v>724</v>
      </c>
      <c r="H1290" s="20">
        <v>94</v>
      </c>
      <c r="I1290" s="19"/>
      <c r="J1290" s="19" t="s">
        <v>373</v>
      </c>
      <c r="K1290" s="36" t="s">
        <v>64</v>
      </c>
      <c r="L1290" s="38"/>
      <c r="M1290" s="36"/>
      <c r="N1290" s="26" t="s">
        <v>330</v>
      </c>
      <c r="O1290" s="38">
        <v>46039</v>
      </c>
      <c r="P1290" s="19" t="s">
        <v>1011</v>
      </c>
      <c r="Q1290" s="19" t="s">
        <v>1011</v>
      </c>
      <c r="R1290" s="38">
        <v>46039</v>
      </c>
      <c r="S1290" s="79">
        <v>1</v>
      </c>
      <c r="T1290" s="79" t="s">
        <v>0</v>
      </c>
      <c r="U1290" s="18">
        <v>988740710</v>
      </c>
      <c r="V1290" s="19"/>
      <c r="W1290" s="79">
        <v>2026</v>
      </c>
      <c r="X1290" s="79" t="s">
        <v>0</v>
      </c>
      <c r="Y1290" s="65" t="s">
        <v>393</v>
      </c>
      <c r="Z1290" s="65" t="s">
        <v>538</v>
      </c>
    </row>
    <row r="1291" spans="1:27" ht="15" customHeight="1" x14ac:dyDescent="0.3">
      <c r="A1291" s="20">
        <v>1360</v>
      </c>
      <c r="B1291" s="19">
        <v>10453317540</v>
      </c>
      <c r="C1291" s="19" t="s">
        <v>1034</v>
      </c>
      <c r="D1291" s="18">
        <v>100214532</v>
      </c>
      <c r="E1291" s="18">
        <v>83839847</v>
      </c>
      <c r="F1291" s="18" t="s">
        <v>333</v>
      </c>
      <c r="G1291" s="19" t="s">
        <v>724</v>
      </c>
      <c r="H1291" s="20">
        <v>94</v>
      </c>
      <c r="I1291" s="19"/>
      <c r="J1291" s="36"/>
      <c r="K1291" s="36" t="s">
        <v>64</v>
      </c>
      <c r="L1291" s="38"/>
      <c r="M1291" s="36" t="s">
        <v>18</v>
      </c>
      <c r="N1291" s="26" t="s">
        <v>330</v>
      </c>
      <c r="O1291" s="38">
        <v>46037</v>
      </c>
      <c r="P1291" s="19" t="s">
        <v>49</v>
      </c>
      <c r="Q1291" s="38" t="s">
        <v>879</v>
      </c>
      <c r="R1291" s="38">
        <v>46037</v>
      </c>
      <c r="S1291" s="79">
        <v>1</v>
      </c>
      <c r="T1291" s="79"/>
      <c r="U1291" s="19">
        <v>947635182</v>
      </c>
      <c r="V1291" s="19"/>
      <c r="W1291" s="79">
        <v>2026</v>
      </c>
      <c r="X1291" s="79"/>
      <c r="Y1291" s="53" t="s">
        <v>404</v>
      </c>
      <c r="Z1291" s="65" t="s">
        <v>537</v>
      </c>
      <c r="AA1291" s="65" t="s">
        <v>1115</v>
      </c>
    </row>
    <row r="1292" spans="1:27" ht="15" customHeight="1" x14ac:dyDescent="0.3">
      <c r="A1292" s="20">
        <v>1361</v>
      </c>
      <c r="B1292" s="18">
        <v>20559212700</v>
      </c>
      <c r="C1292" s="19" t="s">
        <v>1087</v>
      </c>
      <c r="D1292" s="18">
        <v>100460463</v>
      </c>
      <c r="E1292" s="18">
        <v>84101193</v>
      </c>
      <c r="F1292" s="18" t="s">
        <v>333</v>
      </c>
      <c r="G1292" s="19" t="s">
        <v>337</v>
      </c>
      <c r="H1292" s="18">
        <v>170</v>
      </c>
      <c r="I1292" s="18"/>
      <c r="J1292" s="19"/>
      <c r="K1292" s="36" t="s">
        <v>64</v>
      </c>
      <c r="L1292" s="38"/>
      <c r="M1292" s="36" t="s">
        <v>18</v>
      </c>
      <c r="N1292" s="26" t="s">
        <v>330</v>
      </c>
      <c r="O1292" s="38">
        <v>46038</v>
      </c>
      <c r="P1292" s="19" t="s">
        <v>49</v>
      </c>
      <c r="Q1292" s="19" t="s">
        <v>518</v>
      </c>
      <c r="R1292" s="38">
        <v>46038</v>
      </c>
      <c r="S1292" s="79">
        <v>1</v>
      </c>
      <c r="T1292" s="79" t="s">
        <v>0</v>
      </c>
      <c r="U1292" s="18">
        <v>995213200</v>
      </c>
      <c r="V1292" s="19"/>
      <c r="W1292" s="79">
        <v>2026</v>
      </c>
      <c r="X1292" s="79" t="s">
        <v>0</v>
      </c>
      <c r="Y1292" s="53" t="s">
        <v>402</v>
      </c>
      <c r="Z1292" s="65" t="s">
        <v>538</v>
      </c>
      <c r="AA1292" s="65" t="s">
        <v>1115</v>
      </c>
    </row>
    <row r="1293" spans="1:27" ht="15" customHeight="1" x14ac:dyDescent="0.3">
      <c r="A1293" s="20">
        <v>1370</v>
      </c>
      <c r="B1293" s="18">
        <v>75250240</v>
      </c>
      <c r="C1293" s="19" t="s">
        <v>1109</v>
      </c>
      <c r="D1293" s="18">
        <v>100581607</v>
      </c>
      <c r="E1293" s="18">
        <v>84207722</v>
      </c>
      <c r="F1293" s="18" t="s">
        <v>333</v>
      </c>
      <c r="G1293" s="19" t="s">
        <v>724</v>
      </c>
      <c r="H1293" s="20">
        <v>94</v>
      </c>
      <c r="I1293" s="19"/>
      <c r="J1293" s="19"/>
      <c r="K1293" s="36" t="s">
        <v>64</v>
      </c>
      <c r="L1293" s="38"/>
      <c r="M1293" s="36" t="s">
        <v>18</v>
      </c>
      <c r="N1293" s="26" t="s">
        <v>330</v>
      </c>
      <c r="O1293" s="38">
        <v>46038</v>
      </c>
      <c r="P1293" s="19" t="s">
        <v>1011</v>
      </c>
      <c r="Q1293" s="19" t="s">
        <v>1055</v>
      </c>
      <c r="R1293" s="38">
        <v>46038</v>
      </c>
      <c r="S1293" s="79">
        <v>1</v>
      </c>
      <c r="T1293" s="79" t="s">
        <v>0</v>
      </c>
      <c r="U1293" s="18">
        <v>931251027</v>
      </c>
      <c r="V1293" s="19"/>
      <c r="W1293" s="79">
        <v>2026</v>
      </c>
      <c r="X1293" s="79" t="s">
        <v>0</v>
      </c>
      <c r="Y1293" s="65" t="s">
        <v>393</v>
      </c>
      <c r="Z1293" s="65" t="s">
        <v>537</v>
      </c>
      <c r="AA1293" s="65" t="s">
        <v>1116</v>
      </c>
    </row>
    <row r="1294" spans="1:27" ht="15" customHeight="1" x14ac:dyDescent="0.3">
      <c r="A1294" s="20">
        <v>1374</v>
      </c>
      <c r="B1294" s="18">
        <v>44969692</v>
      </c>
      <c r="C1294" s="19" t="s">
        <v>1112</v>
      </c>
      <c r="D1294" s="18">
        <v>100598635</v>
      </c>
      <c r="E1294" s="18">
        <v>84218155</v>
      </c>
      <c r="F1294" s="18" t="s">
        <v>333</v>
      </c>
      <c r="G1294" s="19" t="s">
        <v>724</v>
      </c>
      <c r="H1294" s="20">
        <v>94</v>
      </c>
      <c r="I1294" s="19"/>
      <c r="J1294" s="19" t="s">
        <v>541</v>
      </c>
      <c r="K1294" s="36" t="s">
        <v>64</v>
      </c>
      <c r="L1294" s="38"/>
      <c r="M1294" s="36" t="s">
        <v>18</v>
      </c>
      <c r="N1294" s="26" t="s">
        <v>330</v>
      </c>
      <c r="O1294" s="38">
        <v>46039</v>
      </c>
      <c r="P1294" s="19" t="s">
        <v>49</v>
      </c>
      <c r="Q1294" s="19" t="s">
        <v>518</v>
      </c>
      <c r="R1294" s="38">
        <v>46039</v>
      </c>
      <c r="S1294" s="79">
        <v>1</v>
      </c>
      <c r="T1294" s="79" t="s">
        <v>0</v>
      </c>
      <c r="U1294" s="18">
        <v>985936031</v>
      </c>
      <c r="V1294" s="19"/>
      <c r="W1294" s="79">
        <v>2026</v>
      </c>
      <c r="X1294" s="79" t="s">
        <v>0</v>
      </c>
      <c r="Y1294" s="53" t="s">
        <v>404</v>
      </c>
      <c r="Z1294" s="65" t="s">
        <v>538</v>
      </c>
      <c r="AA1294" s="65" t="s">
        <v>1115</v>
      </c>
    </row>
    <row r="1295" spans="1:27" ht="15" customHeight="1" x14ac:dyDescent="0.3">
      <c r="A1295" s="20">
        <v>1375</v>
      </c>
      <c r="B1295" s="18">
        <v>74997373</v>
      </c>
      <c r="C1295" s="19" t="s">
        <v>1113</v>
      </c>
      <c r="D1295" s="18">
        <v>100601567</v>
      </c>
      <c r="E1295" s="18">
        <v>84219409</v>
      </c>
      <c r="F1295" s="18" t="s">
        <v>333</v>
      </c>
      <c r="G1295" s="19" t="s">
        <v>724</v>
      </c>
      <c r="H1295" s="20">
        <v>94</v>
      </c>
      <c r="I1295" s="19"/>
      <c r="J1295" s="19"/>
      <c r="K1295" s="36" t="s">
        <v>64</v>
      </c>
      <c r="L1295" s="38"/>
      <c r="M1295" s="36" t="s">
        <v>18</v>
      </c>
      <c r="N1295" s="26" t="s">
        <v>330</v>
      </c>
      <c r="O1295" s="38">
        <v>46039</v>
      </c>
      <c r="P1295" s="19" t="s">
        <v>49</v>
      </c>
      <c r="Q1295" s="19" t="s">
        <v>770</v>
      </c>
      <c r="R1295" s="38">
        <v>46039</v>
      </c>
      <c r="S1295" s="79">
        <v>1</v>
      </c>
      <c r="T1295" s="79" t="s">
        <v>0</v>
      </c>
      <c r="U1295" s="18">
        <v>999017080</v>
      </c>
      <c r="V1295" s="19"/>
      <c r="W1295" s="79">
        <v>2026</v>
      </c>
      <c r="X1295" s="79" t="s">
        <v>0</v>
      </c>
      <c r="Y1295" s="53" t="s">
        <v>403</v>
      </c>
      <c r="Z1295" s="65" t="s">
        <v>538</v>
      </c>
      <c r="AA1295" s="65" t="s">
        <v>1115</v>
      </c>
    </row>
    <row r="1296" spans="1:27" ht="15" customHeight="1" x14ac:dyDescent="0.3">
      <c r="A1296" s="20">
        <v>1382</v>
      </c>
      <c r="B1296" s="18">
        <v>45392322</v>
      </c>
      <c r="C1296" s="19" t="s">
        <v>1118</v>
      </c>
      <c r="D1296" s="18">
        <v>100639737</v>
      </c>
      <c r="E1296" s="18">
        <v>84261981</v>
      </c>
      <c r="F1296" s="18" t="s">
        <v>333</v>
      </c>
      <c r="G1296" s="19" t="s">
        <v>724</v>
      </c>
      <c r="H1296" s="20">
        <v>94</v>
      </c>
      <c r="I1296" s="19"/>
      <c r="J1296" s="19"/>
      <c r="K1296" s="36" t="s">
        <v>64</v>
      </c>
      <c r="L1296" s="38"/>
      <c r="M1296" s="36" t="s">
        <v>18</v>
      </c>
      <c r="N1296" s="26" t="s">
        <v>330</v>
      </c>
      <c r="O1296" s="82">
        <v>46042</v>
      </c>
      <c r="P1296" s="19" t="s">
        <v>49</v>
      </c>
      <c r="Q1296" s="19" t="s">
        <v>518</v>
      </c>
      <c r="R1296" s="38">
        <v>46041</v>
      </c>
      <c r="S1296" s="79">
        <v>1</v>
      </c>
      <c r="T1296" s="79" t="s">
        <v>0</v>
      </c>
      <c r="U1296" s="18">
        <v>952343865</v>
      </c>
      <c r="V1296" s="19"/>
      <c r="W1296" s="79">
        <v>2026</v>
      </c>
      <c r="X1296" s="79" t="s">
        <v>0</v>
      </c>
      <c r="Y1296" s="65" t="s">
        <v>393</v>
      </c>
      <c r="Z1296" s="65" t="s">
        <v>538</v>
      </c>
      <c r="AA1296" s="65" t="s">
        <v>1115</v>
      </c>
    </row>
    <row r="1297" spans="1:27" ht="15" customHeight="1" x14ac:dyDescent="0.3">
      <c r="A1297" s="20">
        <v>1384</v>
      </c>
      <c r="B1297" s="18">
        <v>22469229</v>
      </c>
      <c r="C1297" s="19" t="s">
        <v>1119</v>
      </c>
      <c r="D1297" s="18">
        <v>100656547</v>
      </c>
      <c r="E1297">
        <v>84271122</v>
      </c>
      <c r="F1297" s="18" t="s">
        <v>333</v>
      </c>
      <c r="G1297" s="19" t="s">
        <v>1120</v>
      </c>
      <c r="H1297" s="20">
        <v>110</v>
      </c>
      <c r="I1297" s="19"/>
      <c r="J1297" s="19"/>
      <c r="K1297" s="36" t="s">
        <v>64</v>
      </c>
      <c r="L1297" s="38"/>
      <c r="M1297" s="36" t="s">
        <v>18</v>
      </c>
      <c r="N1297" s="26" t="s">
        <v>330</v>
      </c>
      <c r="O1297" s="82">
        <v>46042</v>
      </c>
      <c r="P1297" s="19" t="s">
        <v>49</v>
      </c>
      <c r="Q1297" s="19" t="s">
        <v>518</v>
      </c>
      <c r="R1297" s="38">
        <v>46041</v>
      </c>
      <c r="S1297" s="79">
        <v>1</v>
      </c>
      <c r="T1297" s="79" t="s">
        <v>0</v>
      </c>
      <c r="U1297" s="18">
        <v>922229792</v>
      </c>
      <c r="V1297" s="19"/>
      <c r="W1297" s="79">
        <v>2026</v>
      </c>
      <c r="X1297" s="79" t="s">
        <v>0</v>
      </c>
      <c r="Y1297" s="65" t="s">
        <v>393</v>
      </c>
      <c r="Z1297" s="65" t="s">
        <v>537</v>
      </c>
      <c r="AA1297" s="65" t="s">
        <v>1115</v>
      </c>
    </row>
    <row r="1298" spans="1:27" ht="15" customHeight="1" x14ac:dyDescent="0.3">
      <c r="A1298" s="20">
        <v>1387</v>
      </c>
      <c r="B1298" s="18">
        <v>23915481</v>
      </c>
      <c r="C1298" s="19" t="s">
        <v>1121</v>
      </c>
      <c r="D1298">
        <v>100688332</v>
      </c>
      <c r="E1298" s="18">
        <v>84310615</v>
      </c>
      <c r="F1298" s="18" t="s">
        <v>333</v>
      </c>
      <c r="G1298" s="19" t="s">
        <v>337</v>
      </c>
      <c r="H1298" s="18">
        <v>170</v>
      </c>
      <c r="I1298" s="19"/>
      <c r="J1298" s="19"/>
      <c r="K1298" s="36" t="s">
        <v>64</v>
      </c>
      <c r="L1298" s="38"/>
      <c r="M1298" s="36" t="s">
        <v>18</v>
      </c>
      <c r="N1298" s="26" t="s">
        <v>330</v>
      </c>
      <c r="O1298" s="82">
        <v>46042</v>
      </c>
      <c r="P1298" s="19" t="s">
        <v>49</v>
      </c>
      <c r="Q1298" s="19" t="s">
        <v>822</v>
      </c>
      <c r="R1298" s="38">
        <v>46042</v>
      </c>
      <c r="S1298" s="79">
        <v>1</v>
      </c>
      <c r="T1298" s="79" t="s">
        <v>0</v>
      </c>
      <c r="U1298" s="18">
        <v>927149959</v>
      </c>
      <c r="V1298" s="19"/>
      <c r="W1298" s="79">
        <v>2026</v>
      </c>
      <c r="X1298" s="79" t="s">
        <v>0</v>
      </c>
      <c r="Y1298" s="53" t="s">
        <v>408</v>
      </c>
      <c r="Z1298" s="65" t="s">
        <v>538</v>
      </c>
      <c r="AA1298" s="65" t="s">
        <v>1115</v>
      </c>
    </row>
    <row r="1299" spans="1:27" ht="15" customHeight="1" x14ac:dyDescent="0.3">
      <c r="A1299" s="20">
        <v>1400</v>
      </c>
      <c r="B1299" s="18">
        <v>73413483</v>
      </c>
      <c r="C1299" s="19" t="s">
        <v>1130</v>
      </c>
      <c r="D1299" s="18">
        <v>100691689</v>
      </c>
      <c r="E1299" s="18">
        <v>84312300</v>
      </c>
      <c r="F1299" s="18" t="s">
        <v>333</v>
      </c>
      <c r="G1299" s="19" t="s">
        <v>337</v>
      </c>
      <c r="H1299" s="18">
        <v>170</v>
      </c>
      <c r="I1299" s="19"/>
      <c r="J1299" s="19"/>
      <c r="K1299" s="36" t="s">
        <v>64</v>
      </c>
      <c r="L1299" s="38"/>
      <c r="M1299" s="36" t="s">
        <v>18</v>
      </c>
      <c r="N1299" s="26" t="s">
        <v>330</v>
      </c>
      <c r="O1299" s="82">
        <v>46043</v>
      </c>
      <c r="P1299" s="19" t="s">
        <v>1011</v>
      </c>
      <c r="Q1299" s="19" t="s">
        <v>1011</v>
      </c>
      <c r="R1299" s="38">
        <v>46043</v>
      </c>
      <c r="S1299" s="79">
        <v>1</v>
      </c>
      <c r="T1299" s="79" t="s">
        <v>0</v>
      </c>
      <c r="U1299" s="18">
        <v>961038656</v>
      </c>
      <c r="V1299" s="19"/>
      <c r="W1299" s="79">
        <v>2026</v>
      </c>
      <c r="X1299" s="79" t="s">
        <v>0</v>
      </c>
      <c r="Y1299" s="53" t="s">
        <v>393</v>
      </c>
      <c r="Z1299" s="65" t="s">
        <v>538</v>
      </c>
      <c r="AA1299" s="65" t="s">
        <v>1116</v>
      </c>
    </row>
    <row r="1300" spans="1:27" ht="15" customHeight="1" x14ac:dyDescent="0.3">
      <c r="A1300" s="20">
        <v>1401</v>
      </c>
      <c r="B1300" s="18">
        <v>16693583</v>
      </c>
      <c r="C1300" s="19" t="s">
        <v>1131</v>
      </c>
      <c r="D1300" s="18">
        <v>100692375</v>
      </c>
      <c r="E1300" s="18">
        <v>84312643</v>
      </c>
      <c r="F1300" s="18" t="s">
        <v>333</v>
      </c>
      <c r="G1300" s="19" t="s">
        <v>724</v>
      </c>
      <c r="H1300" s="20">
        <v>94</v>
      </c>
      <c r="I1300" s="19"/>
      <c r="J1300" s="19"/>
      <c r="K1300" s="36" t="s">
        <v>64</v>
      </c>
      <c r="L1300" s="38"/>
      <c r="M1300" s="36" t="s">
        <v>18</v>
      </c>
      <c r="N1300" s="26" t="s">
        <v>330</v>
      </c>
      <c r="O1300" s="82">
        <v>46043</v>
      </c>
      <c r="P1300" s="19" t="s">
        <v>1011</v>
      </c>
      <c r="Q1300" s="19" t="s">
        <v>1062</v>
      </c>
      <c r="R1300" s="38">
        <v>46043</v>
      </c>
      <c r="S1300" s="79">
        <v>1</v>
      </c>
      <c r="T1300" s="79" t="s">
        <v>0</v>
      </c>
      <c r="U1300" s="18">
        <v>942864942</v>
      </c>
      <c r="V1300" s="19"/>
      <c r="W1300" s="79">
        <v>2026</v>
      </c>
      <c r="X1300" s="79" t="s">
        <v>0</v>
      </c>
      <c r="Y1300" s="53" t="s">
        <v>393</v>
      </c>
      <c r="Z1300" s="65" t="s">
        <v>538</v>
      </c>
      <c r="AA1300" s="65" t="s">
        <v>1116</v>
      </c>
    </row>
    <row r="1301" spans="1:27" ht="15" customHeight="1" x14ac:dyDescent="0.3">
      <c r="A1301" s="20">
        <v>1424</v>
      </c>
      <c r="B1301" s="18">
        <v>47485765</v>
      </c>
      <c r="C1301" s="19" t="s">
        <v>1142</v>
      </c>
      <c r="D1301" s="18">
        <v>100734918</v>
      </c>
      <c r="E1301" s="18">
        <v>84346095</v>
      </c>
      <c r="F1301" s="18" t="s">
        <v>334</v>
      </c>
      <c r="G1301" s="19" t="s">
        <v>724</v>
      </c>
      <c r="H1301" s="20">
        <v>94</v>
      </c>
      <c r="I1301" s="19"/>
      <c r="J1301" s="19"/>
      <c r="K1301" s="36" t="s">
        <v>64</v>
      </c>
      <c r="L1301" s="38"/>
      <c r="M1301" s="36" t="s">
        <v>18</v>
      </c>
      <c r="N1301" s="26" t="s">
        <v>330</v>
      </c>
      <c r="O1301" s="38">
        <v>46044</v>
      </c>
      <c r="P1301" s="19" t="s">
        <v>49</v>
      </c>
      <c r="Q1301" s="19" t="s">
        <v>1124</v>
      </c>
      <c r="R1301" s="38">
        <v>46044</v>
      </c>
      <c r="S1301" s="79">
        <v>1</v>
      </c>
      <c r="T1301" s="79" t="s">
        <v>0</v>
      </c>
      <c r="U1301" s="18">
        <v>933963751</v>
      </c>
      <c r="V1301" s="19"/>
      <c r="W1301" s="79">
        <v>2026</v>
      </c>
      <c r="X1301" s="79" t="s">
        <v>0</v>
      </c>
      <c r="Y1301" s="53" t="s">
        <v>397</v>
      </c>
      <c r="Z1301" s="65" t="s">
        <v>537</v>
      </c>
      <c r="AA1301" s="65" t="s">
        <v>1115</v>
      </c>
    </row>
    <row r="1302" spans="1:27" ht="15" customHeight="1" x14ac:dyDescent="0.3">
      <c r="A1302" s="20">
        <v>1426</v>
      </c>
      <c r="B1302" s="18">
        <v>10415523667</v>
      </c>
      <c r="C1302" s="19" t="s">
        <v>1144</v>
      </c>
      <c r="D1302" s="18">
        <v>100738015</v>
      </c>
      <c r="E1302" s="18">
        <v>84346460</v>
      </c>
      <c r="F1302" s="18" t="s">
        <v>333</v>
      </c>
      <c r="G1302" s="19" t="s">
        <v>724</v>
      </c>
      <c r="H1302" s="20">
        <v>94</v>
      </c>
      <c r="I1302" s="19"/>
      <c r="J1302" s="19"/>
      <c r="K1302" s="36" t="s">
        <v>64</v>
      </c>
      <c r="L1302" s="38"/>
      <c r="M1302" s="36" t="s">
        <v>18</v>
      </c>
      <c r="N1302" s="26" t="s">
        <v>330</v>
      </c>
      <c r="O1302" s="38">
        <v>46044</v>
      </c>
      <c r="P1302" s="19" t="s">
        <v>49</v>
      </c>
      <c r="Q1302" s="19" t="s">
        <v>1135</v>
      </c>
      <c r="R1302" s="38">
        <v>46044</v>
      </c>
      <c r="S1302" s="79">
        <v>1</v>
      </c>
      <c r="T1302" s="79" t="s">
        <v>0</v>
      </c>
      <c r="U1302" s="18">
        <v>918585164</v>
      </c>
      <c r="V1302" s="19"/>
      <c r="W1302" s="79">
        <v>2026</v>
      </c>
      <c r="X1302" s="79" t="s">
        <v>0</v>
      </c>
      <c r="Y1302" s="53" t="s">
        <v>403</v>
      </c>
      <c r="Z1302" s="65" t="s">
        <v>538</v>
      </c>
      <c r="AA1302" s="65" t="s">
        <v>1115</v>
      </c>
    </row>
    <row r="1303" spans="1:27" ht="15" customHeight="1" x14ac:dyDescent="0.3">
      <c r="J1303" s="62"/>
      <c r="K1303" s="63"/>
      <c r="L1303" s="39"/>
      <c r="M1303" s="64"/>
      <c r="N1303"/>
      <c r="O1303" s="39"/>
      <c r="P1303" s="63"/>
      <c r="Q1303" s="63"/>
      <c r="R1303" s="39"/>
      <c r="S1303" s="50"/>
      <c r="T1303" s="50"/>
      <c r="U1303" s="63"/>
      <c r="V1303" s="63"/>
      <c r="W1303" s="50"/>
      <c r="X1303" s="50"/>
      <c r="Y1303" s="62"/>
      <c r="Z1303" s="62"/>
      <c r="AA1303" s="62"/>
    </row>
  </sheetData>
  <autoFilter ref="A1:S1302" xr:uid="{00000000-0009-0000-0000-000005000000}"/>
  <conditionalFormatting sqref="B251">
    <cfRule type="duplicateValues" dxfId="12867" priority="14071"/>
  </conditionalFormatting>
  <conditionalFormatting sqref="B252">
    <cfRule type="duplicateValues" dxfId="12866" priority="14064"/>
  </conditionalFormatting>
  <conditionalFormatting sqref="B253">
    <cfRule type="duplicateValues" dxfId="12865" priority="14057"/>
  </conditionalFormatting>
  <conditionalFormatting sqref="B254">
    <cfRule type="duplicateValues" dxfId="12864" priority="14050"/>
  </conditionalFormatting>
  <conditionalFormatting sqref="B255">
    <cfRule type="duplicateValues" dxfId="12863" priority="14043"/>
  </conditionalFormatting>
  <conditionalFormatting sqref="B256">
    <cfRule type="duplicateValues" dxfId="12862" priority="14036"/>
  </conditionalFormatting>
  <conditionalFormatting sqref="B257">
    <cfRule type="duplicateValues" dxfId="12861" priority="14029"/>
  </conditionalFormatting>
  <conditionalFormatting sqref="B258">
    <cfRule type="duplicateValues" dxfId="12860" priority="14022"/>
  </conditionalFormatting>
  <conditionalFormatting sqref="B259">
    <cfRule type="duplicateValues" dxfId="12859" priority="14015"/>
  </conditionalFormatting>
  <conditionalFormatting sqref="B260">
    <cfRule type="duplicateValues" dxfId="12858" priority="14008"/>
  </conditionalFormatting>
  <conditionalFormatting sqref="B261">
    <cfRule type="duplicateValues" dxfId="12857" priority="14001"/>
  </conditionalFormatting>
  <conditionalFormatting sqref="B262">
    <cfRule type="duplicateValues" dxfId="12856" priority="13994"/>
  </conditionalFormatting>
  <conditionalFormatting sqref="B263">
    <cfRule type="duplicateValues" dxfId="12855" priority="13991"/>
  </conditionalFormatting>
  <conditionalFormatting sqref="B264">
    <cfRule type="duplicateValues" dxfId="12854" priority="13976"/>
  </conditionalFormatting>
  <conditionalFormatting sqref="B265">
    <cfRule type="duplicateValues" dxfId="12853" priority="13969"/>
  </conditionalFormatting>
  <conditionalFormatting sqref="B266">
    <cfRule type="duplicateValues" dxfId="12852" priority="13962"/>
  </conditionalFormatting>
  <conditionalFormatting sqref="B267">
    <cfRule type="duplicateValues" dxfId="12851" priority="13955"/>
  </conditionalFormatting>
  <conditionalFormatting sqref="B268">
    <cfRule type="duplicateValues" dxfId="12850" priority="13948"/>
  </conditionalFormatting>
  <conditionalFormatting sqref="B269">
    <cfRule type="duplicateValues" dxfId="12849" priority="13941"/>
  </conditionalFormatting>
  <conditionalFormatting sqref="B270">
    <cfRule type="duplicateValues" dxfId="12848" priority="13934"/>
  </conditionalFormatting>
  <conditionalFormatting sqref="B271">
    <cfRule type="duplicateValues" dxfId="12847" priority="13927"/>
  </conditionalFormatting>
  <conditionalFormatting sqref="B272">
    <cfRule type="duplicateValues" dxfId="12846" priority="13920"/>
  </conditionalFormatting>
  <conditionalFormatting sqref="B273">
    <cfRule type="duplicateValues" dxfId="12845" priority="13913"/>
  </conditionalFormatting>
  <conditionalFormatting sqref="B274">
    <cfRule type="duplicateValues" dxfId="12844" priority="13906"/>
  </conditionalFormatting>
  <conditionalFormatting sqref="B275">
    <cfRule type="duplicateValues" dxfId="12843" priority="13899"/>
  </conditionalFormatting>
  <conditionalFormatting sqref="B276">
    <cfRule type="duplicateValues" dxfId="12842" priority="13892"/>
  </conditionalFormatting>
  <conditionalFormatting sqref="B277">
    <cfRule type="duplicateValues" dxfId="12841" priority="13885"/>
  </conditionalFormatting>
  <conditionalFormatting sqref="B278">
    <cfRule type="duplicateValues" dxfId="12840" priority="13878"/>
  </conditionalFormatting>
  <conditionalFormatting sqref="B279">
    <cfRule type="duplicateValues" dxfId="12839" priority="13871"/>
  </conditionalFormatting>
  <conditionalFormatting sqref="B280">
    <cfRule type="duplicateValues" dxfId="12838" priority="13864"/>
  </conditionalFormatting>
  <conditionalFormatting sqref="B281">
    <cfRule type="duplicateValues" dxfId="12837" priority="13857"/>
  </conditionalFormatting>
  <conditionalFormatting sqref="B282">
    <cfRule type="duplicateValues" dxfId="12836" priority="13850"/>
  </conditionalFormatting>
  <conditionalFormatting sqref="B283">
    <cfRule type="duplicateValues" dxfId="12835" priority="13843"/>
  </conditionalFormatting>
  <conditionalFormatting sqref="B284">
    <cfRule type="duplicateValues" dxfId="12834" priority="13836"/>
  </conditionalFormatting>
  <conditionalFormatting sqref="B285">
    <cfRule type="duplicateValues" dxfId="12833" priority="13829"/>
  </conditionalFormatting>
  <conditionalFormatting sqref="B286">
    <cfRule type="duplicateValues" dxfId="12832" priority="13822"/>
  </conditionalFormatting>
  <conditionalFormatting sqref="B287">
    <cfRule type="duplicateValues" dxfId="12831" priority="13815"/>
  </conditionalFormatting>
  <conditionalFormatting sqref="B288">
    <cfRule type="duplicateValues" dxfId="12830" priority="13808"/>
  </conditionalFormatting>
  <conditionalFormatting sqref="B289">
    <cfRule type="duplicateValues" dxfId="12829" priority="13801"/>
  </conditionalFormatting>
  <conditionalFormatting sqref="B290">
    <cfRule type="duplicateValues" dxfId="12828" priority="13794"/>
  </conditionalFormatting>
  <conditionalFormatting sqref="B291">
    <cfRule type="duplicateValues" dxfId="12827" priority="13787"/>
  </conditionalFormatting>
  <conditionalFormatting sqref="B292">
    <cfRule type="duplicateValues" dxfId="12826" priority="13786"/>
  </conditionalFormatting>
  <conditionalFormatting sqref="B293">
    <cfRule type="duplicateValues" dxfId="12825" priority="13779"/>
  </conditionalFormatting>
  <conditionalFormatting sqref="B295">
    <cfRule type="duplicateValues" dxfId="12824" priority="13766"/>
  </conditionalFormatting>
  <conditionalFormatting sqref="B296">
    <cfRule type="duplicateValues" dxfId="12823" priority="13759"/>
  </conditionalFormatting>
  <conditionalFormatting sqref="B297">
    <cfRule type="duplicateValues" dxfId="12822" priority="13752"/>
  </conditionalFormatting>
  <conditionalFormatting sqref="B298">
    <cfRule type="duplicateValues" dxfId="12821" priority="13745"/>
  </conditionalFormatting>
  <conditionalFormatting sqref="B299">
    <cfRule type="duplicateValues" dxfId="12820" priority="13738"/>
  </conditionalFormatting>
  <conditionalFormatting sqref="B300">
    <cfRule type="duplicateValues" dxfId="12819" priority="13731"/>
  </conditionalFormatting>
  <conditionalFormatting sqref="B301">
    <cfRule type="duplicateValues" dxfId="12818" priority="13724"/>
  </conditionalFormatting>
  <conditionalFormatting sqref="B302">
    <cfRule type="duplicateValues" dxfId="12817" priority="13717"/>
  </conditionalFormatting>
  <conditionalFormatting sqref="B303">
    <cfRule type="duplicateValues" dxfId="12816" priority="13710"/>
  </conditionalFormatting>
  <conditionalFormatting sqref="B304">
    <cfRule type="duplicateValues" dxfId="12815" priority="13703"/>
  </conditionalFormatting>
  <conditionalFormatting sqref="B305">
    <cfRule type="duplicateValues" dxfId="12814" priority="13696"/>
  </conditionalFormatting>
  <conditionalFormatting sqref="B306">
    <cfRule type="duplicateValues" dxfId="12813" priority="13689"/>
  </conditionalFormatting>
  <conditionalFormatting sqref="B307">
    <cfRule type="duplicateValues" dxfId="12812" priority="13688"/>
  </conditionalFormatting>
  <conditionalFormatting sqref="B308">
    <cfRule type="duplicateValues" dxfId="12811" priority="13681"/>
  </conditionalFormatting>
  <conditionalFormatting sqref="B309">
    <cfRule type="duplicateValues" dxfId="12810" priority="13674"/>
  </conditionalFormatting>
  <conditionalFormatting sqref="B310">
    <cfRule type="duplicateValues" dxfId="12809" priority="13667"/>
  </conditionalFormatting>
  <conditionalFormatting sqref="B311">
    <cfRule type="duplicateValues" dxfId="12808" priority="13660"/>
  </conditionalFormatting>
  <conditionalFormatting sqref="B312">
    <cfRule type="duplicateValues" dxfId="12807" priority="13653"/>
  </conditionalFormatting>
  <conditionalFormatting sqref="B313">
    <cfRule type="duplicateValues" dxfId="12806" priority="13646"/>
  </conditionalFormatting>
  <conditionalFormatting sqref="B314:B316">
    <cfRule type="duplicateValues" dxfId="12805" priority="13639"/>
  </conditionalFormatting>
  <conditionalFormatting sqref="B317:B318">
    <cfRule type="duplicateValues" dxfId="12804" priority="13632"/>
  </conditionalFormatting>
  <conditionalFormatting sqref="B319">
    <cfRule type="duplicateValues" dxfId="12803" priority="13625"/>
  </conditionalFormatting>
  <conditionalFormatting sqref="B320:B321">
    <cfRule type="duplicateValues" dxfId="12802" priority="13618"/>
  </conditionalFormatting>
  <conditionalFormatting sqref="B322">
    <cfRule type="duplicateValues" dxfId="12801" priority="13611"/>
  </conditionalFormatting>
  <conditionalFormatting sqref="B323">
    <cfRule type="duplicateValues" dxfId="12800" priority="13603"/>
  </conditionalFormatting>
  <conditionalFormatting sqref="B324">
    <cfRule type="duplicateValues" dxfId="12799" priority="13595"/>
  </conditionalFormatting>
  <conditionalFormatting sqref="B325">
    <cfRule type="duplicateValues" dxfId="12798" priority="13587"/>
  </conditionalFormatting>
  <conditionalFormatting sqref="B326">
    <cfRule type="duplicateValues" dxfId="12797" priority="13579"/>
  </conditionalFormatting>
  <conditionalFormatting sqref="B327">
    <cfRule type="duplicateValues" dxfId="12796" priority="13571"/>
  </conditionalFormatting>
  <conditionalFormatting sqref="B328">
    <cfRule type="duplicateValues" dxfId="12795" priority="13563"/>
  </conditionalFormatting>
  <conditionalFormatting sqref="B329">
    <cfRule type="duplicateValues" dxfId="12794" priority="13555"/>
  </conditionalFormatting>
  <conditionalFormatting sqref="B330">
    <cfRule type="duplicateValues" dxfId="12793" priority="13547"/>
  </conditionalFormatting>
  <conditionalFormatting sqref="B331:B332">
    <cfRule type="duplicateValues" dxfId="12792" priority="13539"/>
  </conditionalFormatting>
  <conditionalFormatting sqref="B333">
    <cfRule type="duplicateValues" dxfId="12791" priority="13531"/>
  </conditionalFormatting>
  <conditionalFormatting sqref="B334">
    <cfRule type="duplicateValues" dxfId="12790" priority="13523"/>
  </conditionalFormatting>
  <conditionalFormatting sqref="B335">
    <cfRule type="duplicateValues" dxfId="12789" priority="13515"/>
  </conditionalFormatting>
  <conditionalFormatting sqref="B336">
    <cfRule type="duplicateValues" dxfId="12788" priority="13507"/>
  </conditionalFormatting>
  <conditionalFormatting sqref="B337">
    <cfRule type="duplicateValues" dxfId="12787" priority="13499"/>
  </conditionalFormatting>
  <conditionalFormatting sqref="B338">
    <cfRule type="duplicateValues" dxfId="12786" priority="13491"/>
  </conditionalFormatting>
  <conditionalFormatting sqref="B339">
    <cfRule type="duplicateValues" dxfId="12785" priority="13483"/>
  </conditionalFormatting>
  <conditionalFormatting sqref="B340">
    <cfRule type="duplicateValues" dxfId="12784" priority="13475"/>
  </conditionalFormatting>
  <conditionalFormatting sqref="B341">
    <cfRule type="duplicateValues" dxfId="12783" priority="13467"/>
  </conditionalFormatting>
  <conditionalFormatting sqref="B342:B343">
    <cfRule type="duplicateValues" dxfId="12782" priority="13459"/>
  </conditionalFormatting>
  <conditionalFormatting sqref="B344">
    <cfRule type="duplicateValues" dxfId="12781" priority="13451"/>
  </conditionalFormatting>
  <conditionalFormatting sqref="B345">
    <cfRule type="duplicateValues" dxfId="12780" priority="13443"/>
  </conditionalFormatting>
  <conditionalFormatting sqref="B346">
    <cfRule type="duplicateValues" dxfId="12779" priority="13435"/>
  </conditionalFormatting>
  <conditionalFormatting sqref="B347">
    <cfRule type="duplicateValues" dxfId="12778" priority="13427"/>
  </conditionalFormatting>
  <conditionalFormatting sqref="B348">
    <cfRule type="duplicateValues" dxfId="12777" priority="13419"/>
  </conditionalFormatting>
  <conditionalFormatting sqref="B349">
    <cfRule type="duplicateValues" dxfId="12776" priority="13411"/>
  </conditionalFormatting>
  <conditionalFormatting sqref="B350">
    <cfRule type="duplicateValues" dxfId="12775" priority="13403"/>
  </conditionalFormatting>
  <conditionalFormatting sqref="B351">
    <cfRule type="duplicateValues" dxfId="12774" priority="13395"/>
  </conditionalFormatting>
  <conditionalFormatting sqref="B352">
    <cfRule type="duplicateValues" dxfId="12773" priority="13387"/>
  </conditionalFormatting>
  <conditionalFormatting sqref="B353">
    <cfRule type="duplicateValues" dxfId="12772" priority="13379"/>
  </conditionalFormatting>
  <conditionalFormatting sqref="B354">
    <cfRule type="duplicateValues" dxfId="12771" priority="13371"/>
  </conditionalFormatting>
  <conditionalFormatting sqref="B355">
    <cfRule type="duplicateValues" dxfId="12770" priority="13363"/>
  </conditionalFormatting>
  <conditionalFormatting sqref="B356">
    <cfRule type="duplicateValues" dxfId="12769" priority="13355"/>
  </conditionalFormatting>
  <conditionalFormatting sqref="B357">
    <cfRule type="duplicateValues" dxfId="12768" priority="13347"/>
  </conditionalFormatting>
  <conditionalFormatting sqref="B358">
    <cfRule type="duplicateValues" dxfId="12767" priority="13339"/>
  </conditionalFormatting>
  <conditionalFormatting sqref="B359">
    <cfRule type="duplicateValues" dxfId="12766" priority="13331"/>
  </conditionalFormatting>
  <conditionalFormatting sqref="B360">
    <cfRule type="duplicateValues" dxfId="12765" priority="13323"/>
  </conditionalFormatting>
  <conditionalFormatting sqref="B361">
    <cfRule type="duplicateValues" dxfId="12764" priority="13315"/>
  </conditionalFormatting>
  <conditionalFormatting sqref="B362">
    <cfRule type="duplicateValues" dxfId="12763" priority="13307"/>
  </conditionalFormatting>
  <conditionalFormatting sqref="B363">
    <cfRule type="duplicateValues" dxfId="12762" priority="13299"/>
  </conditionalFormatting>
  <conditionalFormatting sqref="B364">
    <cfRule type="duplicateValues" dxfId="12761" priority="13291"/>
  </conditionalFormatting>
  <conditionalFormatting sqref="B365">
    <cfRule type="duplicateValues" dxfId="12760" priority="13283"/>
  </conditionalFormatting>
  <conditionalFormatting sqref="B366">
    <cfRule type="duplicateValues" dxfId="12759" priority="13275"/>
  </conditionalFormatting>
  <conditionalFormatting sqref="B367">
    <cfRule type="duplicateValues" dxfId="12758" priority="13267"/>
  </conditionalFormatting>
  <conditionalFormatting sqref="B368">
    <cfRule type="duplicateValues" dxfId="12757" priority="13259"/>
  </conditionalFormatting>
  <conditionalFormatting sqref="B369">
    <cfRule type="duplicateValues" dxfId="12756" priority="13251"/>
  </conditionalFormatting>
  <conditionalFormatting sqref="B370">
    <cfRule type="duplicateValues" dxfId="12755" priority="13243"/>
  </conditionalFormatting>
  <conditionalFormatting sqref="B371">
    <cfRule type="duplicateValues" dxfId="12754" priority="13235"/>
  </conditionalFormatting>
  <conditionalFormatting sqref="B372">
    <cfRule type="duplicateValues" dxfId="12753" priority="13227"/>
  </conditionalFormatting>
  <conditionalFormatting sqref="B373">
    <cfRule type="duplicateValues" dxfId="12752" priority="13219"/>
  </conditionalFormatting>
  <conditionalFormatting sqref="B374">
    <cfRule type="duplicateValues" dxfId="12751" priority="13211"/>
  </conditionalFormatting>
  <conditionalFormatting sqref="B375">
    <cfRule type="duplicateValues" dxfId="12750" priority="13203"/>
  </conditionalFormatting>
  <conditionalFormatting sqref="B376">
    <cfRule type="duplicateValues" dxfId="12749" priority="13195"/>
  </conditionalFormatting>
  <conditionalFormatting sqref="B377">
    <cfRule type="duplicateValues" dxfId="12748" priority="13187"/>
  </conditionalFormatting>
  <conditionalFormatting sqref="B378">
    <cfRule type="duplicateValues" dxfId="12747" priority="13179"/>
  </conditionalFormatting>
  <conditionalFormatting sqref="B379">
    <cfRule type="duplicateValues" dxfId="12746" priority="13171"/>
  </conditionalFormatting>
  <conditionalFormatting sqref="B380">
    <cfRule type="duplicateValues" dxfId="12745" priority="13163"/>
  </conditionalFormatting>
  <conditionalFormatting sqref="B381">
    <cfRule type="duplicateValues" dxfId="12744" priority="13155"/>
  </conditionalFormatting>
  <conditionalFormatting sqref="B382">
    <cfRule type="duplicateValues" dxfId="12743" priority="13147"/>
  </conditionalFormatting>
  <conditionalFormatting sqref="B383:B387">
    <cfRule type="duplicateValues" dxfId="12742" priority="13139"/>
  </conditionalFormatting>
  <conditionalFormatting sqref="B388:B396">
    <cfRule type="duplicateValues" dxfId="12741" priority="13131"/>
  </conditionalFormatting>
  <conditionalFormatting sqref="B397:B400">
    <cfRule type="duplicateValues" dxfId="12740" priority="13123"/>
  </conditionalFormatting>
  <conditionalFormatting sqref="B401:B403">
    <cfRule type="duplicateValues" dxfId="12739" priority="13115"/>
  </conditionalFormatting>
  <conditionalFormatting sqref="B404:B412">
    <cfRule type="duplicateValues" dxfId="12738" priority="13107"/>
  </conditionalFormatting>
  <conditionalFormatting sqref="B413:B420">
    <cfRule type="duplicateValues" dxfId="12737" priority="13099"/>
  </conditionalFormatting>
  <conditionalFormatting sqref="B421:B429">
    <cfRule type="duplicateValues" dxfId="12736" priority="13091"/>
  </conditionalFormatting>
  <conditionalFormatting sqref="B430:B438">
    <cfRule type="duplicateValues" dxfId="12735" priority="13083"/>
  </conditionalFormatting>
  <conditionalFormatting sqref="B439:B442">
    <cfRule type="duplicateValues" dxfId="12734" priority="13075"/>
  </conditionalFormatting>
  <conditionalFormatting sqref="B443:B446">
    <cfRule type="duplicateValues" dxfId="12733" priority="13067"/>
  </conditionalFormatting>
  <conditionalFormatting sqref="B450">
    <cfRule type="duplicateValues" dxfId="12732" priority="13051"/>
  </conditionalFormatting>
  <conditionalFormatting sqref="B451:B456 B447:B449">
    <cfRule type="duplicateValues" dxfId="12731" priority="13059"/>
  </conditionalFormatting>
  <conditionalFormatting sqref="B457:B462">
    <cfRule type="duplicateValues" dxfId="12730" priority="13050"/>
  </conditionalFormatting>
  <conditionalFormatting sqref="B463:B467">
    <cfRule type="duplicateValues" dxfId="12729" priority="13042"/>
  </conditionalFormatting>
  <conditionalFormatting sqref="B468:B471">
    <cfRule type="duplicateValues" dxfId="12728" priority="13034"/>
  </conditionalFormatting>
  <conditionalFormatting sqref="B472:B474">
    <cfRule type="duplicateValues" dxfId="12727" priority="13026"/>
  </conditionalFormatting>
  <conditionalFormatting sqref="B475:B483">
    <cfRule type="duplicateValues" dxfId="12726" priority="13018"/>
  </conditionalFormatting>
  <conditionalFormatting sqref="B484:B486">
    <cfRule type="duplicateValues" dxfId="12725" priority="13010"/>
  </conditionalFormatting>
  <conditionalFormatting sqref="B487:B488">
    <cfRule type="duplicateValues" dxfId="12724" priority="13002"/>
  </conditionalFormatting>
  <conditionalFormatting sqref="B493">
    <cfRule type="duplicateValues" dxfId="12723" priority="12978"/>
  </conditionalFormatting>
  <conditionalFormatting sqref="B494 B489:B492">
    <cfRule type="duplicateValues" dxfId="12722" priority="12986"/>
  </conditionalFormatting>
  <conditionalFormatting sqref="B495:B499">
    <cfRule type="duplicateValues" dxfId="12721" priority="12977"/>
  </conditionalFormatting>
  <conditionalFormatting sqref="B500:B505">
    <cfRule type="duplicateValues" dxfId="12720" priority="12969"/>
  </conditionalFormatting>
  <conditionalFormatting sqref="B506">
    <cfRule type="duplicateValues" dxfId="12719" priority="12961"/>
  </conditionalFormatting>
  <conditionalFormatting sqref="B507:B513">
    <cfRule type="duplicateValues" dxfId="12718" priority="12953"/>
  </conditionalFormatting>
  <conditionalFormatting sqref="B514:B523">
    <cfRule type="duplicateValues" dxfId="12717" priority="12945"/>
  </conditionalFormatting>
  <conditionalFormatting sqref="B524:B530">
    <cfRule type="duplicateValues" dxfId="12716" priority="12937"/>
  </conditionalFormatting>
  <conditionalFormatting sqref="B532">
    <cfRule type="duplicateValues" dxfId="12715" priority="12921"/>
  </conditionalFormatting>
  <conditionalFormatting sqref="B533 B531">
    <cfRule type="duplicateValues" dxfId="12714" priority="12929"/>
  </conditionalFormatting>
  <conditionalFormatting sqref="B534:B539">
    <cfRule type="duplicateValues" dxfId="12713" priority="12920"/>
  </conditionalFormatting>
  <conditionalFormatting sqref="B542">
    <cfRule type="duplicateValues" dxfId="12712" priority="12904"/>
  </conditionalFormatting>
  <conditionalFormatting sqref="B543 B540:B541">
    <cfRule type="duplicateValues" dxfId="12711" priority="12912"/>
  </conditionalFormatting>
  <conditionalFormatting sqref="B547:B548 B544:B545">
    <cfRule type="duplicateValues" dxfId="12710" priority="12893"/>
  </conditionalFormatting>
  <conditionalFormatting sqref="B549:B555">
    <cfRule type="duplicateValues" dxfId="12709" priority="12873"/>
  </conditionalFormatting>
  <conditionalFormatting sqref="B556:B561">
    <cfRule type="duplicateValues" dxfId="12708" priority="12846"/>
  </conditionalFormatting>
  <conditionalFormatting sqref="B562">
    <cfRule type="duplicateValues" dxfId="12707" priority="12835"/>
  </conditionalFormatting>
  <conditionalFormatting sqref="B563">
    <cfRule type="duplicateValues" dxfId="12706" priority="12775"/>
  </conditionalFormatting>
  <conditionalFormatting sqref="B564">
    <cfRule type="duplicateValues" dxfId="12705" priority="12767"/>
  </conditionalFormatting>
  <conditionalFormatting sqref="B565:B568">
    <cfRule type="duplicateValues" dxfId="12704" priority="12756"/>
  </conditionalFormatting>
  <conditionalFormatting sqref="B570">
    <cfRule type="duplicateValues" dxfId="12703" priority="12720"/>
  </conditionalFormatting>
  <conditionalFormatting sqref="B572">
    <cfRule type="duplicateValues" dxfId="12702" priority="12699"/>
  </conditionalFormatting>
  <conditionalFormatting sqref="B573:B575 B571 B569">
    <cfRule type="duplicateValues" dxfId="12701" priority="12731"/>
  </conditionalFormatting>
  <conditionalFormatting sqref="B576:B581">
    <cfRule type="duplicateValues" dxfId="12700" priority="12674"/>
  </conditionalFormatting>
  <conditionalFormatting sqref="K2:K564">
    <cfRule type="containsText" dxfId="12699" priority="12761" operator="containsText" text="RECHAZADA">
      <formula>NOT(ISERROR(SEARCH("RECHAZADA",K2)))</formula>
    </cfRule>
    <cfRule type="containsText" dxfId="12698" priority="12762" operator="containsText" text="Atendida">
      <formula>NOT(ISERROR(SEARCH("Atendida",K2)))</formula>
    </cfRule>
  </conditionalFormatting>
  <conditionalFormatting sqref="K322:K564">
    <cfRule type="containsText" dxfId="12697" priority="12760" operator="containsText" text="Reasignación">
      <formula>NOT(ISERROR(SEARCH("Reasignación",K322)))</formula>
    </cfRule>
  </conditionalFormatting>
  <conditionalFormatting sqref="K564:K565">
    <cfRule type="containsText" dxfId="12696" priority="12753" operator="containsText" text="Reasignación">
      <formula>NOT(ISERROR(SEARCH("Reasignación",K564)))</formula>
    </cfRule>
    <cfRule type="containsText" dxfId="12695" priority="12754" operator="containsText" text="RECHAZADA">
      <formula>NOT(ISERROR(SEARCH("RECHAZADA",K564)))</formula>
    </cfRule>
    <cfRule type="containsText" dxfId="12694" priority="12755" operator="containsText" text="Atendida">
      <formula>NOT(ISERROR(SEARCH("Atendida",K564)))</formula>
    </cfRule>
  </conditionalFormatting>
  <conditionalFormatting sqref="K565:K566">
    <cfRule type="containsText" dxfId="12693" priority="12747" operator="containsText" text="Reasignación">
      <formula>NOT(ISERROR(SEARCH("Reasignación",K565)))</formula>
    </cfRule>
    <cfRule type="containsText" dxfId="12692" priority="12748" operator="containsText" text="RECHAZADA">
      <formula>NOT(ISERROR(SEARCH("RECHAZADA",K565)))</formula>
    </cfRule>
    <cfRule type="containsText" dxfId="12691" priority="12749" operator="containsText" text="Atendida">
      <formula>NOT(ISERROR(SEARCH("Atendida",K565)))</formula>
    </cfRule>
  </conditionalFormatting>
  <conditionalFormatting sqref="K566:K567">
    <cfRule type="containsText" dxfId="12690" priority="12741" operator="containsText" text="Reasignación">
      <formula>NOT(ISERROR(SEARCH("Reasignación",K566)))</formula>
    </cfRule>
    <cfRule type="containsText" dxfId="12689" priority="12742" operator="containsText" text="RECHAZADA">
      <formula>NOT(ISERROR(SEARCH("RECHAZADA",K566)))</formula>
    </cfRule>
    <cfRule type="containsText" dxfId="12688" priority="12743" operator="containsText" text="Atendida">
      <formula>NOT(ISERROR(SEARCH("Atendida",K566)))</formula>
    </cfRule>
  </conditionalFormatting>
  <conditionalFormatting sqref="K567:K568">
    <cfRule type="containsText" dxfId="12687" priority="12735" operator="containsText" text="Reasignación">
      <formula>NOT(ISERROR(SEARCH("Reasignación",K567)))</formula>
    </cfRule>
    <cfRule type="containsText" dxfId="12686" priority="12736" operator="containsText" text="RECHAZADA">
      <formula>NOT(ISERROR(SEARCH("RECHAZADA",K567)))</formula>
    </cfRule>
    <cfRule type="containsText" dxfId="12685" priority="12737" operator="containsText" text="Atendida">
      <formula>NOT(ISERROR(SEARCH("Atendida",K567)))</formula>
    </cfRule>
  </conditionalFormatting>
  <conditionalFormatting sqref="K568:K569">
    <cfRule type="containsText" dxfId="12684" priority="12724" operator="containsText" text="Reasignación">
      <formula>NOT(ISERROR(SEARCH("Reasignación",K568)))</formula>
    </cfRule>
    <cfRule type="containsText" dxfId="12683" priority="12725" operator="containsText" text="RECHAZADA">
      <formula>NOT(ISERROR(SEARCH("RECHAZADA",K568)))</formula>
    </cfRule>
    <cfRule type="containsText" dxfId="12682" priority="12726" operator="containsText" text="Atendida">
      <formula>NOT(ISERROR(SEARCH("Atendida",K568)))</formula>
    </cfRule>
  </conditionalFormatting>
  <conditionalFormatting sqref="K569:K570">
    <cfRule type="containsText" dxfId="12681" priority="12713" operator="containsText" text="Reasignación">
      <formula>NOT(ISERROR(SEARCH("Reasignación",K569)))</formula>
    </cfRule>
    <cfRule type="containsText" dxfId="12680" priority="12714" operator="containsText" text="RECHAZADA">
      <formula>NOT(ISERROR(SEARCH("RECHAZADA",K569)))</formula>
    </cfRule>
    <cfRule type="containsText" dxfId="12679" priority="12715" operator="containsText" text="Atendida">
      <formula>NOT(ISERROR(SEARCH("Atendida",K569)))</formula>
    </cfRule>
  </conditionalFormatting>
  <conditionalFormatting sqref="K570:K571">
    <cfRule type="containsText" dxfId="12678" priority="12707" operator="containsText" text="Reasignación">
      <formula>NOT(ISERROR(SEARCH("Reasignación",K570)))</formula>
    </cfRule>
    <cfRule type="containsText" dxfId="12677" priority="12708" operator="containsText" text="RECHAZADA">
      <formula>NOT(ISERROR(SEARCH("RECHAZADA",K570)))</formula>
    </cfRule>
    <cfRule type="containsText" dxfId="12676" priority="12709" operator="containsText" text="Atendida">
      <formula>NOT(ISERROR(SEARCH("Atendida",K570)))</formula>
    </cfRule>
  </conditionalFormatting>
  <conditionalFormatting sqref="K571:K572">
    <cfRule type="containsText" dxfId="12675" priority="12696" operator="containsText" text="Reasignación">
      <formula>NOT(ISERROR(SEARCH("Reasignación",K571)))</formula>
    </cfRule>
    <cfRule type="containsText" dxfId="12674" priority="12697" operator="containsText" text="RECHAZADA">
      <formula>NOT(ISERROR(SEARCH("RECHAZADA",K571)))</formula>
    </cfRule>
    <cfRule type="containsText" dxfId="12673" priority="12698" operator="containsText" text="Atendida">
      <formula>NOT(ISERROR(SEARCH("Atendida",K571)))</formula>
    </cfRule>
  </conditionalFormatting>
  <conditionalFormatting sqref="K572:K573">
    <cfRule type="containsText" dxfId="12672" priority="12690" operator="containsText" text="Reasignación">
      <formula>NOT(ISERROR(SEARCH("Reasignación",K572)))</formula>
    </cfRule>
    <cfRule type="containsText" dxfId="12671" priority="12691" operator="containsText" text="RECHAZADA">
      <formula>NOT(ISERROR(SEARCH("RECHAZADA",K572)))</formula>
    </cfRule>
    <cfRule type="containsText" dxfId="12670" priority="12692" operator="containsText" text="Atendida">
      <formula>NOT(ISERROR(SEARCH("Atendida",K572)))</formula>
    </cfRule>
  </conditionalFormatting>
  <conditionalFormatting sqref="K573:K574">
    <cfRule type="containsText" dxfId="12669" priority="12684" operator="containsText" text="Reasignación">
      <formula>NOT(ISERROR(SEARCH("Reasignación",K573)))</formula>
    </cfRule>
    <cfRule type="containsText" dxfId="12668" priority="12685" operator="containsText" text="RECHAZADA">
      <formula>NOT(ISERROR(SEARCH("RECHAZADA",K573)))</formula>
    </cfRule>
    <cfRule type="containsText" dxfId="12667" priority="12686" operator="containsText" text="Atendida">
      <formula>NOT(ISERROR(SEARCH("Atendida",K573)))</formula>
    </cfRule>
  </conditionalFormatting>
  <conditionalFormatting sqref="K574:K575">
    <cfRule type="containsText" dxfId="12666" priority="12678" operator="containsText" text="Reasignación">
      <formula>NOT(ISERROR(SEARCH("Reasignación",K574)))</formula>
    </cfRule>
    <cfRule type="containsText" dxfId="12665" priority="12679" operator="containsText" text="RECHAZADA">
      <formula>NOT(ISERROR(SEARCH("RECHAZADA",K574)))</formula>
    </cfRule>
    <cfRule type="containsText" dxfId="12664" priority="12680" operator="containsText" text="Atendida">
      <formula>NOT(ISERROR(SEARCH("Atendida",K574)))</formula>
    </cfRule>
  </conditionalFormatting>
  <conditionalFormatting sqref="K575:K576">
    <cfRule type="containsText" dxfId="12663" priority="12671" operator="containsText" text="Reasignación">
      <formula>NOT(ISERROR(SEARCH("Reasignación",K575)))</formula>
    </cfRule>
    <cfRule type="containsText" dxfId="12662" priority="12672" operator="containsText" text="RECHAZADA">
      <formula>NOT(ISERROR(SEARCH("RECHAZADA",K575)))</formula>
    </cfRule>
    <cfRule type="containsText" dxfId="12661" priority="12673" operator="containsText" text="Atendida">
      <formula>NOT(ISERROR(SEARCH("Atendida",K575)))</formula>
    </cfRule>
  </conditionalFormatting>
  <conditionalFormatting sqref="K576:K577">
    <cfRule type="containsText" dxfId="12660" priority="12661" operator="containsText" text="Reasignación">
      <formula>NOT(ISERROR(SEARCH("Reasignación",K576)))</formula>
    </cfRule>
    <cfRule type="containsText" dxfId="12659" priority="12662" operator="containsText" text="RECHAZADA">
      <formula>NOT(ISERROR(SEARCH("RECHAZADA",K576)))</formula>
    </cfRule>
    <cfRule type="containsText" dxfId="12658" priority="12663" operator="containsText" text="Atendida">
      <formula>NOT(ISERROR(SEARCH("Atendida",K576)))</formula>
    </cfRule>
  </conditionalFormatting>
  <conditionalFormatting sqref="K577:K578">
    <cfRule type="containsText" dxfId="12657" priority="12655" operator="containsText" text="Reasignación">
      <formula>NOT(ISERROR(SEARCH("Reasignación",K577)))</formula>
    </cfRule>
    <cfRule type="containsText" dxfId="12656" priority="12656" operator="containsText" text="RECHAZADA">
      <formula>NOT(ISERROR(SEARCH("RECHAZADA",K577)))</formula>
    </cfRule>
    <cfRule type="containsText" dxfId="12655" priority="12657" operator="containsText" text="Atendida">
      <formula>NOT(ISERROR(SEARCH("Atendida",K577)))</formula>
    </cfRule>
  </conditionalFormatting>
  <conditionalFormatting sqref="K578:K579">
    <cfRule type="containsText" dxfId="12654" priority="12649" operator="containsText" text="Reasignación">
      <formula>NOT(ISERROR(SEARCH("Reasignación",K578)))</formula>
    </cfRule>
    <cfRule type="containsText" dxfId="12653" priority="12650" operator="containsText" text="RECHAZADA">
      <formula>NOT(ISERROR(SEARCH("RECHAZADA",K578)))</formula>
    </cfRule>
    <cfRule type="containsText" dxfId="12652" priority="12651" operator="containsText" text="Atendida">
      <formula>NOT(ISERROR(SEARCH("Atendida",K578)))</formula>
    </cfRule>
  </conditionalFormatting>
  <conditionalFormatting sqref="K579:K580">
    <cfRule type="containsText" dxfId="12651" priority="12643" operator="containsText" text="Reasignación">
      <formula>NOT(ISERROR(SEARCH("Reasignación",K579)))</formula>
    </cfRule>
    <cfRule type="containsText" dxfId="12650" priority="12644" operator="containsText" text="RECHAZADA">
      <formula>NOT(ISERROR(SEARCH("RECHAZADA",K579)))</formula>
    </cfRule>
    <cfRule type="containsText" dxfId="12649" priority="12645" operator="containsText" text="Atendida">
      <formula>NOT(ISERROR(SEARCH("Atendida",K579)))</formula>
    </cfRule>
  </conditionalFormatting>
  <conditionalFormatting sqref="K580:K581">
    <cfRule type="containsText" dxfId="12648" priority="12637" operator="containsText" text="Reasignación">
      <formula>NOT(ISERROR(SEARCH("Reasignación",K580)))</formula>
    </cfRule>
    <cfRule type="containsText" dxfId="12647" priority="12638" operator="containsText" text="RECHAZADA">
      <formula>NOT(ISERROR(SEARCH("RECHAZADA",K580)))</formula>
    </cfRule>
    <cfRule type="containsText" dxfId="12646" priority="12639" operator="containsText" text="Atendida">
      <formula>NOT(ISERROR(SEARCH("Atendida",K580)))</formula>
    </cfRule>
  </conditionalFormatting>
  <conditionalFormatting sqref="K581">
    <cfRule type="containsText" dxfId="12645" priority="12634" operator="containsText" text="Reasignación">
      <formula>NOT(ISERROR(SEARCH("Reasignación",K581)))</formula>
    </cfRule>
    <cfRule type="containsText" dxfId="12644" priority="12635" operator="containsText" text="RECHAZADA">
      <formula>NOT(ISERROR(SEARCH("RECHAZADA",K581)))</formula>
    </cfRule>
    <cfRule type="containsText" dxfId="12643" priority="12636" operator="containsText" text="Atendida">
      <formula>NOT(ISERROR(SEARCH("Atendida",K581)))</formula>
    </cfRule>
  </conditionalFormatting>
  <conditionalFormatting sqref="L263:N263">
    <cfRule type="containsText" dxfId="12642" priority="13987" operator="containsText" text="OBSERVADO">
      <formula>NOT(ISERROR(SEARCH("OBSERVADO",L263)))</formula>
    </cfRule>
    <cfRule type="containsText" dxfId="12641" priority="13988" operator="containsText" text="CONFORME">
      <formula>NOT(ISERROR(SEARCH("CONFORME",L263)))</formula>
    </cfRule>
    <cfRule type="containsText" dxfId="12640" priority="13989" operator="containsText" text="RECHAZADA">
      <formula>NOT(ISERROR(SEARCH("RECHAZADA",L263)))</formula>
    </cfRule>
    <cfRule type="containsText" dxfId="12639" priority="13990" operator="containsText" text="Atendida">
      <formula>NOT(ISERROR(SEARCH("Atendida",L263)))</formula>
    </cfRule>
  </conditionalFormatting>
  <conditionalFormatting sqref="M2:M261">
    <cfRule type="containsText" dxfId="12638" priority="14002" operator="containsText" text="OBSERVADO">
      <formula>NOT(ISERROR(SEARCH("OBSERVADO",M2)))</formula>
    </cfRule>
    <cfRule type="containsText" dxfId="12637" priority="14003" operator="containsText" text="CONFORME">
      <formula>NOT(ISERROR(SEARCH("CONFORME",M2)))</formula>
    </cfRule>
    <cfRule type="containsText" dxfId="12636" priority="14004" operator="containsText" text="RECHAZADA">
      <formula>NOT(ISERROR(SEARCH("RECHAZADA",M2)))</formula>
    </cfRule>
    <cfRule type="containsText" dxfId="12635" priority="14005" operator="containsText" text="Atendida">
      <formula>NOT(ISERROR(SEARCH("Atendida",M2)))</formula>
    </cfRule>
  </conditionalFormatting>
  <conditionalFormatting sqref="M262">
    <cfRule type="containsText" dxfId="12634" priority="13999" operator="containsText" text="RECHAZADA">
      <formula>NOT(ISERROR(SEARCH("RECHAZADA",M262)))</formula>
    </cfRule>
    <cfRule type="containsText" dxfId="12633" priority="14000" operator="containsText" text="Atendida">
      <formula>NOT(ISERROR(SEARCH("Atendida",M262)))</formula>
    </cfRule>
  </conditionalFormatting>
  <conditionalFormatting sqref="M264:M581">
    <cfRule type="containsText" dxfId="12632" priority="12664" operator="containsText" text="OBSERVADO">
      <formula>NOT(ISERROR(SEARCH("OBSERVADO",M264)))</formula>
    </cfRule>
    <cfRule type="containsText" dxfId="12631" priority="12665" operator="containsText" text="CONFORME">
      <formula>NOT(ISERROR(SEARCH("CONFORME",M264)))</formula>
    </cfRule>
    <cfRule type="containsText" dxfId="12630" priority="12666" operator="containsText" text="RECHAZADA">
      <formula>NOT(ISERROR(SEARCH("RECHAZADA",M264)))</formula>
    </cfRule>
    <cfRule type="containsText" dxfId="12629" priority="12667" operator="containsText" text="Atendida">
      <formula>NOT(ISERROR(SEARCH("Atendida",M264)))</formula>
    </cfRule>
  </conditionalFormatting>
  <conditionalFormatting sqref="O262:O263">
    <cfRule type="containsText" dxfId="12628" priority="13995" operator="containsText" text="OBSERVADO">
      <formula>NOT(ISERROR(SEARCH("OBSERVADO",O262)))</formula>
    </cfRule>
    <cfRule type="containsText" dxfId="12627" priority="13996" operator="containsText" text="CONFORME">
      <formula>NOT(ISERROR(SEARCH("CONFORME",O262)))</formula>
    </cfRule>
    <cfRule type="containsText" dxfId="12626" priority="13997" operator="containsText" text="RECHAZADA">
      <formula>NOT(ISERROR(SEARCH("RECHAZADA",O262)))</formula>
    </cfRule>
    <cfRule type="containsText" dxfId="12625" priority="13998" operator="containsText" text="Atendida">
      <formula>NOT(ISERROR(SEARCH("Atendida",O262)))</formula>
    </cfRule>
  </conditionalFormatting>
  <conditionalFormatting sqref="B588:B590 B585:B586 B582:B583">
    <cfRule type="duplicateValues" dxfId="12624" priority="12633"/>
  </conditionalFormatting>
  <conditionalFormatting sqref="K582">
    <cfRule type="containsText" dxfId="12623" priority="12630" operator="containsText" text="Reasignación">
      <formula>NOT(ISERROR(SEARCH("Reasignación",K582)))</formula>
    </cfRule>
    <cfRule type="containsText" dxfId="12622" priority="12631" operator="containsText" text="RECHAZADA">
      <formula>NOT(ISERROR(SEARCH("RECHAZADA",K582)))</formula>
    </cfRule>
    <cfRule type="containsText" dxfId="12621" priority="12632" operator="containsText" text="Atendida">
      <formula>NOT(ISERROR(SEARCH("Atendida",K582)))</formula>
    </cfRule>
  </conditionalFormatting>
  <conditionalFormatting sqref="K582">
    <cfRule type="containsText" dxfId="12620" priority="12627" operator="containsText" text="Reasignación">
      <formula>NOT(ISERROR(SEARCH("Reasignación",K582)))</formula>
    </cfRule>
    <cfRule type="containsText" dxfId="12619" priority="12628" operator="containsText" text="RECHAZADA">
      <formula>NOT(ISERROR(SEARCH("RECHAZADA",K582)))</formula>
    </cfRule>
    <cfRule type="containsText" dxfId="12618" priority="12629" operator="containsText" text="Atendida">
      <formula>NOT(ISERROR(SEARCH("Atendida",K582)))</formula>
    </cfRule>
  </conditionalFormatting>
  <conditionalFormatting sqref="M582:M590">
    <cfRule type="containsText" dxfId="12617" priority="12623" operator="containsText" text="OBSERVADO">
      <formula>NOT(ISERROR(SEARCH("OBSERVADO",M582)))</formula>
    </cfRule>
    <cfRule type="containsText" dxfId="12616" priority="12624" operator="containsText" text="CONFORME">
      <formula>NOT(ISERROR(SEARCH("CONFORME",M582)))</formula>
    </cfRule>
    <cfRule type="containsText" dxfId="12615" priority="12625" operator="containsText" text="RECHAZADA">
      <formula>NOT(ISERROR(SEARCH("RECHAZADA",M582)))</formula>
    </cfRule>
    <cfRule type="containsText" dxfId="12614" priority="12626" operator="containsText" text="Atendida">
      <formula>NOT(ISERROR(SEARCH("Atendida",M582)))</formula>
    </cfRule>
  </conditionalFormatting>
  <conditionalFormatting sqref="K583">
    <cfRule type="containsText" dxfId="12613" priority="12620" operator="containsText" text="Reasignación">
      <formula>NOT(ISERROR(SEARCH("Reasignación",K583)))</formula>
    </cfRule>
    <cfRule type="containsText" dxfId="12612" priority="12621" operator="containsText" text="RECHAZADA">
      <formula>NOT(ISERROR(SEARCH("RECHAZADA",K583)))</formula>
    </cfRule>
    <cfRule type="containsText" dxfId="12611" priority="12622" operator="containsText" text="Atendida">
      <formula>NOT(ISERROR(SEARCH("Atendida",K583)))</formula>
    </cfRule>
  </conditionalFormatting>
  <conditionalFormatting sqref="K583">
    <cfRule type="containsText" dxfId="12610" priority="12617" operator="containsText" text="Reasignación">
      <formula>NOT(ISERROR(SEARCH("Reasignación",K583)))</formula>
    </cfRule>
    <cfRule type="containsText" dxfId="12609" priority="12618" operator="containsText" text="RECHAZADA">
      <formula>NOT(ISERROR(SEARCH("RECHAZADA",K583)))</formula>
    </cfRule>
    <cfRule type="containsText" dxfId="12608" priority="12619" operator="containsText" text="Atendida">
      <formula>NOT(ISERROR(SEARCH("Atendida",K583)))</formula>
    </cfRule>
  </conditionalFormatting>
  <conditionalFormatting sqref="B584">
    <cfRule type="duplicateValues" dxfId="12607" priority="12616"/>
  </conditionalFormatting>
  <conditionalFormatting sqref="K584">
    <cfRule type="containsText" dxfId="12606" priority="12613" operator="containsText" text="Reasignación">
      <formula>NOT(ISERROR(SEARCH("Reasignación",K584)))</formula>
    </cfRule>
    <cfRule type="containsText" dxfId="12605" priority="12614" operator="containsText" text="RECHAZADA">
      <formula>NOT(ISERROR(SEARCH("RECHAZADA",K584)))</formula>
    </cfRule>
    <cfRule type="containsText" dxfId="12604" priority="12615" operator="containsText" text="Atendida">
      <formula>NOT(ISERROR(SEARCH("Atendida",K584)))</formula>
    </cfRule>
  </conditionalFormatting>
  <conditionalFormatting sqref="K584">
    <cfRule type="containsText" dxfId="12603" priority="12610" operator="containsText" text="Reasignación">
      <formula>NOT(ISERROR(SEARCH("Reasignación",K584)))</formula>
    </cfRule>
    <cfRule type="containsText" dxfId="12602" priority="12611" operator="containsText" text="RECHAZADA">
      <formula>NOT(ISERROR(SEARCH("RECHAZADA",K584)))</formula>
    </cfRule>
    <cfRule type="containsText" dxfId="12601" priority="12612" operator="containsText" text="Atendida">
      <formula>NOT(ISERROR(SEARCH("Atendida",K584)))</formula>
    </cfRule>
  </conditionalFormatting>
  <conditionalFormatting sqref="K585">
    <cfRule type="containsText" dxfId="12600" priority="12607" operator="containsText" text="Reasignación">
      <formula>NOT(ISERROR(SEARCH("Reasignación",K585)))</formula>
    </cfRule>
    <cfRule type="containsText" dxfId="12599" priority="12608" operator="containsText" text="RECHAZADA">
      <formula>NOT(ISERROR(SEARCH("RECHAZADA",K585)))</formula>
    </cfRule>
    <cfRule type="containsText" dxfId="12598" priority="12609" operator="containsText" text="Atendida">
      <formula>NOT(ISERROR(SEARCH("Atendida",K585)))</formula>
    </cfRule>
  </conditionalFormatting>
  <conditionalFormatting sqref="K585">
    <cfRule type="containsText" dxfId="12597" priority="12604" operator="containsText" text="Reasignación">
      <formula>NOT(ISERROR(SEARCH("Reasignación",K585)))</formula>
    </cfRule>
    <cfRule type="containsText" dxfId="12596" priority="12605" operator="containsText" text="RECHAZADA">
      <formula>NOT(ISERROR(SEARCH("RECHAZADA",K585)))</formula>
    </cfRule>
    <cfRule type="containsText" dxfId="12595" priority="12606" operator="containsText" text="Atendida">
      <formula>NOT(ISERROR(SEARCH("Atendida",K585)))</formula>
    </cfRule>
  </conditionalFormatting>
  <conditionalFormatting sqref="K586">
    <cfRule type="containsText" dxfId="12594" priority="12601" operator="containsText" text="Reasignación">
      <formula>NOT(ISERROR(SEARCH("Reasignación",K586)))</formula>
    </cfRule>
    <cfRule type="containsText" dxfId="12593" priority="12602" operator="containsText" text="RECHAZADA">
      <formula>NOT(ISERROR(SEARCH("RECHAZADA",K586)))</formula>
    </cfRule>
    <cfRule type="containsText" dxfId="12592" priority="12603" operator="containsText" text="Atendida">
      <formula>NOT(ISERROR(SEARCH("Atendida",K586)))</formula>
    </cfRule>
  </conditionalFormatting>
  <conditionalFormatting sqref="K586:K587">
    <cfRule type="containsText" dxfId="12591" priority="12598" operator="containsText" text="Reasignación">
      <formula>NOT(ISERROR(SEARCH("Reasignación",K586)))</formula>
    </cfRule>
    <cfRule type="containsText" dxfId="12590" priority="12599" operator="containsText" text="RECHAZADA">
      <formula>NOT(ISERROR(SEARCH("RECHAZADA",K586)))</formula>
    </cfRule>
    <cfRule type="containsText" dxfId="12589" priority="12600" operator="containsText" text="Atendida">
      <formula>NOT(ISERROR(SEARCH("Atendida",K586)))</formula>
    </cfRule>
  </conditionalFormatting>
  <conditionalFormatting sqref="B587">
    <cfRule type="duplicateValues" dxfId="12588" priority="12597"/>
  </conditionalFormatting>
  <conditionalFormatting sqref="K587">
    <cfRule type="containsText" dxfId="12587" priority="12594" operator="containsText" text="Reasignación">
      <formula>NOT(ISERROR(SEARCH("Reasignación",K587)))</formula>
    </cfRule>
    <cfRule type="containsText" dxfId="12586" priority="12595" operator="containsText" text="RECHAZADA">
      <formula>NOT(ISERROR(SEARCH("RECHAZADA",K587)))</formula>
    </cfRule>
    <cfRule type="containsText" dxfId="12585" priority="12596" operator="containsText" text="Atendida">
      <formula>NOT(ISERROR(SEARCH("Atendida",K587)))</formula>
    </cfRule>
  </conditionalFormatting>
  <conditionalFormatting sqref="K588">
    <cfRule type="containsText" dxfId="12584" priority="12591" operator="containsText" text="Reasignación">
      <formula>NOT(ISERROR(SEARCH("Reasignación",K588)))</formula>
    </cfRule>
    <cfRule type="containsText" dxfId="12583" priority="12592" operator="containsText" text="RECHAZADA">
      <formula>NOT(ISERROR(SEARCH("RECHAZADA",K588)))</formula>
    </cfRule>
    <cfRule type="containsText" dxfId="12582" priority="12593" operator="containsText" text="Atendida">
      <formula>NOT(ISERROR(SEARCH("Atendida",K588)))</formula>
    </cfRule>
  </conditionalFormatting>
  <conditionalFormatting sqref="K588">
    <cfRule type="containsText" dxfId="12581" priority="12588" operator="containsText" text="Reasignación">
      <formula>NOT(ISERROR(SEARCH("Reasignación",K588)))</formula>
    </cfRule>
    <cfRule type="containsText" dxfId="12580" priority="12589" operator="containsText" text="RECHAZADA">
      <formula>NOT(ISERROR(SEARCH("RECHAZADA",K588)))</formula>
    </cfRule>
    <cfRule type="containsText" dxfId="12579" priority="12590" operator="containsText" text="Atendida">
      <formula>NOT(ISERROR(SEARCH("Atendida",K588)))</formula>
    </cfRule>
  </conditionalFormatting>
  <conditionalFormatting sqref="K589">
    <cfRule type="containsText" dxfId="12578" priority="12585" operator="containsText" text="Reasignación">
      <formula>NOT(ISERROR(SEARCH("Reasignación",K589)))</formula>
    </cfRule>
    <cfRule type="containsText" dxfId="12577" priority="12586" operator="containsText" text="RECHAZADA">
      <formula>NOT(ISERROR(SEARCH("RECHAZADA",K589)))</formula>
    </cfRule>
    <cfRule type="containsText" dxfId="12576" priority="12587" operator="containsText" text="Atendida">
      <formula>NOT(ISERROR(SEARCH("Atendida",K589)))</formula>
    </cfRule>
  </conditionalFormatting>
  <conditionalFormatting sqref="K589">
    <cfRule type="containsText" dxfId="12575" priority="12582" operator="containsText" text="Reasignación">
      <formula>NOT(ISERROR(SEARCH("Reasignación",K589)))</formula>
    </cfRule>
    <cfRule type="containsText" dxfId="12574" priority="12583" operator="containsText" text="RECHAZADA">
      <formula>NOT(ISERROR(SEARCH("RECHAZADA",K589)))</formula>
    </cfRule>
    <cfRule type="containsText" dxfId="12573" priority="12584" operator="containsText" text="Atendida">
      <formula>NOT(ISERROR(SEARCH("Atendida",K589)))</formula>
    </cfRule>
  </conditionalFormatting>
  <conditionalFormatting sqref="K590">
    <cfRule type="containsText" dxfId="12572" priority="12579" operator="containsText" text="Reasignación">
      <formula>NOT(ISERROR(SEARCH("Reasignación",K590)))</formula>
    </cfRule>
    <cfRule type="containsText" dxfId="12571" priority="12580" operator="containsText" text="RECHAZADA">
      <formula>NOT(ISERROR(SEARCH("RECHAZADA",K590)))</formula>
    </cfRule>
    <cfRule type="containsText" dxfId="12570" priority="12581" operator="containsText" text="Atendida">
      <formula>NOT(ISERROR(SEARCH("Atendida",K590)))</formula>
    </cfRule>
  </conditionalFormatting>
  <conditionalFormatting sqref="K590">
    <cfRule type="containsText" dxfId="12569" priority="12576" operator="containsText" text="Reasignación">
      <formula>NOT(ISERROR(SEARCH("Reasignación",K590)))</formula>
    </cfRule>
    <cfRule type="containsText" dxfId="12568" priority="12577" operator="containsText" text="RECHAZADA">
      <formula>NOT(ISERROR(SEARCH("RECHAZADA",K590)))</formula>
    </cfRule>
    <cfRule type="containsText" dxfId="12567" priority="12578" operator="containsText" text="Atendida">
      <formula>NOT(ISERROR(SEARCH("Atendida",K590)))</formula>
    </cfRule>
  </conditionalFormatting>
  <conditionalFormatting sqref="B592:B599">
    <cfRule type="duplicateValues" dxfId="12566" priority="12575"/>
  </conditionalFormatting>
  <conditionalFormatting sqref="M592:M599">
    <cfRule type="containsText" dxfId="12565" priority="12571" operator="containsText" text="OBSERVADO">
      <formula>NOT(ISERROR(SEARCH("OBSERVADO",M592)))</formula>
    </cfRule>
    <cfRule type="containsText" dxfId="12564" priority="12572" operator="containsText" text="CONFORME">
      <formula>NOT(ISERROR(SEARCH("CONFORME",M592)))</formula>
    </cfRule>
    <cfRule type="containsText" dxfId="12563" priority="12573" operator="containsText" text="RECHAZADA">
      <formula>NOT(ISERROR(SEARCH("RECHAZADA",M592)))</formula>
    </cfRule>
    <cfRule type="containsText" dxfId="12562" priority="12574" operator="containsText" text="Atendida">
      <formula>NOT(ISERROR(SEARCH("Atendida",M592)))</formula>
    </cfRule>
  </conditionalFormatting>
  <conditionalFormatting sqref="B591">
    <cfRule type="duplicateValues" dxfId="12561" priority="12570"/>
  </conditionalFormatting>
  <conditionalFormatting sqref="M591">
    <cfRule type="containsText" dxfId="12560" priority="12566" operator="containsText" text="OBSERVADO">
      <formula>NOT(ISERROR(SEARCH("OBSERVADO",M591)))</formula>
    </cfRule>
    <cfRule type="containsText" dxfId="12559" priority="12567" operator="containsText" text="CONFORME">
      <formula>NOT(ISERROR(SEARCH("CONFORME",M591)))</formula>
    </cfRule>
    <cfRule type="containsText" dxfId="12558" priority="12568" operator="containsText" text="RECHAZADA">
      <formula>NOT(ISERROR(SEARCH("RECHAZADA",M591)))</formula>
    </cfRule>
    <cfRule type="containsText" dxfId="12557" priority="12569" operator="containsText" text="Atendida">
      <formula>NOT(ISERROR(SEARCH("Atendida",M591)))</formula>
    </cfRule>
  </conditionalFormatting>
  <conditionalFormatting sqref="K591">
    <cfRule type="containsText" dxfId="12556" priority="12563" operator="containsText" text="Reasignación">
      <formula>NOT(ISERROR(SEARCH("Reasignación",K591)))</formula>
    </cfRule>
    <cfRule type="containsText" dxfId="12555" priority="12564" operator="containsText" text="RECHAZADA">
      <formula>NOT(ISERROR(SEARCH("RECHAZADA",K591)))</formula>
    </cfRule>
    <cfRule type="containsText" dxfId="12554" priority="12565" operator="containsText" text="Atendida">
      <formula>NOT(ISERROR(SEARCH("Atendida",K591)))</formula>
    </cfRule>
  </conditionalFormatting>
  <conditionalFormatting sqref="K591">
    <cfRule type="containsText" dxfId="12553" priority="12560" operator="containsText" text="Reasignación">
      <formula>NOT(ISERROR(SEARCH("Reasignación",K591)))</formula>
    </cfRule>
    <cfRule type="containsText" dxfId="12552" priority="12561" operator="containsText" text="RECHAZADA">
      <formula>NOT(ISERROR(SEARCH("RECHAZADA",K591)))</formula>
    </cfRule>
    <cfRule type="containsText" dxfId="12551" priority="12562" operator="containsText" text="Atendida">
      <formula>NOT(ISERROR(SEARCH("Atendida",K591)))</formula>
    </cfRule>
  </conditionalFormatting>
  <conditionalFormatting sqref="K592">
    <cfRule type="containsText" dxfId="12550" priority="12557" operator="containsText" text="Reasignación">
      <formula>NOT(ISERROR(SEARCH("Reasignación",K592)))</formula>
    </cfRule>
    <cfRule type="containsText" dxfId="12549" priority="12558" operator="containsText" text="RECHAZADA">
      <formula>NOT(ISERROR(SEARCH("RECHAZADA",K592)))</formula>
    </cfRule>
    <cfRule type="containsText" dxfId="12548" priority="12559" operator="containsText" text="Atendida">
      <formula>NOT(ISERROR(SEARCH("Atendida",K592)))</formula>
    </cfRule>
  </conditionalFormatting>
  <conditionalFormatting sqref="K592">
    <cfRule type="containsText" dxfId="12547" priority="12554" operator="containsText" text="Reasignación">
      <formula>NOT(ISERROR(SEARCH("Reasignación",K592)))</formula>
    </cfRule>
    <cfRule type="containsText" dxfId="12546" priority="12555" operator="containsText" text="RECHAZADA">
      <formula>NOT(ISERROR(SEARCH("RECHAZADA",K592)))</formula>
    </cfRule>
    <cfRule type="containsText" dxfId="12545" priority="12556" operator="containsText" text="Atendida">
      <formula>NOT(ISERROR(SEARCH("Atendida",K592)))</formula>
    </cfRule>
  </conditionalFormatting>
  <conditionalFormatting sqref="K593">
    <cfRule type="containsText" dxfId="12544" priority="12551" operator="containsText" text="Reasignación">
      <formula>NOT(ISERROR(SEARCH("Reasignación",K593)))</formula>
    </cfRule>
    <cfRule type="containsText" dxfId="12543" priority="12552" operator="containsText" text="RECHAZADA">
      <formula>NOT(ISERROR(SEARCH("RECHAZADA",K593)))</formula>
    </cfRule>
    <cfRule type="containsText" dxfId="12542" priority="12553" operator="containsText" text="Atendida">
      <formula>NOT(ISERROR(SEARCH("Atendida",K593)))</formula>
    </cfRule>
  </conditionalFormatting>
  <conditionalFormatting sqref="K593">
    <cfRule type="containsText" dxfId="12541" priority="12548" operator="containsText" text="Reasignación">
      <formula>NOT(ISERROR(SEARCH("Reasignación",K593)))</formula>
    </cfRule>
    <cfRule type="containsText" dxfId="12540" priority="12549" operator="containsText" text="RECHAZADA">
      <formula>NOT(ISERROR(SEARCH("RECHAZADA",K593)))</formula>
    </cfRule>
    <cfRule type="containsText" dxfId="12539" priority="12550" operator="containsText" text="Atendida">
      <formula>NOT(ISERROR(SEARCH("Atendida",K593)))</formula>
    </cfRule>
  </conditionalFormatting>
  <conditionalFormatting sqref="K594">
    <cfRule type="containsText" dxfId="12538" priority="12545" operator="containsText" text="Reasignación">
      <formula>NOT(ISERROR(SEARCH("Reasignación",K594)))</formula>
    </cfRule>
    <cfRule type="containsText" dxfId="12537" priority="12546" operator="containsText" text="RECHAZADA">
      <formula>NOT(ISERROR(SEARCH("RECHAZADA",K594)))</formula>
    </cfRule>
    <cfRule type="containsText" dxfId="12536" priority="12547" operator="containsText" text="Atendida">
      <formula>NOT(ISERROR(SEARCH("Atendida",K594)))</formula>
    </cfRule>
  </conditionalFormatting>
  <conditionalFormatting sqref="K594">
    <cfRule type="containsText" dxfId="12535" priority="12542" operator="containsText" text="Reasignación">
      <formula>NOT(ISERROR(SEARCH("Reasignación",K594)))</formula>
    </cfRule>
    <cfRule type="containsText" dxfId="12534" priority="12543" operator="containsText" text="RECHAZADA">
      <formula>NOT(ISERROR(SEARCH("RECHAZADA",K594)))</formula>
    </cfRule>
    <cfRule type="containsText" dxfId="12533" priority="12544" operator="containsText" text="Atendida">
      <formula>NOT(ISERROR(SEARCH("Atendida",K594)))</formula>
    </cfRule>
  </conditionalFormatting>
  <conditionalFormatting sqref="K595">
    <cfRule type="containsText" dxfId="12532" priority="12539" operator="containsText" text="Reasignación">
      <formula>NOT(ISERROR(SEARCH("Reasignación",K595)))</formula>
    </cfRule>
    <cfRule type="containsText" dxfId="12531" priority="12540" operator="containsText" text="RECHAZADA">
      <formula>NOT(ISERROR(SEARCH("RECHAZADA",K595)))</formula>
    </cfRule>
    <cfRule type="containsText" dxfId="12530" priority="12541" operator="containsText" text="Atendida">
      <formula>NOT(ISERROR(SEARCH("Atendida",K595)))</formula>
    </cfRule>
  </conditionalFormatting>
  <conditionalFormatting sqref="K595">
    <cfRule type="containsText" dxfId="12529" priority="12536" operator="containsText" text="Reasignación">
      <formula>NOT(ISERROR(SEARCH("Reasignación",K595)))</formula>
    </cfRule>
    <cfRule type="containsText" dxfId="12528" priority="12537" operator="containsText" text="RECHAZADA">
      <formula>NOT(ISERROR(SEARCH("RECHAZADA",K595)))</formula>
    </cfRule>
    <cfRule type="containsText" dxfId="12527" priority="12538" operator="containsText" text="Atendida">
      <formula>NOT(ISERROR(SEARCH("Atendida",K595)))</formula>
    </cfRule>
  </conditionalFormatting>
  <conditionalFormatting sqref="K596">
    <cfRule type="containsText" dxfId="12526" priority="12533" operator="containsText" text="Reasignación">
      <formula>NOT(ISERROR(SEARCH("Reasignación",K596)))</formula>
    </cfRule>
    <cfRule type="containsText" dxfId="12525" priority="12534" operator="containsText" text="RECHAZADA">
      <formula>NOT(ISERROR(SEARCH("RECHAZADA",K596)))</formula>
    </cfRule>
    <cfRule type="containsText" dxfId="12524" priority="12535" operator="containsText" text="Atendida">
      <formula>NOT(ISERROR(SEARCH("Atendida",K596)))</formula>
    </cfRule>
  </conditionalFormatting>
  <conditionalFormatting sqref="K596">
    <cfRule type="containsText" dxfId="12523" priority="12530" operator="containsText" text="Reasignación">
      <formula>NOT(ISERROR(SEARCH("Reasignación",K596)))</formula>
    </cfRule>
    <cfRule type="containsText" dxfId="12522" priority="12531" operator="containsText" text="RECHAZADA">
      <formula>NOT(ISERROR(SEARCH("RECHAZADA",K596)))</formula>
    </cfRule>
    <cfRule type="containsText" dxfId="12521" priority="12532" operator="containsText" text="Atendida">
      <formula>NOT(ISERROR(SEARCH("Atendida",K596)))</formula>
    </cfRule>
  </conditionalFormatting>
  <conditionalFormatting sqref="K597">
    <cfRule type="containsText" dxfId="12520" priority="12527" operator="containsText" text="Reasignación">
      <formula>NOT(ISERROR(SEARCH("Reasignación",K597)))</formula>
    </cfRule>
    <cfRule type="containsText" dxfId="12519" priority="12528" operator="containsText" text="RECHAZADA">
      <formula>NOT(ISERROR(SEARCH("RECHAZADA",K597)))</formula>
    </cfRule>
    <cfRule type="containsText" dxfId="12518" priority="12529" operator="containsText" text="Atendida">
      <formula>NOT(ISERROR(SEARCH("Atendida",K597)))</formula>
    </cfRule>
  </conditionalFormatting>
  <conditionalFormatting sqref="K597">
    <cfRule type="containsText" dxfId="12517" priority="12524" operator="containsText" text="Reasignación">
      <formula>NOT(ISERROR(SEARCH("Reasignación",K597)))</formula>
    </cfRule>
    <cfRule type="containsText" dxfId="12516" priority="12525" operator="containsText" text="RECHAZADA">
      <formula>NOT(ISERROR(SEARCH("RECHAZADA",K597)))</formula>
    </cfRule>
    <cfRule type="containsText" dxfId="12515" priority="12526" operator="containsText" text="Atendida">
      <formula>NOT(ISERROR(SEARCH("Atendida",K597)))</formula>
    </cfRule>
  </conditionalFormatting>
  <conditionalFormatting sqref="K598">
    <cfRule type="containsText" dxfId="12514" priority="12521" operator="containsText" text="Reasignación">
      <formula>NOT(ISERROR(SEARCH("Reasignación",K598)))</formula>
    </cfRule>
    <cfRule type="containsText" dxfId="12513" priority="12522" operator="containsText" text="RECHAZADA">
      <formula>NOT(ISERROR(SEARCH("RECHAZADA",K598)))</formula>
    </cfRule>
    <cfRule type="containsText" dxfId="12512" priority="12523" operator="containsText" text="Atendida">
      <formula>NOT(ISERROR(SEARCH("Atendida",K598)))</formula>
    </cfRule>
  </conditionalFormatting>
  <conditionalFormatting sqref="K598">
    <cfRule type="containsText" dxfId="12511" priority="12518" operator="containsText" text="Reasignación">
      <formula>NOT(ISERROR(SEARCH("Reasignación",K598)))</formula>
    </cfRule>
    <cfRule type="containsText" dxfId="12510" priority="12519" operator="containsText" text="RECHAZADA">
      <formula>NOT(ISERROR(SEARCH("RECHAZADA",K598)))</formula>
    </cfRule>
    <cfRule type="containsText" dxfId="12509" priority="12520" operator="containsText" text="Atendida">
      <formula>NOT(ISERROR(SEARCH("Atendida",K598)))</formula>
    </cfRule>
  </conditionalFormatting>
  <conditionalFormatting sqref="K599">
    <cfRule type="containsText" dxfId="12508" priority="12515" operator="containsText" text="Reasignación">
      <formula>NOT(ISERROR(SEARCH("Reasignación",K599)))</formula>
    </cfRule>
    <cfRule type="containsText" dxfId="12507" priority="12516" operator="containsText" text="RECHAZADA">
      <formula>NOT(ISERROR(SEARCH("RECHAZADA",K599)))</formula>
    </cfRule>
    <cfRule type="containsText" dxfId="12506" priority="12517" operator="containsText" text="Atendida">
      <formula>NOT(ISERROR(SEARCH("Atendida",K599)))</formula>
    </cfRule>
  </conditionalFormatting>
  <conditionalFormatting sqref="K599">
    <cfRule type="containsText" dxfId="12505" priority="12512" operator="containsText" text="Reasignación">
      <formula>NOT(ISERROR(SEARCH("Reasignación",K599)))</formula>
    </cfRule>
    <cfRule type="containsText" dxfId="12504" priority="12513" operator="containsText" text="RECHAZADA">
      <formula>NOT(ISERROR(SEARCH("RECHAZADA",K599)))</formula>
    </cfRule>
    <cfRule type="containsText" dxfId="12503" priority="12514" operator="containsText" text="Atendida">
      <formula>NOT(ISERROR(SEARCH("Atendida",K599)))</formula>
    </cfRule>
  </conditionalFormatting>
  <conditionalFormatting sqref="K599">
    <cfRule type="containsText" dxfId="12502" priority="12509" operator="containsText" text="Reasignación">
      <formula>NOT(ISERROR(SEARCH("Reasignación",K599)))</formula>
    </cfRule>
    <cfRule type="containsText" dxfId="12501" priority="12510" operator="containsText" text="RECHAZADA">
      <formula>NOT(ISERROR(SEARCH("RECHAZADA",K599)))</formula>
    </cfRule>
    <cfRule type="containsText" dxfId="12500" priority="12511" operator="containsText" text="Atendida">
      <formula>NOT(ISERROR(SEARCH("Atendida",K599)))</formula>
    </cfRule>
  </conditionalFormatting>
  <conditionalFormatting sqref="B600">
    <cfRule type="duplicateValues" dxfId="12499" priority="12508"/>
  </conditionalFormatting>
  <conditionalFormatting sqref="M600">
    <cfRule type="containsText" dxfId="12498" priority="12504" operator="containsText" text="OBSERVADO">
      <formula>NOT(ISERROR(SEARCH("OBSERVADO",M600)))</formula>
    </cfRule>
    <cfRule type="containsText" dxfId="12497" priority="12505" operator="containsText" text="CONFORME">
      <formula>NOT(ISERROR(SEARCH("CONFORME",M600)))</formula>
    </cfRule>
    <cfRule type="containsText" dxfId="12496" priority="12506" operator="containsText" text="RECHAZADA">
      <formula>NOT(ISERROR(SEARCH("RECHAZADA",M600)))</formula>
    </cfRule>
    <cfRule type="containsText" dxfId="12495" priority="12507" operator="containsText" text="Atendida">
      <formula>NOT(ISERROR(SEARCH("Atendida",M600)))</formula>
    </cfRule>
  </conditionalFormatting>
  <conditionalFormatting sqref="K600">
    <cfRule type="containsText" dxfId="12494" priority="12501" operator="containsText" text="Reasignación">
      <formula>NOT(ISERROR(SEARCH("Reasignación",K600)))</formula>
    </cfRule>
    <cfRule type="containsText" dxfId="12493" priority="12502" operator="containsText" text="RECHAZADA">
      <formula>NOT(ISERROR(SEARCH("RECHAZADA",K600)))</formula>
    </cfRule>
    <cfRule type="containsText" dxfId="12492" priority="12503" operator="containsText" text="Atendida">
      <formula>NOT(ISERROR(SEARCH("Atendida",K600)))</formula>
    </cfRule>
  </conditionalFormatting>
  <conditionalFormatting sqref="K600">
    <cfRule type="containsText" dxfId="12491" priority="12498" operator="containsText" text="Reasignación">
      <formula>NOT(ISERROR(SEARCH("Reasignación",K600)))</formula>
    </cfRule>
    <cfRule type="containsText" dxfId="12490" priority="12499" operator="containsText" text="RECHAZADA">
      <formula>NOT(ISERROR(SEARCH("RECHAZADA",K600)))</formula>
    </cfRule>
    <cfRule type="containsText" dxfId="12489" priority="12500" operator="containsText" text="Atendida">
      <formula>NOT(ISERROR(SEARCH("Atendida",K600)))</formula>
    </cfRule>
  </conditionalFormatting>
  <conditionalFormatting sqref="B601">
    <cfRule type="duplicateValues" dxfId="12488" priority="12497"/>
  </conditionalFormatting>
  <conditionalFormatting sqref="M601">
    <cfRule type="containsText" dxfId="12487" priority="12493" operator="containsText" text="OBSERVADO">
      <formula>NOT(ISERROR(SEARCH("OBSERVADO",M601)))</formula>
    </cfRule>
    <cfRule type="containsText" dxfId="12486" priority="12494" operator="containsText" text="CONFORME">
      <formula>NOT(ISERROR(SEARCH("CONFORME",M601)))</formula>
    </cfRule>
    <cfRule type="containsText" dxfId="12485" priority="12495" operator="containsText" text="RECHAZADA">
      <formula>NOT(ISERROR(SEARCH("RECHAZADA",M601)))</formula>
    </cfRule>
    <cfRule type="containsText" dxfId="12484" priority="12496" operator="containsText" text="Atendida">
      <formula>NOT(ISERROR(SEARCH("Atendida",M601)))</formula>
    </cfRule>
  </conditionalFormatting>
  <conditionalFormatting sqref="K601">
    <cfRule type="containsText" dxfId="12483" priority="12490" operator="containsText" text="Reasignación">
      <formula>NOT(ISERROR(SEARCH("Reasignación",K601)))</formula>
    </cfRule>
    <cfRule type="containsText" dxfId="12482" priority="12491" operator="containsText" text="RECHAZADA">
      <formula>NOT(ISERROR(SEARCH("RECHAZADA",K601)))</formula>
    </cfRule>
    <cfRule type="containsText" dxfId="12481" priority="12492" operator="containsText" text="Atendida">
      <formula>NOT(ISERROR(SEARCH("Atendida",K601)))</formula>
    </cfRule>
  </conditionalFormatting>
  <conditionalFormatting sqref="K601">
    <cfRule type="containsText" dxfId="12480" priority="12487" operator="containsText" text="Reasignación">
      <formula>NOT(ISERROR(SEARCH("Reasignación",K601)))</formula>
    </cfRule>
    <cfRule type="containsText" dxfId="12479" priority="12488" operator="containsText" text="RECHAZADA">
      <formula>NOT(ISERROR(SEARCH("RECHAZADA",K601)))</formula>
    </cfRule>
    <cfRule type="containsText" dxfId="12478" priority="12489" operator="containsText" text="Atendida">
      <formula>NOT(ISERROR(SEARCH("Atendida",K601)))</formula>
    </cfRule>
  </conditionalFormatting>
  <conditionalFormatting sqref="B602:B618">
    <cfRule type="duplicateValues" dxfId="12477" priority="12486"/>
  </conditionalFormatting>
  <conditionalFormatting sqref="M602:M618">
    <cfRule type="containsText" dxfId="12476" priority="12482" operator="containsText" text="OBSERVADO">
      <formula>NOT(ISERROR(SEARCH("OBSERVADO",M602)))</formula>
    </cfRule>
    <cfRule type="containsText" dxfId="12475" priority="12483" operator="containsText" text="CONFORME">
      <formula>NOT(ISERROR(SEARCH("CONFORME",M602)))</formula>
    </cfRule>
    <cfRule type="containsText" dxfId="12474" priority="12484" operator="containsText" text="RECHAZADA">
      <formula>NOT(ISERROR(SEARCH("RECHAZADA",M602)))</formula>
    </cfRule>
    <cfRule type="containsText" dxfId="12473" priority="12485" operator="containsText" text="Atendida">
      <formula>NOT(ISERROR(SEARCH("Atendida",M602)))</formula>
    </cfRule>
  </conditionalFormatting>
  <conditionalFormatting sqref="K602">
    <cfRule type="containsText" dxfId="12472" priority="12479" operator="containsText" text="Reasignación">
      <formula>NOT(ISERROR(SEARCH("Reasignación",K602)))</formula>
    </cfRule>
    <cfRule type="containsText" dxfId="12471" priority="12480" operator="containsText" text="RECHAZADA">
      <formula>NOT(ISERROR(SEARCH("RECHAZADA",K602)))</formula>
    </cfRule>
    <cfRule type="containsText" dxfId="12470" priority="12481" operator="containsText" text="Atendida">
      <formula>NOT(ISERROR(SEARCH("Atendida",K602)))</formula>
    </cfRule>
  </conditionalFormatting>
  <conditionalFormatting sqref="K602">
    <cfRule type="containsText" dxfId="12469" priority="12476" operator="containsText" text="Reasignación">
      <formula>NOT(ISERROR(SEARCH("Reasignación",K602)))</formula>
    </cfRule>
    <cfRule type="containsText" dxfId="12468" priority="12477" operator="containsText" text="RECHAZADA">
      <formula>NOT(ISERROR(SEARCH("RECHAZADA",K602)))</formula>
    </cfRule>
    <cfRule type="containsText" dxfId="12467" priority="12478" operator="containsText" text="Atendida">
      <formula>NOT(ISERROR(SEARCH("Atendida",K602)))</formula>
    </cfRule>
  </conditionalFormatting>
  <conditionalFormatting sqref="K614:K615 K605:K606 K603">
    <cfRule type="containsText" dxfId="12466" priority="12473" operator="containsText" text="Reasignación">
      <formula>NOT(ISERROR(SEARCH("Reasignación",K603)))</formula>
    </cfRule>
    <cfRule type="containsText" dxfId="12465" priority="12474" operator="containsText" text="RECHAZADA">
      <formula>NOT(ISERROR(SEARCH("RECHAZADA",K603)))</formula>
    </cfRule>
    <cfRule type="containsText" dxfId="12464" priority="12475" operator="containsText" text="Atendida">
      <formula>NOT(ISERROR(SEARCH("Atendida",K603)))</formula>
    </cfRule>
  </conditionalFormatting>
  <conditionalFormatting sqref="K603">
    <cfRule type="containsText" dxfId="12463" priority="12470" operator="containsText" text="Reasignación">
      <formula>NOT(ISERROR(SEARCH("Reasignación",K603)))</formula>
    </cfRule>
    <cfRule type="containsText" dxfId="12462" priority="12471" operator="containsText" text="RECHAZADA">
      <formula>NOT(ISERROR(SEARCH("RECHAZADA",K603)))</formula>
    </cfRule>
    <cfRule type="containsText" dxfId="12461" priority="12472" operator="containsText" text="Atendida">
      <formula>NOT(ISERROR(SEARCH("Atendida",K603)))</formula>
    </cfRule>
  </conditionalFormatting>
  <conditionalFormatting sqref="K603">
    <cfRule type="containsText" dxfId="12460" priority="12467" operator="containsText" text="Reasignación">
      <formula>NOT(ISERROR(SEARCH("Reasignación",K603)))</formula>
    </cfRule>
    <cfRule type="containsText" dxfId="12459" priority="12468" operator="containsText" text="RECHAZADA">
      <formula>NOT(ISERROR(SEARCH("RECHAZADA",K603)))</formula>
    </cfRule>
    <cfRule type="containsText" dxfId="12458" priority="12469" operator="containsText" text="Atendida">
      <formula>NOT(ISERROR(SEARCH("Atendida",K603)))</formula>
    </cfRule>
  </conditionalFormatting>
  <conditionalFormatting sqref="K604">
    <cfRule type="containsText" dxfId="12457" priority="12464" operator="containsText" text="Reasignación">
      <formula>NOT(ISERROR(SEARCH("Reasignación",K604)))</formula>
    </cfRule>
    <cfRule type="containsText" dxfId="12456" priority="12465" operator="containsText" text="RECHAZADA">
      <formula>NOT(ISERROR(SEARCH("RECHAZADA",K604)))</formula>
    </cfRule>
    <cfRule type="containsText" dxfId="12455" priority="12466" operator="containsText" text="Atendida">
      <formula>NOT(ISERROR(SEARCH("Atendida",K604)))</formula>
    </cfRule>
  </conditionalFormatting>
  <conditionalFormatting sqref="K604">
    <cfRule type="containsText" dxfId="12454" priority="12461" operator="containsText" text="Reasignación">
      <formula>NOT(ISERROR(SEARCH("Reasignación",K604)))</formula>
    </cfRule>
    <cfRule type="containsText" dxfId="12453" priority="12462" operator="containsText" text="RECHAZADA">
      <formula>NOT(ISERROR(SEARCH("RECHAZADA",K604)))</formula>
    </cfRule>
    <cfRule type="containsText" dxfId="12452" priority="12463" operator="containsText" text="Atendida">
      <formula>NOT(ISERROR(SEARCH("Atendida",K604)))</formula>
    </cfRule>
  </conditionalFormatting>
  <conditionalFormatting sqref="K604">
    <cfRule type="containsText" dxfId="12451" priority="12458" operator="containsText" text="Reasignación">
      <formula>NOT(ISERROR(SEARCH("Reasignación",K604)))</formula>
    </cfRule>
    <cfRule type="containsText" dxfId="12450" priority="12459" operator="containsText" text="RECHAZADA">
      <formula>NOT(ISERROR(SEARCH("RECHAZADA",K604)))</formula>
    </cfRule>
    <cfRule type="containsText" dxfId="12449" priority="12460" operator="containsText" text="Atendida">
      <formula>NOT(ISERROR(SEARCH("Atendida",K604)))</formula>
    </cfRule>
  </conditionalFormatting>
  <conditionalFormatting sqref="K605">
    <cfRule type="containsText" dxfId="12448" priority="12455" operator="containsText" text="Reasignación">
      <formula>NOT(ISERROR(SEARCH("Reasignación",K605)))</formula>
    </cfRule>
    <cfRule type="containsText" dxfId="12447" priority="12456" operator="containsText" text="RECHAZADA">
      <formula>NOT(ISERROR(SEARCH("RECHAZADA",K605)))</formula>
    </cfRule>
    <cfRule type="containsText" dxfId="12446" priority="12457" operator="containsText" text="Atendida">
      <formula>NOT(ISERROR(SEARCH("Atendida",K605)))</formula>
    </cfRule>
  </conditionalFormatting>
  <conditionalFormatting sqref="K605">
    <cfRule type="containsText" dxfId="12445" priority="12452" operator="containsText" text="Reasignación">
      <formula>NOT(ISERROR(SEARCH("Reasignación",K605)))</formula>
    </cfRule>
    <cfRule type="containsText" dxfId="12444" priority="12453" operator="containsText" text="RECHAZADA">
      <formula>NOT(ISERROR(SEARCH("RECHAZADA",K605)))</formula>
    </cfRule>
    <cfRule type="containsText" dxfId="12443" priority="12454" operator="containsText" text="Atendida">
      <formula>NOT(ISERROR(SEARCH("Atendida",K605)))</formula>
    </cfRule>
  </conditionalFormatting>
  <conditionalFormatting sqref="K606">
    <cfRule type="containsText" dxfId="12442" priority="12449" operator="containsText" text="Reasignación">
      <formula>NOT(ISERROR(SEARCH("Reasignación",K606)))</formula>
    </cfRule>
    <cfRule type="containsText" dxfId="12441" priority="12450" operator="containsText" text="RECHAZADA">
      <formula>NOT(ISERROR(SEARCH("RECHAZADA",K606)))</formula>
    </cfRule>
    <cfRule type="containsText" dxfId="12440" priority="12451" operator="containsText" text="Atendida">
      <formula>NOT(ISERROR(SEARCH("Atendida",K606)))</formula>
    </cfRule>
  </conditionalFormatting>
  <conditionalFormatting sqref="K606">
    <cfRule type="containsText" dxfId="12439" priority="12446" operator="containsText" text="Reasignación">
      <formula>NOT(ISERROR(SEARCH("Reasignación",K606)))</formula>
    </cfRule>
    <cfRule type="containsText" dxfId="12438" priority="12447" operator="containsText" text="RECHAZADA">
      <formula>NOT(ISERROR(SEARCH("RECHAZADA",K606)))</formula>
    </cfRule>
    <cfRule type="containsText" dxfId="12437" priority="12448" operator="containsText" text="Atendida">
      <formula>NOT(ISERROR(SEARCH("Atendida",K606)))</formula>
    </cfRule>
  </conditionalFormatting>
  <conditionalFormatting sqref="K607">
    <cfRule type="containsText" dxfId="12436" priority="12443" operator="containsText" text="Reasignación">
      <formula>NOT(ISERROR(SEARCH("Reasignación",K607)))</formula>
    </cfRule>
    <cfRule type="containsText" dxfId="12435" priority="12444" operator="containsText" text="RECHAZADA">
      <formula>NOT(ISERROR(SEARCH("RECHAZADA",K607)))</formula>
    </cfRule>
    <cfRule type="containsText" dxfId="12434" priority="12445" operator="containsText" text="Atendida">
      <formula>NOT(ISERROR(SEARCH("Atendida",K607)))</formula>
    </cfRule>
  </conditionalFormatting>
  <conditionalFormatting sqref="K607">
    <cfRule type="containsText" dxfId="12433" priority="12440" operator="containsText" text="Reasignación">
      <formula>NOT(ISERROR(SEARCH("Reasignación",K607)))</formula>
    </cfRule>
    <cfRule type="containsText" dxfId="12432" priority="12441" operator="containsText" text="RECHAZADA">
      <formula>NOT(ISERROR(SEARCH("RECHAZADA",K607)))</formula>
    </cfRule>
    <cfRule type="containsText" dxfId="12431" priority="12442" operator="containsText" text="Atendida">
      <formula>NOT(ISERROR(SEARCH("Atendida",K607)))</formula>
    </cfRule>
  </conditionalFormatting>
  <conditionalFormatting sqref="K607">
    <cfRule type="containsText" dxfId="12430" priority="12437" operator="containsText" text="Reasignación">
      <formula>NOT(ISERROR(SEARCH("Reasignación",K607)))</formula>
    </cfRule>
    <cfRule type="containsText" dxfId="12429" priority="12438" operator="containsText" text="RECHAZADA">
      <formula>NOT(ISERROR(SEARCH("RECHAZADA",K607)))</formula>
    </cfRule>
    <cfRule type="containsText" dxfId="12428" priority="12439" operator="containsText" text="Atendida">
      <formula>NOT(ISERROR(SEARCH("Atendida",K607)))</formula>
    </cfRule>
  </conditionalFormatting>
  <conditionalFormatting sqref="K608">
    <cfRule type="containsText" dxfId="12427" priority="12434" operator="containsText" text="Reasignación">
      <formula>NOT(ISERROR(SEARCH("Reasignación",K608)))</formula>
    </cfRule>
    <cfRule type="containsText" dxfId="12426" priority="12435" operator="containsText" text="RECHAZADA">
      <formula>NOT(ISERROR(SEARCH("RECHAZADA",K608)))</formula>
    </cfRule>
    <cfRule type="containsText" dxfId="12425" priority="12436" operator="containsText" text="Atendida">
      <formula>NOT(ISERROR(SEARCH("Atendida",K608)))</formula>
    </cfRule>
  </conditionalFormatting>
  <conditionalFormatting sqref="K608">
    <cfRule type="containsText" dxfId="12424" priority="12431" operator="containsText" text="Reasignación">
      <formula>NOT(ISERROR(SEARCH("Reasignación",K608)))</formula>
    </cfRule>
    <cfRule type="containsText" dxfId="12423" priority="12432" operator="containsText" text="RECHAZADA">
      <formula>NOT(ISERROR(SEARCH("RECHAZADA",K608)))</formula>
    </cfRule>
    <cfRule type="containsText" dxfId="12422" priority="12433" operator="containsText" text="Atendida">
      <formula>NOT(ISERROR(SEARCH("Atendida",K608)))</formula>
    </cfRule>
  </conditionalFormatting>
  <conditionalFormatting sqref="K608">
    <cfRule type="containsText" dxfId="12421" priority="12428" operator="containsText" text="Reasignación">
      <formula>NOT(ISERROR(SEARCH("Reasignación",K608)))</formula>
    </cfRule>
    <cfRule type="containsText" dxfId="12420" priority="12429" operator="containsText" text="RECHAZADA">
      <formula>NOT(ISERROR(SEARCH("RECHAZADA",K608)))</formula>
    </cfRule>
    <cfRule type="containsText" dxfId="12419" priority="12430" operator="containsText" text="Atendida">
      <formula>NOT(ISERROR(SEARCH("Atendida",K608)))</formula>
    </cfRule>
  </conditionalFormatting>
  <conditionalFormatting sqref="K609">
    <cfRule type="containsText" dxfId="12418" priority="12425" operator="containsText" text="Reasignación">
      <formula>NOT(ISERROR(SEARCH("Reasignación",K609)))</formula>
    </cfRule>
    <cfRule type="containsText" dxfId="12417" priority="12426" operator="containsText" text="RECHAZADA">
      <formula>NOT(ISERROR(SEARCH("RECHAZADA",K609)))</formula>
    </cfRule>
    <cfRule type="containsText" dxfId="12416" priority="12427" operator="containsText" text="Atendida">
      <formula>NOT(ISERROR(SEARCH("Atendida",K609)))</formula>
    </cfRule>
  </conditionalFormatting>
  <conditionalFormatting sqref="K609">
    <cfRule type="containsText" dxfId="12415" priority="12422" operator="containsText" text="Reasignación">
      <formula>NOT(ISERROR(SEARCH("Reasignación",K609)))</formula>
    </cfRule>
    <cfRule type="containsText" dxfId="12414" priority="12423" operator="containsText" text="RECHAZADA">
      <formula>NOT(ISERROR(SEARCH("RECHAZADA",K609)))</formula>
    </cfRule>
    <cfRule type="containsText" dxfId="12413" priority="12424" operator="containsText" text="Atendida">
      <formula>NOT(ISERROR(SEARCH("Atendida",K609)))</formula>
    </cfRule>
  </conditionalFormatting>
  <conditionalFormatting sqref="K609">
    <cfRule type="containsText" dxfId="12412" priority="12419" operator="containsText" text="Reasignación">
      <formula>NOT(ISERROR(SEARCH("Reasignación",K609)))</formula>
    </cfRule>
    <cfRule type="containsText" dxfId="12411" priority="12420" operator="containsText" text="RECHAZADA">
      <formula>NOT(ISERROR(SEARCH("RECHAZADA",K609)))</formula>
    </cfRule>
    <cfRule type="containsText" dxfId="12410" priority="12421" operator="containsText" text="Atendida">
      <formula>NOT(ISERROR(SEARCH("Atendida",K609)))</formula>
    </cfRule>
  </conditionalFormatting>
  <conditionalFormatting sqref="K610">
    <cfRule type="containsText" dxfId="12409" priority="12416" operator="containsText" text="Reasignación">
      <formula>NOT(ISERROR(SEARCH("Reasignación",K610)))</formula>
    </cfRule>
    <cfRule type="containsText" dxfId="12408" priority="12417" operator="containsText" text="RECHAZADA">
      <formula>NOT(ISERROR(SEARCH("RECHAZADA",K610)))</formula>
    </cfRule>
    <cfRule type="containsText" dxfId="12407" priority="12418" operator="containsText" text="Atendida">
      <formula>NOT(ISERROR(SEARCH("Atendida",K610)))</formula>
    </cfRule>
  </conditionalFormatting>
  <conditionalFormatting sqref="K610">
    <cfRule type="containsText" dxfId="12406" priority="12413" operator="containsText" text="Reasignación">
      <formula>NOT(ISERROR(SEARCH("Reasignación",K610)))</formula>
    </cfRule>
    <cfRule type="containsText" dxfId="12405" priority="12414" operator="containsText" text="RECHAZADA">
      <formula>NOT(ISERROR(SEARCH("RECHAZADA",K610)))</formula>
    </cfRule>
    <cfRule type="containsText" dxfId="12404" priority="12415" operator="containsText" text="Atendida">
      <formula>NOT(ISERROR(SEARCH("Atendida",K610)))</formula>
    </cfRule>
  </conditionalFormatting>
  <conditionalFormatting sqref="K610">
    <cfRule type="containsText" dxfId="12403" priority="12410" operator="containsText" text="Reasignación">
      <formula>NOT(ISERROR(SEARCH("Reasignación",K610)))</formula>
    </cfRule>
    <cfRule type="containsText" dxfId="12402" priority="12411" operator="containsText" text="RECHAZADA">
      <formula>NOT(ISERROR(SEARCH("RECHAZADA",K610)))</formula>
    </cfRule>
    <cfRule type="containsText" dxfId="12401" priority="12412" operator="containsText" text="Atendida">
      <formula>NOT(ISERROR(SEARCH("Atendida",K610)))</formula>
    </cfRule>
  </conditionalFormatting>
  <conditionalFormatting sqref="K611">
    <cfRule type="containsText" dxfId="12400" priority="12407" operator="containsText" text="Reasignación">
      <formula>NOT(ISERROR(SEARCH("Reasignación",K611)))</formula>
    </cfRule>
    <cfRule type="containsText" dxfId="12399" priority="12408" operator="containsText" text="RECHAZADA">
      <formula>NOT(ISERROR(SEARCH("RECHAZADA",K611)))</formula>
    </cfRule>
    <cfRule type="containsText" dxfId="12398" priority="12409" operator="containsText" text="Atendida">
      <formula>NOT(ISERROR(SEARCH("Atendida",K611)))</formula>
    </cfRule>
  </conditionalFormatting>
  <conditionalFormatting sqref="K611">
    <cfRule type="containsText" dxfId="12397" priority="12404" operator="containsText" text="Reasignación">
      <formula>NOT(ISERROR(SEARCH("Reasignación",K611)))</formula>
    </cfRule>
    <cfRule type="containsText" dxfId="12396" priority="12405" operator="containsText" text="RECHAZADA">
      <formula>NOT(ISERROR(SEARCH("RECHAZADA",K611)))</formula>
    </cfRule>
    <cfRule type="containsText" dxfId="12395" priority="12406" operator="containsText" text="Atendida">
      <formula>NOT(ISERROR(SEARCH("Atendida",K611)))</formula>
    </cfRule>
  </conditionalFormatting>
  <conditionalFormatting sqref="K611">
    <cfRule type="containsText" dxfId="12394" priority="12401" operator="containsText" text="Reasignación">
      <formula>NOT(ISERROR(SEARCH("Reasignación",K611)))</formula>
    </cfRule>
    <cfRule type="containsText" dxfId="12393" priority="12402" operator="containsText" text="RECHAZADA">
      <formula>NOT(ISERROR(SEARCH("RECHAZADA",K611)))</formula>
    </cfRule>
    <cfRule type="containsText" dxfId="12392" priority="12403" operator="containsText" text="Atendida">
      <formula>NOT(ISERROR(SEARCH("Atendida",K611)))</formula>
    </cfRule>
  </conditionalFormatting>
  <conditionalFormatting sqref="K612">
    <cfRule type="containsText" dxfId="12391" priority="12398" operator="containsText" text="Reasignación">
      <formula>NOT(ISERROR(SEARCH("Reasignación",K612)))</formula>
    </cfRule>
    <cfRule type="containsText" dxfId="12390" priority="12399" operator="containsText" text="RECHAZADA">
      <formula>NOT(ISERROR(SEARCH("RECHAZADA",K612)))</formula>
    </cfRule>
    <cfRule type="containsText" dxfId="12389" priority="12400" operator="containsText" text="Atendida">
      <formula>NOT(ISERROR(SEARCH("Atendida",K612)))</formula>
    </cfRule>
  </conditionalFormatting>
  <conditionalFormatting sqref="K612">
    <cfRule type="containsText" dxfId="12388" priority="12392" operator="containsText" text="Reasignación">
      <formula>NOT(ISERROR(SEARCH("Reasignación",K612)))</formula>
    </cfRule>
    <cfRule type="containsText" dxfId="12387" priority="12393" operator="containsText" text="RECHAZADA">
      <formula>NOT(ISERROR(SEARCH("RECHAZADA",K612)))</formula>
    </cfRule>
    <cfRule type="containsText" dxfId="12386" priority="12394" operator="containsText" text="Atendida">
      <formula>NOT(ISERROR(SEARCH("Atendida",K612)))</formula>
    </cfRule>
  </conditionalFormatting>
  <conditionalFormatting sqref="K612">
    <cfRule type="containsText" dxfId="12385" priority="12389" operator="containsText" text="Reasignación">
      <formula>NOT(ISERROR(SEARCH("Reasignación",K612)))</formula>
    </cfRule>
    <cfRule type="containsText" dxfId="12384" priority="12390" operator="containsText" text="RECHAZADA">
      <formula>NOT(ISERROR(SEARCH("RECHAZADA",K612)))</formula>
    </cfRule>
    <cfRule type="containsText" dxfId="12383" priority="12391" operator="containsText" text="Atendida">
      <formula>NOT(ISERROR(SEARCH("Atendida",K612)))</formula>
    </cfRule>
  </conditionalFormatting>
  <conditionalFormatting sqref="K612">
    <cfRule type="containsText" dxfId="12382" priority="12395" operator="containsText" text="Reasignación">
      <formula>NOT(ISERROR(SEARCH("Reasignación",K612)))</formula>
    </cfRule>
    <cfRule type="containsText" dxfId="12381" priority="12396" operator="containsText" text="RECHAZADA">
      <formula>NOT(ISERROR(SEARCH("RECHAZADA",K612)))</formula>
    </cfRule>
    <cfRule type="containsText" dxfId="12380" priority="12397" operator="containsText" text="Atendida">
      <formula>NOT(ISERROR(SEARCH("Atendida",K612)))</formula>
    </cfRule>
  </conditionalFormatting>
  <conditionalFormatting sqref="K613">
    <cfRule type="containsText" dxfId="12379" priority="12386" operator="containsText" text="Reasignación">
      <formula>NOT(ISERROR(SEARCH("Reasignación",K613)))</formula>
    </cfRule>
    <cfRule type="containsText" dxfId="12378" priority="12387" operator="containsText" text="RECHAZADA">
      <formula>NOT(ISERROR(SEARCH("RECHAZADA",K613)))</formula>
    </cfRule>
    <cfRule type="containsText" dxfId="12377" priority="12388" operator="containsText" text="Atendida">
      <formula>NOT(ISERROR(SEARCH("Atendida",K613)))</formula>
    </cfRule>
  </conditionalFormatting>
  <conditionalFormatting sqref="K613">
    <cfRule type="containsText" dxfId="12376" priority="12380" operator="containsText" text="Reasignación">
      <formula>NOT(ISERROR(SEARCH("Reasignación",K613)))</formula>
    </cfRule>
    <cfRule type="containsText" dxfId="12375" priority="12381" operator="containsText" text="RECHAZADA">
      <formula>NOT(ISERROR(SEARCH("RECHAZADA",K613)))</formula>
    </cfRule>
    <cfRule type="containsText" dxfId="12374" priority="12382" operator="containsText" text="Atendida">
      <formula>NOT(ISERROR(SEARCH("Atendida",K613)))</formula>
    </cfRule>
  </conditionalFormatting>
  <conditionalFormatting sqref="K613">
    <cfRule type="containsText" dxfId="12373" priority="12377" operator="containsText" text="Reasignación">
      <formula>NOT(ISERROR(SEARCH("Reasignación",K613)))</formula>
    </cfRule>
    <cfRule type="containsText" dxfId="12372" priority="12378" operator="containsText" text="RECHAZADA">
      <formula>NOT(ISERROR(SEARCH("RECHAZADA",K613)))</formula>
    </cfRule>
    <cfRule type="containsText" dxfId="12371" priority="12379" operator="containsText" text="Atendida">
      <formula>NOT(ISERROR(SEARCH("Atendida",K613)))</formula>
    </cfRule>
  </conditionalFormatting>
  <conditionalFormatting sqref="K613">
    <cfRule type="containsText" dxfId="12370" priority="12383" operator="containsText" text="Reasignación">
      <formula>NOT(ISERROR(SEARCH("Reasignación",K613)))</formula>
    </cfRule>
    <cfRule type="containsText" dxfId="12369" priority="12384" operator="containsText" text="RECHAZADA">
      <formula>NOT(ISERROR(SEARCH("RECHAZADA",K613)))</formula>
    </cfRule>
    <cfRule type="containsText" dxfId="12368" priority="12385" operator="containsText" text="Atendida">
      <formula>NOT(ISERROR(SEARCH("Atendida",K613)))</formula>
    </cfRule>
  </conditionalFormatting>
  <conditionalFormatting sqref="K614">
    <cfRule type="containsText" dxfId="12367" priority="12374" operator="containsText" text="Reasignación">
      <formula>NOT(ISERROR(SEARCH("Reasignación",K614)))</formula>
    </cfRule>
    <cfRule type="containsText" dxfId="12366" priority="12375" operator="containsText" text="RECHAZADA">
      <formula>NOT(ISERROR(SEARCH("RECHAZADA",K614)))</formula>
    </cfRule>
    <cfRule type="containsText" dxfId="12365" priority="12376" operator="containsText" text="Atendida">
      <formula>NOT(ISERROR(SEARCH("Atendida",K614)))</formula>
    </cfRule>
  </conditionalFormatting>
  <conditionalFormatting sqref="K614">
    <cfRule type="containsText" dxfId="12364" priority="12368" operator="containsText" text="Reasignación">
      <formula>NOT(ISERROR(SEARCH("Reasignación",K614)))</formula>
    </cfRule>
    <cfRule type="containsText" dxfId="12363" priority="12369" operator="containsText" text="RECHAZADA">
      <formula>NOT(ISERROR(SEARCH("RECHAZADA",K614)))</formula>
    </cfRule>
    <cfRule type="containsText" dxfId="12362" priority="12370" operator="containsText" text="Atendida">
      <formula>NOT(ISERROR(SEARCH("Atendida",K614)))</formula>
    </cfRule>
  </conditionalFormatting>
  <conditionalFormatting sqref="K614">
    <cfRule type="containsText" dxfId="12361" priority="12365" operator="containsText" text="Reasignación">
      <formula>NOT(ISERROR(SEARCH("Reasignación",K614)))</formula>
    </cfRule>
    <cfRule type="containsText" dxfId="12360" priority="12366" operator="containsText" text="RECHAZADA">
      <formula>NOT(ISERROR(SEARCH("RECHAZADA",K614)))</formula>
    </cfRule>
    <cfRule type="containsText" dxfId="12359" priority="12367" operator="containsText" text="Atendida">
      <formula>NOT(ISERROR(SEARCH("Atendida",K614)))</formula>
    </cfRule>
  </conditionalFormatting>
  <conditionalFormatting sqref="K614">
    <cfRule type="containsText" dxfId="12358" priority="12371" operator="containsText" text="Reasignación">
      <formula>NOT(ISERROR(SEARCH("Reasignación",K614)))</formula>
    </cfRule>
    <cfRule type="containsText" dxfId="12357" priority="12372" operator="containsText" text="RECHAZADA">
      <formula>NOT(ISERROR(SEARCH("RECHAZADA",K614)))</formula>
    </cfRule>
    <cfRule type="containsText" dxfId="12356" priority="12373" operator="containsText" text="Atendida">
      <formula>NOT(ISERROR(SEARCH("Atendida",K614)))</formula>
    </cfRule>
  </conditionalFormatting>
  <conditionalFormatting sqref="K615">
    <cfRule type="containsText" dxfId="12355" priority="12362" operator="containsText" text="Reasignación">
      <formula>NOT(ISERROR(SEARCH("Reasignación",K615)))</formula>
    </cfRule>
    <cfRule type="containsText" dxfId="12354" priority="12363" operator="containsText" text="RECHAZADA">
      <formula>NOT(ISERROR(SEARCH("RECHAZADA",K615)))</formula>
    </cfRule>
    <cfRule type="containsText" dxfId="12353" priority="12364" operator="containsText" text="Atendida">
      <formula>NOT(ISERROR(SEARCH("Atendida",K615)))</formula>
    </cfRule>
  </conditionalFormatting>
  <conditionalFormatting sqref="K615">
    <cfRule type="containsText" dxfId="12352" priority="12356" operator="containsText" text="Reasignación">
      <formula>NOT(ISERROR(SEARCH("Reasignación",K615)))</formula>
    </cfRule>
    <cfRule type="containsText" dxfId="12351" priority="12357" operator="containsText" text="RECHAZADA">
      <formula>NOT(ISERROR(SEARCH("RECHAZADA",K615)))</formula>
    </cfRule>
    <cfRule type="containsText" dxfId="12350" priority="12358" operator="containsText" text="Atendida">
      <formula>NOT(ISERROR(SEARCH("Atendida",K615)))</formula>
    </cfRule>
  </conditionalFormatting>
  <conditionalFormatting sqref="K615">
    <cfRule type="containsText" dxfId="12349" priority="12353" operator="containsText" text="Reasignación">
      <formula>NOT(ISERROR(SEARCH("Reasignación",K615)))</formula>
    </cfRule>
    <cfRule type="containsText" dxfId="12348" priority="12354" operator="containsText" text="RECHAZADA">
      <formula>NOT(ISERROR(SEARCH("RECHAZADA",K615)))</formula>
    </cfRule>
    <cfRule type="containsText" dxfId="12347" priority="12355" operator="containsText" text="Atendida">
      <formula>NOT(ISERROR(SEARCH("Atendida",K615)))</formula>
    </cfRule>
  </conditionalFormatting>
  <conditionalFormatting sqref="K615">
    <cfRule type="containsText" dxfId="12346" priority="12359" operator="containsText" text="Reasignación">
      <formula>NOT(ISERROR(SEARCH("Reasignación",K615)))</formula>
    </cfRule>
    <cfRule type="containsText" dxfId="12345" priority="12360" operator="containsText" text="RECHAZADA">
      <formula>NOT(ISERROR(SEARCH("RECHAZADA",K615)))</formula>
    </cfRule>
    <cfRule type="containsText" dxfId="12344" priority="12361" operator="containsText" text="Atendida">
      <formula>NOT(ISERROR(SEARCH("Atendida",K615)))</formula>
    </cfRule>
  </conditionalFormatting>
  <conditionalFormatting sqref="K616">
    <cfRule type="containsText" dxfId="12343" priority="12344" operator="containsText" text="Reasignación">
      <formula>NOT(ISERROR(SEARCH("Reasignación",K616)))</formula>
    </cfRule>
    <cfRule type="containsText" dxfId="12342" priority="12345" operator="containsText" text="RECHAZADA">
      <formula>NOT(ISERROR(SEARCH("RECHAZADA",K616)))</formula>
    </cfRule>
    <cfRule type="containsText" dxfId="12341" priority="12346" operator="containsText" text="Atendida">
      <formula>NOT(ISERROR(SEARCH("Atendida",K616)))</formula>
    </cfRule>
  </conditionalFormatting>
  <conditionalFormatting sqref="K616">
    <cfRule type="containsText" dxfId="12340" priority="12341" operator="containsText" text="Reasignación">
      <formula>NOT(ISERROR(SEARCH("Reasignación",K616)))</formula>
    </cfRule>
    <cfRule type="containsText" dxfId="12339" priority="12342" operator="containsText" text="RECHAZADA">
      <formula>NOT(ISERROR(SEARCH("RECHAZADA",K616)))</formula>
    </cfRule>
    <cfRule type="containsText" dxfId="12338" priority="12343" operator="containsText" text="Atendida">
      <formula>NOT(ISERROR(SEARCH("Atendida",K616)))</formula>
    </cfRule>
  </conditionalFormatting>
  <conditionalFormatting sqref="K616">
    <cfRule type="containsText" dxfId="12337" priority="12338" operator="containsText" text="Reasignación">
      <formula>NOT(ISERROR(SEARCH("Reasignación",K616)))</formula>
    </cfRule>
    <cfRule type="containsText" dxfId="12336" priority="12339" operator="containsText" text="RECHAZADA">
      <formula>NOT(ISERROR(SEARCH("RECHAZADA",K616)))</formula>
    </cfRule>
    <cfRule type="containsText" dxfId="12335" priority="12340" operator="containsText" text="Atendida">
      <formula>NOT(ISERROR(SEARCH("Atendida",K616)))</formula>
    </cfRule>
  </conditionalFormatting>
  <conditionalFormatting sqref="K616">
    <cfRule type="containsText" dxfId="12334" priority="12350" operator="containsText" text="Reasignación">
      <formula>NOT(ISERROR(SEARCH("Reasignación",K616)))</formula>
    </cfRule>
    <cfRule type="containsText" dxfId="12333" priority="12351" operator="containsText" text="RECHAZADA">
      <formula>NOT(ISERROR(SEARCH("RECHAZADA",K616)))</formula>
    </cfRule>
    <cfRule type="containsText" dxfId="12332" priority="12352" operator="containsText" text="Atendida">
      <formula>NOT(ISERROR(SEARCH("Atendida",K616)))</formula>
    </cfRule>
  </conditionalFormatting>
  <conditionalFormatting sqref="K616">
    <cfRule type="containsText" dxfId="12331" priority="12347" operator="containsText" text="Reasignación">
      <formula>NOT(ISERROR(SEARCH("Reasignación",K616)))</formula>
    </cfRule>
    <cfRule type="containsText" dxfId="12330" priority="12348" operator="containsText" text="RECHAZADA">
      <formula>NOT(ISERROR(SEARCH("RECHAZADA",K616)))</formula>
    </cfRule>
    <cfRule type="containsText" dxfId="12329" priority="12349" operator="containsText" text="Atendida">
      <formula>NOT(ISERROR(SEARCH("Atendida",K616)))</formula>
    </cfRule>
  </conditionalFormatting>
  <conditionalFormatting sqref="K617">
    <cfRule type="containsText" dxfId="12328" priority="12329" operator="containsText" text="Reasignación">
      <formula>NOT(ISERROR(SEARCH("Reasignación",K617)))</formula>
    </cfRule>
    <cfRule type="containsText" dxfId="12327" priority="12330" operator="containsText" text="RECHAZADA">
      <formula>NOT(ISERROR(SEARCH("RECHAZADA",K617)))</formula>
    </cfRule>
    <cfRule type="containsText" dxfId="12326" priority="12331" operator="containsText" text="Atendida">
      <formula>NOT(ISERROR(SEARCH("Atendida",K617)))</formula>
    </cfRule>
  </conditionalFormatting>
  <conditionalFormatting sqref="K617">
    <cfRule type="containsText" dxfId="12325" priority="12326" operator="containsText" text="Reasignación">
      <formula>NOT(ISERROR(SEARCH("Reasignación",K617)))</formula>
    </cfRule>
    <cfRule type="containsText" dxfId="12324" priority="12327" operator="containsText" text="RECHAZADA">
      <formula>NOT(ISERROR(SEARCH("RECHAZADA",K617)))</formula>
    </cfRule>
    <cfRule type="containsText" dxfId="12323" priority="12328" operator="containsText" text="Atendida">
      <formula>NOT(ISERROR(SEARCH("Atendida",K617)))</formula>
    </cfRule>
  </conditionalFormatting>
  <conditionalFormatting sqref="K617">
    <cfRule type="containsText" dxfId="12322" priority="12323" operator="containsText" text="Reasignación">
      <formula>NOT(ISERROR(SEARCH("Reasignación",K617)))</formula>
    </cfRule>
    <cfRule type="containsText" dxfId="12321" priority="12324" operator="containsText" text="RECHAZADA">
      <formula>NOT(ISERROR(SEARCH("RECHAZADA",K617)))</formula>
    </cfRule>
    <cfRule type="containsText" dxfId="12320" priority="12325" operator="containsText" text="Atendida">
      <formula>NOT(ISERROR(SEARCH("Atendida",K617)))</formula>
    </cfRule>
  </conditionalFormatting>
  <conditionalFormatting sqref="K617">
    <cfRule type="containsText" dxfId="12319" priority="12335" operator="containsText" text="Reasignación">
      <formula>NOT(ISERROR(SEARCH("Reasignación",K617)))</formula>
    </cfRule>
    <cfRule type="containsText" dxfId="12318" priority="12336" operator="containsText" text="RECHAZADA">
      <formula>NOT(ISERROR(SEARCH("RECHAZADA",K617)))</formula>
    </cfRule>
    <cfRule type="containsText" dxfId="12317" priority="12337" operator="containsText" text="Atendida">
      <formula>NOT(ISERROR(SEARCH("Atendida",K617)))</formula>
    </cfRule>
  </conditionalFormatting>
  <conditionalFormatting sqref="K617">
    <cfRule type="containsText" dxfId="12316" priority="12332" operator="containsText" text="Reasignación">
      <formula>NOT(ISERROR(SEARCH("Reasignación",K617)))</formula>
    </cfRule>
    <cfRule type="containsText" dxfId="12315" priority="12333" operator="containsText" text="RECHAZADA">
      <formula>NOT(ISERROR(SEARCH("RECHAZADA",K617)))</formula>
    </cfRule>
    <cfRule type="containsText" dxfId="12314" priority="12334" operator="containsText" text="Atendida">
      <formula>NOT(ISERROR(SEARCH("Atendida",K617)))</formula>
    </cfRule>
  </conditionalFormatting>
  <conditionalFormatting sqref="K618">
    <cfRule type="containsText" dxfId="12313" priority="12314" operator="containsText" text="Reasignación">
      <formula>NOT(ISERROR(SEARCH("Reasignación",K618)))</formula>
    </cfRule>
    <cfRule type="containsText" dxfId="12312" priority="12315" operator="containsText" text="RECHAZADA">
      <formula>NOT(ISERROR(SEARCH("RECHAZADA",K618)))</formula>
    </cfRule>
    <cfRule type="containsText" dxfId="12311" priority="12316" operator="containsText" text="Atendida">
      <formula>NOT(ISERROR(SEARCH("Atendida",K618)))</formula>
    </cfRule>
  </conditionalFormatting>
  <conditionalFormatting sqref="K618">
    <cfRule type="containsText" dxfId="12310" priority="12311" operator="containsText" text="Reasignación">
      <formula>NOT(ISERROR(SEARCH("Reasignación",K618)))</formula>
    </cfRule>
    <cfRule type="containsText" dxfId="12309" priority="12312" operator="containsText" text="RECHAZADA">
      <formula>NOT(ISERROR(SEARCH("RECHAZADA",K618)))</formula>
    </cfRule>
    <cfRule type="containsText" dxfId="12308" priority="12313" operator="containsText" text="Atendida">
      <formula>NOT(ISERROR(SEARCH("Atendida",K618)))</formula>
    </cfRule>
  </conditionalFormatting>
  <conditionalFormatting sqref="K618">
    <cfRule type="containsText" dxfId="12307" priority="12308" operator="containsText" text="Reasignación">
      <formula>NOT(ISERROR(SEARCH("Reasignación",K618)))</formula>
    </cfRule>
    <cfRule type="containsText" dxfId="12306" priority="12309" operator="containsText" text="RECHAZADA">
      <formula>NOT(ISERROR(SEARCH("RECHAZADA",K618)))</formula>
    </cfRule>
    <cfRule type="containsText" dxfId="12305" priority="12310" operator="containsText" text="Atendida">
      <formula>NOT(ISERROR(SEARCH("Atendida",K618)))</formula>
    </cfRule>
  </conditionalFormatting>
  <conditionalFormatting sqref="K618">
    <cfRule type="containsText" dxfId="12304" priority="12320" operator="containsText" text="Reasignación">
      <formula>NOT(ISERROR(SEARCH("Reasignación",K618)))</formula>
    </cfRule>
    <cfRule type="containsText" dxfId="12303" priority="12321" operator="containsText" text="RECHAZADA">
      <formula>NOT(ISERROR(SEARCH("RECHAZADA",K618)))</formula>
    </cfRule>
    <cfRule type="containsText" dxfId="12302" priority="12322" operator="containsText" text="Atendida">
      <formula>NOT(ISERROR(SEARCH("Atendida",K618)))</formula>
    </cfRule>
  </conditionalFormatting>
  <conditionalFormatting sqref="K618">
    <cfRule type="containsText" dxfId="12301" priority="12317" operator="containsText" text="Reasignación">
      <formula>NOT(ISERROR(SEARCH("Reasignación",K618)))</formula>
    </cfRule>
    <cfRule type="containsText" dxfId="12300" priority="12318" operator="containsText" text="RECHAZADA">
      <formula>NOT(ISERROR(SEARCH("RECHAZADA",K618)))</formula>
    </cfRule>
    <cfRule type="containsText" dxfId="12299" priority="12319" operator="containsText" text="Atendida">
      <formula>NOT(ISERROR(SEARCH("Atendida",K618)))</formula>
    </cfRule>
  </conditionalFormatting>
  <conditionalFormatting sqref="B619">
    <cfRule type="duplicateValues" dxfId="12298" priority="12307"/>
  </conditionalFormatting>
  <conditionalFormatting sqref="K619">
    <cfRule type="containsText" dxfId="12297" priority="12304" operator="containsText" text="Reasignación">
      <formula>NOT(ISERROR(SEARCH("Reasignación",K619)))</formula>
    </cfRule>
    <cfRule type="containsText" dxfId="12296" priority="12305" operator="containsText" text="RECHAZADA">
      <formula>NOT(ISERROR(SEARCH("RECHAZADA",K619)))</formula>
    </cfRule>
    <cfRule type="containsText" dxfId="12295" priority="12306" operator="containsText" text="Atendida">
      <formula>NOT(ISERROR(SEARCH("Atendida",K619)))</formula>
    </cfRule>
  </conditionalFormatting>
  <conditionalFormatting sqref="M619">
    <cfRule type="containsText" dxfId="12294" priority="12300" operator="containsText" text="OBSERVADO">
      <formula>NOT(ISERROR(SEARCH("OBSERVADO",M619)))</formula>
    </cfRule>
    <cfRule type="containsText" dxfId="12293" priority="12301" operator="containsText" text="CONFORME">
      <formula>NOT(ISERROR(SEARCH("CONFORME",M619)))</formula>
    </cfRule>
    <cfRule type="containsText" dxfId="12292" priority="12302" operator="containsText" text="RECHAZADA">
      <formula>NOT(ISERROR(SEARCH("RECHAZADA",M619)))</formula>
    </cfRule>
    <cfRule type="containsText" dxfId="12291" priority="12303" operator="containsText" text="Atendida">
      <formula>NOT(ISERROR(SEARCH("Atendida",M619)))</formula>
    </cfRule>
  </conditionalFormatting>
  <conditionalFormatting sqref="K619">
    <cfRule type="containsText" dxfId="12290" priority="12297" operator="containsText" text="Reasignación">
      <formula>NOT(ISERROR(SEARCH("Reasignación",K619)))</formula>
    </cfRule>
    <cfRule type="containsText" dxfId="12289" priority="12298" operator="containsText" text="RECHAZADA">
      <formula>NOT(ISERROR(SEARCH("RECHAZADA",K619)))</formula>
    </cfRule>
    <cfRule type="containsText" dxfId="12288" priority="12299" operator="containsText" text="Atendida">
      <formula>NOT(ISERROR(SEARCH("Atendida",K619)))</formula>
    </cfRule>
  </conditionalFormatting>
  <conditionalFormatting sqref="K619">
    <cfRule type="containsText" dxfId="12287" priority="12291" operator="containsText" text="Reasignación">
      <formula>NOT(ISERROR(SEARCH("Reasignación",K619)))</formula>
    </cfRule>
    <cfRule type="containsText" dxfId="12286" priority="12292" operator="containsText" text="RECHAZADA">
      <formula>NOT(ISERROR(SEARCH("RECHAZADA",K619)))</formula>
    </cfRule>
    <cfRule type="containsText" dxfId="12285" priority="12293" operator="containsText" text="Atendida">
      <formula>NOT(ISERROR(SEARCH("Atendida",K619)))</formula>
    </cfRule>
  </conditionalFormatting>
  <conditionalFormatting sqref="K619">
    <cfRule type="containsText" dxfId="12284" priority="12288" operator="containsText" text="Reasignación">
      <formula>NOT(ISERROR(SEARCH("Reasignación",K619)))</formula>
    </cfRule>
    <cfRule type="containsText" dxfId="12283" priority="12289" operator="containsText" text="RECHAZADA">
      <formula>NOT(ISERROR(SEARCH("RECHAZADA",K619)))</formula>
    </cfRule>
    <cfRule type="containsText" dxfId="12282" priority="12290" operator="containsText" text="Atendida">
      <formula>NOT(ISERROR(SEARCH("Atendida",K619)))</formula>
    </cfRule>
  </conditionalFormatting>
  <conditionalFormatting sqref="K619">
    <cfRule type="containsText" dxfId="12281" priority="12294" operator="containsText" text="Reasignación">
      <formula>NOT(ISERROR(SEARCH("Reasignación",K619)))</formula>
    </cfRule>
    <cfRule type="containsText" dxfId="12280" priority="12295" operator="containsText" text="RECHAZADA">
      <formula>NOT(ISERROR(SEARCH("RECHAZADA",K619)))</formula>
    </cfRule>
    <cfRule type="containsText" dxfId="12279" priority="12296" operator="containsText" text="Atendida">
      <formula>NOT(ISERROR(SEARCH("Atendida",K619)))</formula>
    </cfRule>
  </conditionalFormatting>
  <conditionalFormatting sqref="B620">
    <cfRule type="duplicateValues" dxfId="12278" priority="12287"/>
  </conditionalFormatting>
  <conditionalFormatting sqref="M620">
    <cfRule type="containsText" dxfId="12277" priority="12283" operator="containsText" text="OBSERVADO">
      <formula>NOT(ISERROR(SEARCH("OBSERVADO",M620)))</formula>
    </cfRule>
    <cfRule type="containsText" dxfId="12276" priority="12284" operator="containsText" text="CONFORME">
      <formula>NOT(ISERROR(SEARCH("CONFORME",M620)))</formula>
    </cfRule>
    <cfRule type="containsText" dxfId="12275" priority="12285" operator="containsText" text="RECHAZADA">
      <formula>NOT(ISERROR(SEARCH("RECHAZADA",M620)))</formula>
    </cfRule>
    <cfRule type="containsText" dxfId="12274" priority="12286" operator="containsText" text="Atendida">
      <formula>NOT(ISERROR(SEARCH("Atendida",M620)))</formula>
    </cfRule>
  </conditionalFormatting>
  <conditionalFormatting sqref="K620">
    <cfRule type="containsText" dxfId="12273" priority="12274" operator="containsText" text="Reasignación">
      <formula>NOT(ISERROR(SEARCH("Reasignación",K620)))</formula>
    </cfRule>
    <cfRule type="containsText" dxfId="12272" priority="12275" operator="containsText" text="RECHAZADA">
      <formula>NOT(ISERROR(SEARCH("RECHAZADA",K620)))</formula>
    </cfRule>
    <cfRule type="containsText" dxfId="12271" priority="12276" operator="containsText" text="Atendida">
      <formula>NOT(ISERROR(SEARCH("Atendida",K620)))</formula>
    </cfRule>
  </conditionalFormatting>
  <conditionalFormatting sqref="K620">
    <cfRule type="containsText" dxfId="12270" priority="12271" operator="containsText" text="Reasignación">
      <formula>NOT(ISERROR(SEARCH("Reasignación",K620)))</formula>
    </cfRule>
    <cfRule type="containsText" dxfId="12269" priority="12272" operator="containsText" text="RECHAZADA">
      <formula>NOT(ISERROR(SEARCH("RECHAZADA",K620)))</formula>
    </cfRule>
    <cfRule type="containsText" dxfId="12268" priority="12273" operator="containsText" text="Atendida">
      <formula>NOT(ISERROR(SEARCH("Atendida",K620)))</formula>
    </cfRule>
  </conditionalFormatting>
  <conditionalFormatting sqref="K620">
    <cfRule type="containsText" dxfId="12267" priority="12268" operator="containsText" text="Reasignación">
      <formula>NOT(ISERROR(SEARCH("Reasignación",K620)))</formula>
    </cfRule>
    <cfRule type="containsText" dxfId="12266" priority="12269" operator="containsText" text="RECHAZADA">
      <formula>NOT(ISERROR(SEARCH("RECHAZADA",K620)))</formula>
    </cfRule>
    <cfRule type="containsText" dxfId="12265" priority="12270" operator="containsText" text="Atendida">
      <formula>NOT(ISERROR(SEARCH("Atendida",K620)))</formula>
    </cfRule>
  </conditionalFormatting>
  <conditionalFormatting sqref="K620">
    <cfRule type="containsText" dxfId="12264" priority="12280" operator="containsText" text="Reasignación">
      <formula>NOT(ISERROR(SEARCH("Reasignación",K620)))</formula>
    </cfRule>
    <cfRule type="containsText" dxfId="12263" priority="12281" operator="containsText" text="RECHAZADA">
      <formula>NOT(ISERROR(SEARCH("RECHAZADA",K620)))</formula>
    </cfRule>
    <cfRule type="containsText" dxfId="12262" priority="12282" operator="containsText" text="Atendida">
      <formula>NOT(ISERROR(SEARCH("Atendida",K620)))</formula>
    </cfRule>
  </conditionalFormatting>
  <conditionalFormatting sqref="K620">
    <cfRule type="containsText" dxfId="12261" priority="12277" operator="containsText" text="Reasignación">
      <formula>NOT(ISERROR(SEARCH("Reasignación",K620)))</formula>
    </cfRule>
    <cfRule type="containsText" dxfId="12260" priority="12278" operator="containsText" text="RECHAZADA">
      <formula>NOT(ISERROR(SEARCH("RECHAZADA",K620)))</formula>
    </cfRule>
    <cfRule type="containsText" dxfId="12259" priority="12279" operator="containsText" text="Atendida">
      <formula>NOT(ISERROR(SEARCH("Atendida",K620)))</formula>
    </cfRule>
  </conditionalFormatting>
  <conditionalFormatting sqref="B624 B621:B622">
    <cfRule type="duplicateValues" dxfId="12258" priority="12267"/>
  </conditionalFormatting>
  <conditionalFormatting sqref="M624 M621:M622">
    <cfRule type="containsText" dxfId="12257" priority="12263" operator="containsText" text="OBSERVADO">
      <formula>NOT(ISERROR(SEARCH("OBSERVADO",M621)))</formula>
    </cfRule>
    <cfRule type="containsText" dxfId="12256" priority="12264" operator="containsText" text="CONFORME">
      <formula>NOT(ISERROR(SEARCH("CONFORME",M621)))</formula>
    </cfRule>
    <cfRule type="containsText" dxfId="12255" priority="12265" operator="containsText" text="RECHAZADA">
      <formula>NOT(ISERROR(SEARCH("RECHAZADA",M621)))</formula>
    </cfRule>
    <cfRule type="containsText" dxfId="12254" priority="12266" operator="containsText" text="Atendida">
      <formula>NOT(ISERROR(SEARCH("Atendida",M621)))</formula>
    </cfRule>
  </conditionalFormatting>
  <conditionalFormatting sqref="K621">
    <cfRule type="containsText" dxfId="12253" priority="12257" operator="containsText" text="Reasignación">
      <formula>NOT(ISERROR(SEARCH("Reasignación",K621)))</formula>
    </cfRule>
    <cfRule type="containsText" dxfId="12252" priority="12258" operator="containsText" text="RECHAZADA">
      <formula>NOT(ISERROR(SEARCH("RECHAZADA",K621)))</formula>
    </cfRule>
    <cfRule type="containsText" dxfId="12251" priority="12259" operator="containsText" text="Atendida">
      <formula>NOT(ISERROR(SEARCH("Atendida",K621)))</formula>
    </cfRule>
  </conditionalFormatting>
  <conditionalFormatting sqref="K621">
    <cfRule type="containsText" dxfId="12250" priority="12251" operator="containsText" text="Reasignación">
      <formula>NOT(ISERROR(SEARCH("Reasignación",K621)))</formula>
    </cfRule>
    <cfRule type="containsText" dxfId="12249" priority="12252" operator="containsText" text="RECHAZADA">
      <formula>NOT(ISERROR(SEARCH("RECHAZADA",K621)))</formula>
    </cfRule>
    <cfRule type="containsText" dxfId="12248" priority="12253" operator="containsText" text="Atendida">
      <formula>NOT(ISERROR(SEARCH("Atendida",K621)))</formula>
    </cfRule>
  </conditionalFormatting>
  <conditionalFormatting sqref="K621">
    <cfRule type="containsText" dxfId="12247" priority="12248" operator="containsText" text="Reasignación">
      <formula>NOT(ISERROR(SEARCH("Reasignación",K621)))</formula>
    </cfRule>
    <cfRule type="containsText" dxfId="12246" priority="12249" operator="containsText" text="RECHAZADA">
      <formula>NOT(ISERROR(SEARCH("RECHAZADA",K621)))</formula>
    </cfRule>
    <cfRule type="containsText" dxfId="12245" priority="12250" operator="containsText" text="Atendida">
      <formula>NOT(ISERROR(SEARCH("Atendida",K621)))</formula>
    </cfRule>
  </conditionalFormatting>
  <conditionalFormatting sqref="K621">
    <cfRule type="containsText" dxfId="12244" priority="12254" operator="containsText" text="Reasignación">
      <formula>NOT(ISERROR(SEARCH("Reasignación",K621)))</formula>
    </cfRule>
    <cfRule type="containsText" dxfId="12243" priority="12255" operator="containsText" text="RECHAZADA">
      <formula>NOT(ISERROR(SEARCH("RECHAZADA",K621)))</formula>
    </cfRule>
    <cfRule type="containsText" dxfId="12242" priority="12256" operator="containsText" text="Atendida">
      <formula>NOT(ISERROR(SEARCH("Atendida",K621)))</formula>
    </cfRule>
  </conditionalFormatting>
  <conditionalFormatting sqref="K621">
    <cfRule type="containsText" dxfId="12241" priority="12260" operator="containsText" text="Reasignación">
      <formula>NOT(ISERROR(SEARCH("Reasignación",K621)))</formula>
    </cfRule>
    <cfRule type="containsText" dxfId="12240" priority="12261" operator="containsText" text="RECHAZADA">
      <formula>NOT(ISERROR(SEARCH("RECHAZADA",K621)))</formula>
    </cfRule>
    <cfRule type="containsText" dxfId="12239" priority="12262" operator="containsText" text="Atendida">
      <formula>NOT(ISERROR(SEARCH("Atendida",K621)))</formula>
    </cfRule>
  </conditionalFormatting>
  <conditionalFormatting sqref="K622">
    <cfRule type="containsText" dxfId="12238" priority="12242" operator="containsText" text="Reasignación">
      <formula>NOT(ISERROR(SEARCH("Reasignación",K622)))</formula>
    </cfRule>
    <cfRule type="containsText" dxfId="12237" priority="12243" operator="containsText" text="RECHAZADA">
      <formula>NOT(ISERROR(SEARCH("RECHAZADA",K622)))</formula>
    </cfRule>
    <cfRule type="containsText" dxfId="12236" priority="12244" operator="containsText" text="Atendida">
      <formula>NOT(ISERROR(SEARCH("Atendida",K622)))</formula>
    </cfRule>
  </conditionalFormatting>
  <conditionalFormatting sqref="K622">
    <cfRule type="containsText" dxfId="12235" priority="12236" operator="containsText" text="Reasignación">
      <formula>NOT(ISERROR(SEARCH("Reasignación",K622)))</formula>
    </cfRule>
    <cfRule type="containsText" dxfId="12234" priority="12237" operator="containsText" text="RECHAZADA">
      <formula>NOT(ISERROR(SEARCH("RECHAZADA",K622)))</formula>
    </cfRule>
    <cfRule type="containsText" dxfId="12233" priority="12238" operator="containsText" text="Atendida">
      <formula>NOT(ISERROR(SEARCH("Atendida",K622)))</formula>
    </cfRule>
  </conditionalFormatting>
  <conditionalFormatting sqref="K622">
    <cfRule type="containsText" dxfId="12232" priority="12233" operator="containsText" text="Reasignación">
      <formula>NOT(ISERROR(SEARCH("Reasignación",K622)))</formula>
    </cfRule>
    <cfRule type="containsText" dxfId="12231" priority="12234" operator="containsText" text="RECHAZADA">
      <formula>NOT(ISERROR(SEARCH("RECHAZADA",K622)))</formula>
    </cfRule>
    <cfRule type="containsText" dxfId="12230" priority="12235" operator="containsText" text="Atendida">
      <formula>NOT(ISERROR(SEARCH("Atendida",K622)))</formula>
    </cfRule>
  </conditionalFormatting>
  <conditionalFormatting sqref="K622">
    <cfRule type="containsText" dxfId="12229" priority="12239" operator="containsText" text="Reasignación">
      <formula>NOT(ISERROR(SEARCH("Reasignación",K622)))</formula>
    </cfRule>
    <cfRule type="containsText" dxfId="12228" priority="12240" operator="containsText" text="RECHAZADA">
      <formula>NOT(ISERROR(SEARCH("RECHAZADA",K622)))</formula>
    </cfRule>
    <cfRule type="containsText" dxfId="12227" priority="12241" operator="containsText" text="Atendida">
      <formula>NOT(ISERROR(SEARCH("Atendida",K622)))</formula>
    </cfRule>
  </conditionalFormatting>
  <conditionalFormatting sqref="K622">
    <cfRule type="containsText" dxfId="12226" priority="12245" operator="containsText" text="Reasignación">
      <formula>NOT(ISERROR(SEARCH("Reasignación",K622)))</formula>
    </cfRule>
    <cfRule type="containsText" dxfId="12225" priority="12246" operator="containsText" text="RECHAZADA">
      <formula>NOT(ISERROR(SEARCH("RECHAZADA",K622)))</formula>
    </cfRule>
    <cfRule type="containsText" dxfId="12224" priority="12247" operator="containsText" text="Atendida">
      <formula>NOT(ISERROR(SEARCH("Atendida",K622)))</formula>
    </cfRule>
  </conditionalFormatting>
  <conditionalFormatting sqref="B623">
    <cfRule type="duplicateValues" dxfId="12223" priority="12232"/>
  </conditionalFormatting>
  <conditionalFormatting sqref="M623">
    <cfRule type="containsText" dxfId="12222" priority="12228" operator="containsText" text="OBSERVADO">
      <formula>NOT(ISERROR(SEARCH("OBSERVADO",M623)))</formula>
    </cfRule>
    <cfRule type="containsText" dxfId="12221" priority="12229" operator="containsText" text="CONFORME">
      <formula>NOT(ISERROR(SEARCH("CONFORME",M623)))</formula>
    </cfRule>
    <cfRule type="containsText" dxfId="12220" priority="12230" operator="containsText" text="RECHAZADA">
      <formula>NOT(ISERROR(SEARCH("RECHAZADA",M623)))</formula>
    </cfRule>
    <cfRule type="containsText" dxfId="12219" priority="12231" operator="containsText" text="Atendida">
      <formula>NOT(ISERROR(SEARCH("Atendida",M623)))</formula>
    </cfRule>
  </conditionalFormatting>
  <conditionalFormatting sqref="K623">
    <cfRule type="containsText" dxfId="12218" priority="12222" operator="containsText" text="Reasignación">
      <formula>NOT(ISERROR(SEARCH("Reasignación",K623)))</formula>
    </cfRule>
    <cfRule type="containsText" dxfId="12217" priority="12223" operator="containsText" text="RECHAZADA">
      <formula>NOT(ISERROR(SEARCH("RECHAZADA",K623)))</formula>
    </cfRule>
    <cfRule type="containsText" dxfId="12216" priority="12224" operator="containsText" text="Atendida">
      <formula>NOT(ISERROR(SEARCH("Atendida",K623)))</formula>
    </cfRule>
  </conditionalFormatting>
  <conditionalFormatting sqref="K623">
    <cfRule type="containsText" dxfId="12215" priority="12216" operator="containsText" text="Reasignación">
      <formula>NOT(ISERROR(SEARCH("Reasignación",K623)))</formula>
    </cfRule>
    <cfRule type="containsText" dxfId="12214" priority="12217" operator="containsText" text="RECHAZADA">
      <formula>NOT(ISERROR(SEARCH("RECHAZADA",K623)))</formula>
    </cfRule>
    <cfRule type="containsText" dxfId="12213" priority="12218" operator="containsText" text="Atendida">
      <formula>NOT(ISERROR(SEARCH("Atendida",K623)))</formula>
    </cfRule>
  </conditionalFormatting>
  <conditionalFormatting sqref="K623">
    <cfRule type="containsText" dxfId="12212" priority="12213" operator="containsText" text="Reasignación">
      <formula>NOT(ISERROR(SEARCH("Reasignación",K623)))</formula>
    </cfRule>
    <cfRule type="containsText" dxfId="12211" priority="12214" operator="containsText" text="RECHAZADA">
      <formula>NOT(ISERROR(SEARCH("RECHAZADA",K623)))</formula>
    </cfRule>
    <cfRule type="containsText" dxfId="12210" priority="12215" operator="containsText" text="Atendida">
      <formula>NOT(ISERROR(SEARCH("Atendida",K623)))</formula>
    </cfRule>
  </conditionalFormatting>
  <conditionalFormatting sqref="K623">
    <cfRule type="containsText" dxfId="12209" priority="12219" operator="containsText" text="Reasignación">
      <formula>NOT(ISERROR(SEARCH("Reasignación",K623)))</formula>
    </cfRule>
    <cfRule type="containsText" dxfId="12208" priority="12220" operator="containsText" text="RECHAZADA">
      <formula>NOT(ISERROR(SEARCH("RECHAZADA",K623)))</formula>
    </cfRule>
    <cfRule type="containsText" dxfId="12207" priority="12221" operator="containsText" text="Atendida">
      <formula>NOT(ISERROR(SEARCH("Atendida",K623)))</formula>
    </cfRule>
  </conditionalFormatting>
  <conditionalFormatting sqref="K623">
    <cfRule type="containsText" dxfId="12206" priority="12225" operator="containsText" text="Reasignación">
      <formula>NOT(ISERROR(SEARCH("Reasignación",K623)))</formula>
    </cfRule>
    <cfRule type="containsText" dxfId="12205" priority="12226" operator="containsText" text="RECHAZADA">
      <formula>NOT(ISERROR(SEARCH("RECHAZADA",K623)))</formula>
    </cfRule>
    <cfRule type="containsText" dxfId="12204" priority="12227" operator="containsText" text="Atendida">
      <formula>NOT(ISERROR(SEARCH("Atendida",K623)))</formula>
    </cfRule>
  </conditionalFormatting>
  <conditionalFormatting sqref="K624">
    <cfRule type="containsText" dxfId="12203" priority="12207" operator="containsText" text="Reasignación">
      <formula>NOT(ISERROR(SEARCH("Reasignación",K624)))</formula>
    </cfRule>
    <cfRule type="containsText" dxfId="12202" priority="12208" operator="containsText" text="RECHAZADA">
      <formula>NOT(ISERROR(SEARCH("RECHAZADA",K624)))</formula>
    </cfRule>
    <cfRule type="containsText" dxfId="12201" priority="12209" operator="containsText" text="Atendida">
      <formula>NOT(ISERROR(SEARCH("Atendida",K624)))</formula>
    </cfRule>
  </conditionalFormatting>
  <conditionalFormatting sqref="K624">
    <cfRule type="containsText" dxfId="12200" priority="12201" operator="containsText" text="Reasignación">
      <formula>NOT(ISERROR(SEARCH("Reasignación",K624)))</formula>
    </cfRule>
    <cfRule type="containsText" dxfId="12199" priority="12202" operator="containsText" text="RECHAZADA">
      <formula>NOT(ISERROR(SEARCH("RECHAZADA",K624)))</formula>
    </cfRule>
    <cfRule type="containsText" dxfId="12198" priority="12203" operator="containsText" text="Atendida">
      <formula>NOT(ISERROR(SEARCH("Atendida",K624)))</formula>
    </cfRule>
  </conditionalFormatting>
  <conditionalFormatting sqref="K624">
    <cfRule type="containsText" dxfId="12197" priority="12198" operator="containsText" text="Reasignación">
      <formula>NOT(ISERROR(SEARCH("Reasignación",K624)))</formula>
    </cfRule>
    <cfRule type="containsText" dxfId="12196" priority="12199" operator="containsText" text="RECHAZADA">
      <formula>NOT(ISERROR(SEARCH("RECHAZADA",K624)))</formula>
    </cfRule>
    <cfRule type="containsText" dxfId="12195" priority="12200" operator="containsText" text="Atendida">
      <formula>NOT(ISERROR(SEARCH("Atendida",K624)))</formula>
    </cfRule>
  </conditionalFormatting>
  <conditionalFormatting sqref="K624">
    <cfRule type="containsText" dxfId="12194" priority="12204" operator="containsText" text="Reasignación">
      <formula>NOT(ISERROR(SEARCH("Reasignación",K624)))</formula>
    </cfRule>
    <cfRule type="containsText" dxfId="12193" priority="12205" operator="containsText" text="RECHAZADA">
      <formula>NOT(ISERROR(SEARCH("RECHAZADA",K624)))</formula>
    </cfRule>
    <cfRule type="containsText" dxfId="12192" priority="12206" operator="containsText" text="Atendida">
      <formula>NOT(ISERROR(SEARCH("Atendida",K624)))</formula>
    </cfRule>
  </conditionalFormatting>
  <conditionalFormatting sqref="K624">
    <cfRule type="containsText" dxfId="12191" priority="12210" operator="containsText" text="Reasignación">
      <formula>NOT(ISERROR(SEARCH("Reasignación",K624)))</formula>
    </cfRule>
    <cfRule type="containsText" dxfId="12190" priority="12211" operator="containsText" text="RECHAZADA">
      <formula>NOT(ISERROR(SEARCH("RECHAZADA",K624)))</formula>
    </cfRule>
    <cfRule type="containsText" dxfId="12189" priority="12212" operator="containsText" text="Atendida">
      <formula>NOT(ISERROR(SEARCH("Atendida",K624)))</formula>
    </cfRule>
  </conditionalFormatting>
  <conditionalFormatting sqref="B627 B625">
    <cfRule type="duplicateValues" dxfId="12188" priority="12197"/>
  </conditionalFormatting>
  <conditionalFormatting sqref="K625">
    <cfRule type="containsText" dxfId="12187" priority="12194" operator="containsText" text="Reasignación">
      <formula>NOT(ISERROR(SEARCH("Reasignación",K625)))</formula>
    </cfRule>
    <cfRule type="containsText" dxfId="12186" priority="12195" operator="containsText" text="RECHAZADA">
      <formula>NOT(ISERROR(SEARCH("RECHAZADA",K625)))</formula>
    </cfRule>
    <cfRule type="containsText" dxfId="12185" priority="12196" operator="containsText" text="Atendida">
      <formula>NOT(ISERROR(SEARCH("Atendida",K625)))</formula>
    </cfRule>
  </conditionalFormatting>
  <conditionalFormatting sqref="M627 M625">
    <cfRule type="containsText" dxfId="12184" priority="12190" operator="containsText" text="OBSERVADO">
      <formula>NOT(ISERROR(SEARCH("OBSERVADO",M625)))</formula>
    </cfRule>
    <cfRule type="containsText" dxfId="12183" priority="12191" operator="containsText" text="CONFORME">
      <formula>NOT(ISERROR(SEARCH("CONFORME",M625)))</formula>
    </cfRule>
    <cfRule type="containsText" dxfId="12182" priority="12192" operator="containsText" text="RECHAZADA">
      <formula>NOT(ISERROR(SEARCH("RECHAZADA",M625)))</formula>
    </cfRule>
    <cfRule type="containsText" dxfId="12181" priority="12193" operator="containsText" text="Atendida">
      <formula>NOT(ISERROR(SEARCH("Atendida",M625)))</formula>
    </cfRule>
  </conditionalFormatting>
  <conditionalFormatting sqref="K625">
    <cfRule type="containsText" dxfId="12180" priority="12187" operator="containsText" text="Reasignación">
      <formula>NOT(ISERROR(SEARCH("Reasignación",K625)))</formula>
    </cfRule>
    <cfRule type="containsText" dxfId="12179" priority="12188" operator="containsText" text="RECHAZADA">
      <formula>NOT(ISERROR(SEARCH("RECHAZADA",K625)))</formula>
    </cfRule>
    <cfRule type="containsText" dxfId="12178" priority="12189" operator="containsText" text="Atendida">
      <formula>NOT(ISERROR(SEARCH("Atendida",K625)))</formula>
    </cfRule>
  </conditionalFormatting>
  <conditionalFormatting sqref="K625">
    <cfRule type="containsText" dxfId="12177" priority="12181" operator="containsText" text="Reasignación">
      <formula>NOT(ISERROR(SEARCH("Reasignación",K625)))</formula>
    </cfRule>
    <cfRule type="containsText" dxfId="12176" priority="12182" operator="containsText" text="RECHAZADA">
      <formula>NOT(ISERROR(SEARCH("RECHAZADA",K625)))</formula>
    </cfRule>
    <cfRule type="containsText" dxfId="12175" priority="12183" operator="containsText" text="Atendida">
      <formula>NOT(ISERROR(SEARCH("Atendida",K625)))</formula>
    </cfRule>
  </conditionalFormatting>
  <conditionalFormatting sqref="K625">
    <cfRule type="containsText" dxfId="12174" priority="12178" operator="containsText" text="Reasignación">
      <formula>NOT(ISERROR(SEARCH("Reasignación",K625)))</formula>
    </cfRule>
    <cfRule type="containsText" dxfId="12173" priority="12179" operator="containsText" text="RECHAZADA">
      <formula>NOT(ISERROR(SEARCH("RECHAZADA",K625)))</formula>
    </cfRule>
    <cfRule type="containsText" dxfId="12172" priority="12180" operator="containsText" text="Atendida">
      <formula>NOT(ISERROR(SEARCH("Atendida",K625)))</formula>
    </cfRule>
  </conditionalFormatting>
  <conditionalFormatting sqref="K625">
    <cfRule type="containsText" dxfId="12171" priority="12184" operator="containsText" text="Reasignación">
      <formula>NOT(ISERROR(SEARCH("Reasignación",K625)))</formula>
    </cfRule>
    <cfRule type="containsText" dxfId="12170" priority="12185" operator="containsText" text="RECHAZADA">
      <formula>NOT(ISERROR(SEARCH("RECHAZADA",K625)))</formula>
    </cfRule>
    <cfRule type="containsText" dxfId="12169" priority="12186" operator="containsText" text="Atendida">
      <formula>NOT(ISERROR(SEARCH("Atendida",K625)))</formula>
    </cfRule>
  </conditionalFormatting>
  <conditionalFormatting sqref="K626">
    <cfRule type="containsText" dxfId="12168" priority="12167" operator="containsText" text="Reasignación">
      <formula>NOT(ISERROR(SEARCH("Reasignación",K626)))</formula>
    </cfRule>
    <cfRule type="containsText" dxfId="12167" priority="12168" operator="containsText" text="RECHAZADA">
      <formula>NOT(ISERROR(SEARCH("RECHAZADA",K626)))</formula>
    </cfRule>
    <cfRule type="containsText" dxfId="12166" priority="12169" operator="containsText" text="Atendida">
      <formula>NOT(ISERROR(SEARCH("Atendida",K626)))</formula>
    </cfRule>
  </conditionalFormatting>
  <conditionalFormatting sqref="K626">
    <cfRule type="containsText" dxfId="12165" priority="12161" operator="containsText" text="Reasignación">
      <formula>NOT(ISERROR(SEARCH("Reasignación",K626)))</formula>
    </cfRule>
    <cfRule type="containsText" dxfId="12164" priority="12162" operator="containsText" text="RECHAZADA">
      <formula>NOT(ISERROR(SEARCH("RECHAZADA",K626)))</formula>
    </cfRule>
    <cfRule type="containsText" dxfId="12163" priority="12163" operator="containsText" text="Atendida">
      <formula>NOT(ISERROR(SEARCH("Atendida",K626)))</formula>
    </cfRule>
  </conditionalFormatting>
  <conditionalFormatting sqref="K626">
    <cfRule type="containsText" dxfId="12162" priority="12158" operator="containsText" text="Reasignación">
      <formula>NOT(ISERROR(SEARCH("Reasignación",K626)))</formula>
    </cfRule>
    <cfRule type="containsText" dxfId="12161" priority="12159" operator="containsText" text="RECHAZADA">
      <formula>NOT(ISERROR(SEARCH("RECHAZADA",K626)))</formula>
    </cfRule>
    <cfRule type="containsText" dxfId="12160" priority="12160" operator="containsText" text="Atendida">
      <formula>NOT(ISERROR(SEARCH("Atendida",K626)))</formula>
    </cfRule>
  </conditionalFormatting>
  <conditionalFormatting sqref="K626">
    <cfRule type="containsText" dxfId="12159" priority="12164" operator="containsText" text="Reasignación">
      <formula>NOT(ISERROR(SEARCH("Reasignación",K626)))</formula>
    </cfRule>
    <cfRule type="containsText" dxfId="12158" priority="12165" operator="containsText" text="RECHAZADA">
      <formula>NOT(ISERROR(SEARCH("RECHAZADA",K626)))</formula>
    </cfRule>
    <cfRule type="containsText" dxfId="12157" priority="12166" operator="containsText" text="Atendida">
      <formula>NOT(ISERROR(SEARCH("Atendida",K626)))</formula>
    </cfRule>
  </conditionalFormatting>
  <conditionalFormatting sqref="K626">
    <cfRule type="containsText" dxfId="12156" priority="12170" operator="containsText" text="Reasignación">
      <formula>NOT(ISERROR(SEARCH("Reasignación",K626)))</formula>
    </cfRule>
    <cfRule type="containsText" dxfId="12155" priority="12171" operator="containsText" text="RECHAZADA">
      <formula>NOT(ISERROR(SEARCH("RECHAZADA",K626)))</formula>
    </cfRule>
    <cfRule type="containsText" dxfId="12154" priority="12172" operator="containsText" text="Atendida">
      <formula>NOT(ISERROR(SEARCH("Atendida",K626)))</formula>
    </cfRule>
  </conditionalFormatting>
  <conditionalFormatting sqref="B626">
    <cfRule type="duplicateValues" dxfId="12153" priority="12177"/>
  </conditionalFormatting>
  <conditionalFormatting sqref="M626">
    <cfRule type="containsText" dxfId="12152" priority="12173" operator="containsText" text="OBSERVADO">
      <formula>NOT(ISERROR(SEARCH("OBSERVADO",M626)))</formula>
    </cfRule>
    <cfRule type="containsText" dxfId="12151" priority="12174" operator="containsText" text="CONFORME">
      <formula>NOT(ISERROR(SEARCH("CONFORME",M626)))</formula>
    </cfRule>
    <cfRule type="containsText" dxfId="12150" priority="12175" operator="containsText" text="RECHAZADA">
      <formula>NOT(ISERROR(SEARCH("RECHAZADA",M626)))</formula>
    </cfRule>
    <cfRule type="containsText" dxfId="12149" priority="12176" operator="containsText" text="Atendida">
      <formula>NOT(ISERROR(SEARCH("Atendida",M626)))</formula>
    </cfRule>
  </conditionalFormatting>
  <conditionalFormatting sqref="K627">
    <cfRule type="containsText" dxfId="12148" priority="12152" operator="containsText" text="Reasignación">
      <formula>NOT(ISERROR(SEARCH("Reasignación",K627)))</formula>
    </cfRule>
    <cfRule type="containsText" dxfId="12147" priority="12153" operator="containsText" text="RECHAZADA">
      <formula>NOT(ISERROR(SEARCH("RECHAZADA",K627)))</formula>
    </cfRule>
    <cfRule type="containsText" dxfId="12146" priority="12154" operator="containsText" text="Atendida">
      <formula>NOT(ISERROR(SEARCH("Atendida",K627)))</formula>
    </cfRule>
  </conditionalFormatting>
  <conditionalFormatting sqref="K627">
    <cfRule type="containsText" dxfId="12145" priority="12146" operator="containsText" text="Reasignación">
      <formula>NOT(ISERROR(SEARCH("Reasignación",K627)))</formula>
    </cfRule>
    <cfRule type="containsText" dxfId="12144" priority="12147" operator="containsText" text="RECHAZADA">
      <formula>NOT(ISERROR(SEARCH("RECHAZADA",K627)))</formula>
    </cfRule>
    <cfRule type="containsText" dxfId="12143" priority="12148" operator="containsText" text="Atendida">
      <formula>NOT(ISERROR(SEARCH("Atendida",K627)))</formula>
    </cfRule>
  </conditionalFormatting>
  <conditionalFormatting sqref="K627">
    <cfRule type="containsText" dxfId="12142" priority="12143" operator="containsText" text="Reasignación">
      <formula>NOT(ISERROR(SEARCH("Reasignación",K627)))</formula>
    </cfRule>
    <cfRule type="containsText" dxfId="12141" priority="12144" operator="containsText" text="RECHAZADA">
      <formula>NOT(ISERROR(SEARCH("RECHAZADA",K627)))</formula>
    </cfRule>
    <cfRule type="containsText" dxfId="12140" priority="12145" operator="containsText" text="Atendida">
      <formula>NOT(ISERROR(SEARCH("Atendida",K627)))</formula>
    </cfRule>
  </conditionalFormatting>
  <conditionalFormatting sqref="K627">
    <cfRule type="containsText" dxfId="12139" priority="12149" operator="containsText" text="Reasignación">
      <formula>NOT(ISERROR(SEARCH("Reasignación",K627)))</formula>
    </cfRule>
    <cfRule type="containsText" dxfId="12138" priority="12150" operator="containsText" text="RECHAZADA">
      <formula>NOT(ISERROR(SEARCH("RECHAZADA",K627)))</formula>
    </cfRule>
    <cfRule type="containsText" dxfId="12137" priority="12151" operator="containsText" text="Atendida">
      <formula>NOT(ISERROR(SEARCH("Atendida",K627)))</formula>
    </cfRule>
  </conditionalFormatting>
  <conditionalFormatting sqref="K627">
    <cfRule type="containsText" dxfId="12136" priority="12155" operator="containsText" text="Reasignación">
      <formula>NOT(ISERROR(SEARCH("Reasignación",K627)))</formula>
    </cfRule>
    <cfRule type="containsText" dxfId="12135" priority="12156" operator="containsText" text="RECHAZADA">
      <formula>NOT(ISERROR(SEARCH("RECHAZADA",K627)))</formula>
    </cfRule>
    <cfRule type="containsText" dxfId="12134" priority="12157" operator="containsText" text="Atendida">
      <formula>NOT(ISERROR(SEARCH("Atendida",K627)))</formula>
    </cfRule>
  </conditionalFormatting>
  <conditionalFormatting sqref="B628:B629">
    <cfRule type="duplicateValues" dxfId="12133" priority="12142"/>
  </conditionalFormatting>
  <conditionalFormatting sqref="M628:M629">
    <cfRule type="containsText" dxfId="12132" priority="12138" operator="containsText" text="OBSERVADO">
      <formula>NOT(ISERROR(SEARCH("OBSERVADO",M628)))</formula>
    </cfRule>
    <cfRule type="containsText" dxfId="12131" priority="12139" operator="containsText" text="CONFORME">
      <formula>NOT(ISERROR(SEARCH("CONFORME",M628)))</formula>
    </cfRule>
    <cfRule type="containsText" dxfId="12130" priority="12140" operator="containsText" text="RECHAZADA">
      <formula>NOT(ISERROR(SEARCH("RECHAZADA",M628)))</formula>
    </cfRule>
    <cfRule type="containsText" dxfId="12129" priority="12141" operator="containsText" text="Atendida">
      <formula>NOT(ISERROR(SEARCH("Atendida",M628)))</formula>
    </cfRule>
  </conditionalFormatting>
  <conditionalFormatting sqref="K628">
    <cfRule type="containsText" dxfId="12128" priority="12132" operator="containsText" text="Reasignación">
      <formula>NOT(ISERROR(SEARCH("Reasignación",K628)))</formula>
    </cfRule>
    <cfRule type="containsText" dxfId="12127" priority="12133" operator="containsText" text="RECHAZADA">
      <formula>NOT(ISERROR(SEARCH("RECHAZADA",K628)))</formula>
    </cfRule>
    <cfRule type="containsText" dxfId="12126" priority="12134" operator="containsText" text="Atendida">
      <formula>NOT(ISERROR(SEARCH("Atendida",K628)))</formula>
    </cfRule>
  </conditionalFormatting>
  <conditionalFormatting sqref="K628">
    <cfRule type="containsText" dxfId="12125" priority="12126" operator="containsText" text="Reasignación">
      <formula>NOT(ISERROR(SEARCH("Reasignación",K628)))</formula>
    </cfRule>
    <cfRule type="containsText" dxfId="12124" priority="12127" operator="containsText" text="RECHAZADA">
      <formula>NOT(ISERROR(SEARCH("RECHAZADA",K628)))</formula>
    </cfRule>
    <cfRule type="containsText" dxfId="12123" priority="12128" operator="containsText" text="Atendida">
      <formula>NOT(ISERROR(SEARCH("Atendida",K628)))</formula>
    </cfRule>
  </conditionalFormatting>
  <conditionalFormatting sqref="K628">
    <cfRule type="containsText" dxfId="12122" priority="12123" operator="containsText" text="Reasignación">
      <formula>NOT(ISERROR(SEARCH("Reasignación",K628)))</formula>
    </cfRule>
    <cfRule type="containsText" dxfId="12121" priority="12124" operator="containsText" text="RECHAZADA">
      <formula>NOT(ISERROR(SEARCH("RECHAZADA",K628)))</formula>
    </cfRule>
    <cfRule type="containsText" dxfId="12120" priority="12125" operator="containsText" text="Atendida">
      <formula>NOT(ISERROR(SEARCH("Atendida",K628)))</formula>
    </cfRule>
  </conditionalFormatting>
  <conditionalFormatting sqref="K628">
    <cfRule type="containsText" dxfId="12119" priority="12129" operator="containsText" text="Reasignación">
      <formula>NOT(ISERROR(SEARCH("Reasignación",K628)))</formula>
    </cfRule>
    <cfRule type="containsText" dxfId="12118" priority="12130" operator="containsText" text="RECHAZADA">
      <formula>NOT(ISERROR(SEARCH("RECHAZADA",K628)))</formula>
    </cfRule>
    <cfRule type="containsText" dxfId="12117" priority="12131" operator="containsText" text="Atendida">
      <formula>NOT(ISERROR(SEARCH("Atendida",K628)))</formula>
    </cfRule>
  </conditionalFormatting>
  <conditionalFormatting sqref="K628">
    <cfRule type="containsText" dxfId="12116" priority="12135" operator="containsText" text="Reasignación">
      <formula>NOT(ISERROR(SEARCH("Reasignación",K628)))</formula>
    </cfRule>
    <cfRule type="containsText" dxfId="12115" priority="12136" operator="containsText" text="RECHAZADA">
      <formula>NOT(ISERROR(SEARCH("RECHAZADA",K628)))</formula>
    </cfRule>
    <cfRule type="containsText" dxfId="12114" priority="12137" operator="containsText" text="Atendida">
      <formula>NOT(ISERROR(SEARCH("Atendida",K628)))</formula>
    </cfRule>
  </conditionalFormatting>
  <conditionalFormatting sqref="K629">
    <cfRule type="containsText" dxfId="12113" priority="12117" operator="containsText" text="Reasignación">
      <formula>NOT(ISERROR(SEARCH("Reasignación",K629)))</formula>
    </cfRule>
    <cfRule type="containsText" dxfId="12112" priority="12118" operator="containsText" text="RECHAZADA">
      <formula>NOT(ISERROR(SEARCH("RECHAZADA",K629)))</formula>
    </cfRule>
    <cfRule type="containsText" dxfId="12111" priority="12119" operator="containsText" text="Atendida">
      <formula>NOT(ISERROR(SEARCH("Atendida",K629)))</formula>
    </cfRule>
  </conditionalFormatting>
  <conditionalFormatting sqref="K629">
    <cfRule type="containsText" dxfId="12110" priority="12111" operator="containsText" text="Reasignación">
      <formula>NOT(ISERROR(SEARCH("Reasignación",K629)))</formula>
    </cfRule>
    <cfRule type="containsText" dxfId="12109" priority="12112" operator="containsText" text="RECHAZADA">
      <formula>NOT(ISERROR(SEARCH("RECHAZADA",K629)))</formula>
    </cfRule>
    <cfRule type="containsText" dxfId="12108" priority="12113" operator="containsText" text="Atendida">
      <formula>NOT(ISERROR(SEARCH("Atendida",K629)))</formula>
    </cfRule>
  </conditionalFormatting>
  <conditionalFormatting sqref="K629">
    <cfRule type="containsText" dxfId="12107" priority="12108" operator="containsText" text="Reasignación">
      <formula>NOT(ISERROR(SEARCH("Reasignación",K629)))</formula>
    </cfRule>
    <cfRule type="containsText" dxfId="12106" priority="12109" operator="containsText" text="RECHAZADA">
      <formula>NOT(ISERROR(SEARCH("RECHAZADA",K629)))</formula>
    </cfRule>
    <cfRule type="containsText" dxfId="12105" priority="12110" operator="containsText" text="Atendida">
      <formula>NOT(ISERROR(SEARCH("Atendida",K629)))</formula>
    </cfRule>
  </conditionalFormatting>
  <conditionalFormatting sqref="K629">
    <cfRule type="containsText" dxfId="12104" priority="12114" operator="containsText" text="Reasignación">
      <formula>NOT(ISERROR(SEARCH("Reasignación",K629)))</formula>
    </cfRule>
    <cfRule type="containsText" dxfId="12103" priority="12115" operator="containsText" text="RECHAZADA">
      <formula>NOT(ISERROR(SEARCH("RECHAZADA",K629)))</formula>
    </cfRule>
    <cfRule type="containsText" dxfId="12102" priority="12116" operator="containsText" text="Atendida">
      <formula>NOT(ISERROR(SEARCH("Atendida",K629)))</formula>
    </cfRule>
  </conditionalFormatting>
  <conditionalFormatting sqref="K629">
    <cfRule type="containsText" dxfId="12101" priority="12120" operator="containsText" text="Reasignación">
      <formula>NOT(ISERROR(SEARCH("Reasignación",K629)))</formula>
    </cfRule>
    <cfRule type="containsText" dxfId="12100" priority="12121" operator="containsText" text="RECHAZADA">
      <formula>NOT(ISERROR(SEARCH("RECHAZADA",K629)))</formula>
    </cfRule>
    <cfRule type="containsText" dxfId="12099" priority="12122" operator="containsText" text="Atendida">
      <formula>NOT(ISERROR(SEARCH("Atendida",K629)))</formula>
    </cfRule>
  </conditionalFormatting>
  <conditionalFormatting sqref="B630">
    <cfRule type="duplicateValues" dxfId="12098" priority="12107"/>
  </conditionalFormatting>
  <conditionalFormatting sqref="M630">
    <cfRule type="containsText" dxfId="12097" priority="12103" operator="containsText" text="OBSERVADO">
      <formula>NOT(ISERROR(SEARCH("OBSERVADO",M630)))</formula>
    </cfRule>
    <cfRule type="containsText" dxfId="12096" priority="12104" operator="containsText" text="CONFORME">
      <formula>NOT(ISERROR(SEARCH("CONFORME",M630)))</formula>
    </cfRule>
    <cfRule type="containsText" dxfId="12095" priority="12105" operator="containsText" text="RECHAZADA">
      <formula>NOT(ISERROR(SEARCH("RECHAZADA",M630)))</formula>
    </cfRule>
    <cfRule type="containsText" dxfId="12094" priority="12106" operator="containsText" text="Atendida">
      <formula>NOT(ISERROR(SEARCH("Atendida",M630)))</formula>
    </cfRule>
  </conditionalFormatting>
  <conditionalFormatting sqref="K630">
    <cfRule type="containsText" dxfId="12093" priority="12097" operator="containsText" text="Reasignación">
      <formula>NOT(ISERROR(SEARCH("Reasignación",K630)))</formula>
    </cfRule>
    <cfRule type="containsText" dxfId="12092" priority="12098" operator="containsText" text="RECHAZADA">
      <formula>NOT(ISERROR(SEARCH("RECHAZADA",K630)))</formula>
    </cfRule>
    <cfRule type="containsText" dxfId="12091" priority="12099" operator="containsText" text="Atendida">
      <formula>NOT(ISERROR(SEARCH("Atendida",K630)))</formula>
    </cfRule>
  </conditionalFormatting>
  <conditionalFormatting sqref="K630">
    <cfRule type="containsText" dxfId="12090" priority="12091" operator="containsText" text="Reasignación">
      <formula>NOT(ISERROR(SEARCH("Reasignación",K630)))</formula>
    </cfRule>
    <cfRule type="containsText" dxfId="12089" priority="12092" operator="containsText" text="RECHAZADA">
      <formula>NOT(ISERROR(SEARCH("RECHAZADA",K630)))</formula>
    </cfRule>
    <cfRule type="containsText" dxfId="12088" priority="12093" operator="containsText" text="Atendida">
      <formula>NOT(ISERROR(SEARCH("Atendida",K630)))</formula>
    </cfRule>
  </conditionalFormatting>
  <conditionalFormatting sqref="K630">
    <cfRule type="containsText" dxfId="12087" priority="12088" operator="containsText" text="Reasignación">
      <formula>NOT(ISERROR(SEARCH("Reasignación",K630)))</formula>
    </cfRule>
    <cfRule type="containsText" dxfId="12086" priority="12089" operator="containsText" text="RECHAZADA">
      <formula>NOT(ISERROR(SEARCH("RECHAZADA",K630)))</formula>
    </cfRule>
    <cfRule type="containsText" dxfId="12085" priority="12090" operator="containsText" text="Atendida">
      <formula>NOT(ISERROR(SEARCH("Atendida",K630)))</formula>
    </cfRule>
  </conditionalFormatting>
  <conditionalFormatting sqref="K630">
    <cfRule type="containsText" dxfId="12084" priority="12094" operator="containsText" text="Reasignación">
      <formula>NOT(ISERROR(SEARCH("Reasignación",K630)))</formula>
    </cfRule>
    <cfRule type="containsText" dxfId="12083" priority="12095" operator="containsText" text="RECHAZADA">
      <formula>NOT(ISERROR(SEARCH("RECHAZADA",K630)))</formula>
    </cfRule>
    <cfRule type="containsText" dxfId="12082" priority="12096" operator="containsText" text="Atendida">
      <formula>NOT(ISERROR(SEARCH("Atendida",K630)))</formula>
    </cfRule>
  </conditionalFormatting>
  <conditionalFormatting sqref="K630">
    <cfRule type="containsText" dxfId="12081" priority="12100" operator="containsText" text="Reasignación">
      <formula>NOT(ISERROR(SEARCH("Reasignación",K630)))</formula>
    </cfRule>
    <cfRule type="containsText" dxfId="12080" priority="12101" operator="containsText" text="RECHAZADA">
      <formula>NOT(ISERROR(SEARCH("RECHAZADA",K630)))</formula>
    </cfRule>
    <cfRule type="containsText" dxfId="12079" priority="12102" operator="containsText" text="Atendida">
      <formula>NOT(ISERROR(SEARCH("Atendida",K630)))</formula>
    </cfRule>
  </conditionalFormatting>
  <conditionalFormatting sqref="B631">
    <cfRule type="duplicateValues" dxfId="12078" priority="12087"/>
  </conditionalFormatting>
  <conditionalFormatting sqref="M631">
    <cfRule type="containsText" dxfId="12077" priority="12083" operator="containsText" text="OBSERVADO">
      <formula>NOT(ISERROR(SEARCH("OBSERVADO",M631)))</formula>
    </cfRule>
    <cfRule type="containsText" dxfId="12076" priority="12084" operator="containsText" text="CONFORME">
      <formula>NOT(ISERROR(SEARCH("CONFORME",M631)))</formula>
    </cfRule>
    <cfRule type="containsText" dxfId="12075" priority="12085" operator="containsText" text="RECHAZADA">
      <formula>NOT(ISERROR(SEARCH("RECHAZADA",M631)))</formula>
    </cfRule>
    <cfRule type="containsText" dxfId="12074" priority="12086" operator="containsText" text="Atendida">
      <formula>NOT(ISERROR(SEARCH("Atendida",M631)))</formula>
    </cfRule>
  </conditionalFormatting>
  <conditionalFormatting sqref="K631">
    <cfRule type="containsText" dxfId="12073" priority="12077" operator="containsText" text="Reasignación">
      <formula>NOT(ISERROR(SEARCH("Reasignación",K631)))</formula>
    </cfRule>
    <cfRule type="containsText" dxfId="12072" priority="12078" operator="containsText" text="RECHAZADA">
      <formula>NOT(ISERROR(SEARCH("RECHAZADA",K631)))</formula>
    </cfRule>
    <cfRule type="containsText" dxfId="12071" priority="12079" operator="containsText" text="Atendida">
      <formula>NOT(ISERROR(SEARCH("Atendida",K631)))</formula>
    </cfRule>
  </conditionalFormatting>
  <conditionalFormatting sqref="K631">
    <cfRule type="containsText" dxfId="12070" priority="12074" operator="containsText" text="Reasignación">
      <formula>NOT(ISERROR(SEARCH("Reasignación",K631)))</formula>
    </cfRule>
    <cfRule type="containsText" dxfId="12069" priority="12075" operator="containsText" text="RECHAZADA">
      <formula>NOT(ISERROR(SEARCH("RECHAZADA",K631)))</formula>
    </cfRule>
    <cfRule type="containsText" dxfId="12068" priority="12076" operator="containsText" text="Atendida">
      <formula>NOT(ISERROR(SEARCH("Atendida",K631)))</formula>
    </cfRule>
  </conditionalFormatting>
  <conditionalFormatting sqref="K631">
    <cfRule type="containsText" dxfId="12067" priority="12080" operator="containsText" text="Reasignación">
      <formula>NOT(ISERROR(SEARCH("Reasignación",K631)))</formula>
    </cfRule>
    <cfRule type="containsText" dxfId="12066" priority="12081" operator="containsText" text="RECHAZADA">
      <formula>NOT(ISERROR(SEARCH("RECHAZADA",K631)))</formula>
    </cfRule>
    <cfRule type="containsText" dxfId="12065" priority="12082" operator="containsText" text="Atendida">
      <formula>NOT(ISERROR(SEARCH("Atendida",K631)))</formula>
    </cfRule>
  </conditionalFormatting>
  <conditionalFormatting sqref="K631">
    <cfRule type="containsText" dxfId="12064" priority="12071" operator="containsText" text="Reasignación">
      <formula>NOT(ISERROR(SEARCH("Reasignación",K631)))</formula>
    </cfRule>
    <cfRule type="containsText" dxfId="12063" priority="12072" operator="containsText" text="RECHAZADA">
      <formula>NOT(ISERROR(SEARCH("RECHAZADA",K631)))</formula>
    </cfRule>
    <cfRule type="containsText" dxfId="12062" priority="12073" operator="containsText" text="Atendida">
      <formula>NOT(ISERROR(SEARCH("Atendida",K631)))</formula>
    </cfRule>
  </conditionalFormatting>
  <conditionalFormatting sqref="K631">
    <cfRule type="containsText" dxfId="12061" priority="12068" operator="containsText" text="Reasignación">
      <formula>NOT(ISERROR(SEARCH("Reasignación",K631)))</formula>
    </cfRule>
    <cfRule type="containsText" dxfId="12060" priority="12069" operator="containsText" text="RECHAZADA">
      <formula>NOT(ISERROR(SEARCH("RECHAZADA",K631)))</formula>
    </cfRule>
    <cfRule type="containsText" dxfId="12059" priority="12070" operator="containsText" text="Atendida">
      <formula>NOT(ISERROR(SEARCH("Atendida",K631)))</formula>
    </cfRule>
  </conditionalFormatting>
  <conditionalFormatting sqref="B632:B634">
    <cfRule type="duplicateValues" dxfId="12058" priority="12067"/>
  </conditionalFormatting>
  <conditionalFormatting sqref="M632:M634">
    <cfRule type="containsText" dxfId="12057" priority="12063" operator="containsText" text="OBSERVADO">
      <formula>NOT(ISERROR(SEARCH("OBSERVADO",M632)))</formula>
    </cfRule>
    <cfRule type="containsText" dxfId="12056" priority="12064" operator="containsText" text="CONFORME">
      <formula>NOT(ISERROR(SEARCH("CONFORME",M632)))</formula>
    </cfRule>
    <cfRule type="containsText" dxfId="12055" priority="12065" operator="containsText" text="RECHAZADA">
      <formula>NOT(ISERROR(SEARCH("RECHAZADA",M632)))</formula>
    </cfRule>
    <cfRule type="containsText" dxfId="12054" priority="12066" operator="containsText" text="Atendida">
      <formula>NOT(ISERROR(SEARCH("Atendida",M632)))</formula>
    </cfRule>
  </conditionalFormatting>
  <conditionalFormatting sqref="K632">
    <cfRule type="containsText" dxfId="12053" priority="12057" operator="containsText" text="Reasignación">
      <formula>NOT(ISERROR(SEARCH("Reasignación",K632)))</formula>
    </cfRule>
    <cfRule type="containsText" dxfId="12052" priority="12058" operator="containsText" text="RECHAZADA">
      <formula>NOT(ISERROR(SEARCH("RECHAZADA",K632)))</formula>
    </cfRule>
    <cfRule type="containsText" dxfId="12051" priority="12059" operator="containsText" text="Atendida">
      <formula>NOT(ISERROR(SEARCH("Atendida",K632)))</formula>
    </cfRule>
  </conditionalFormatting>
  <conditionalFormatting sqref="K632">
    <cfRule type="containsText" dxfId="12050" priority="12051" operator="containsText" text="Reasignación">
      <formula>NOT(ISERROR(SEARCH("Reasignación",K632)))</formula>
    </cfRule>
    <cfRule type="containsText" dxfId="12049" priority="12052" operator="containsText" text="RECHAZADA">
      <formula>NOT(ISERROR(SEARCH("RECHAZADA",K632)))</formula>
    </cfRule>
    <cfRule type="containsText" dxfId="12048" priority="12053" operator="containsText" text="Atendida">
      <formula>NOT(ISERROR(SEARCH("Atendida",K632)))</formula>
    </cfRule>
  </conditionalFormatting>
  <conditionalFormatting sqref="K632">
    <cfRule type="containsText" dxfId="12047" priority="12048" operator="containsText" text="Reasignación">
      <formula>NOT(ISERROR(SEARCH("Reasignación",K632)))</formula>
    </cfRule>
    <cfRule type="containsText" dxfId="12046" priority="12049" operator="containsText" text="RECHAZADA">
      <formula>NOT(ISERROR(SEARCH("RECHAZADA",K632)))</formula>
    </cfRule>
    <cfRule type="containsText" dxfId="12045" priority="12050" operator="containsText" text="Atendida">
      <formula>NOT(ISERROR(SEARCH("Atendida",K632)))</formula>
    </cfRule>
  </conditionalFormatting>
  <conditionalFormatting sqref="K632">
    <cfRule type="containsText" dxfId="12044" priority="12054" operator="containsText" text="Reasignación">
      <formula>NOT(ISERROR(SEARCH("Reasignación",K632)))</formula>
    </cfRule>
    <cfRule type="containsText" dxfId="12043" priority="12055" operator="containsText" text="RECHAZADA">
      <formula>NOT(ISERROR(SEARCH("RECHAZADA",K632)))</formula>
    </cfRule>
    <cfRule type="containsText" dxfId="12042" priority="12056" operator="containsText" text="Atendida">
      <formula>NOT(ISERROR(SEARCH("Atendida",K632)))</formula>
    </cfRule>
  </conditionalFormatting>
  <conditionalFormatting sqref="K632">
    <cfRule type="containsText" dxfId="12041" priority="12060" operator="containsText" text="Reasignación">
      <formula>NOT(ISERROR(SEARCH("Reasignación",K632)))</formula>
    </cfRule>
    <cfRule type="containsText" dxfId="12040" priority="12061" operator="containsText" text="RECHAZADA">
      <formula>NOT(ISERROR(SEARCH("RECHAZADA",K632)))</formula>
    </cfRule>
    <cfRule type="containsText" dxfId="12039" priority="12062" operator="containsText" text="Atendida">
      <formula>NOT(ISERROR(SEARCH("Atendida",K632)))</formula>
    </cfRule>
  </conditionalFormatting>
  <conditionalFormatting sqref="K633">
    <cfRule type="containsText" dxfId="12038" priority="12045" operator="containsText" text="Reasignación">
      <formula>NOT(ISERROR(SEARCH("Reasignación",K633)))</formula>
    </cfRule>
    <cfRule type="containsText" dxfId="12037" priority="12046" operator="containsText" text="RECHAZADA">
      <formula>NOT(ISERROR(SEARCH("RECHAZADA",K633)))</formula>
    </cfRule>
    <cfRule type="containsText" dxfId="12036" priority="12047" operator="containsText" text="Atendida">
      <formula>NOT(ISERROR(SEARCH("Atendida",K633)))</formula>
    </cfRule>
  </conditionalFormatting>
  <conditionalFormatting sqref="K633">
    <cfRule type="containsText" dxfId="12035" priority="12042" operator="containsText" text="Reasignación">
      <formula>NOT(ISERROR(SEARCH("Reasignación",K633)))</formula>
    </cfRule>
    <cfRule type="containsText" dxfId="12034" priority="12043" operator="containsText" text="RECHAZADA">
      <formula>NOT(ISERROR(SEARCH("RECHAZADA",K633)))</formula>
    </cfRule>
    <cfRule type="containsText" dxfId="12033" priority="12044" operator="containsText" text="Atendida">
      <formula>NOT(ISERROR(SEARCH("Atendida",K633)))</formula>
    </cfRule>
  </conditionalFormatting>
  <conditionalFormatting sqref="K633">
    <cfRule type="containsText" dxfId="12032" priority="12036" operator="containsText" text="Reasignación">
      <formula>NOT(ISERROR(SEARCH("Reasignación",K633)))</formula>
    </cfRule>
    <cfRule type="containsText" dxfId="12031" priority="12037" operator="containsText" text="RECHAZADA">
      <formula>NOT(ISERROR(SEARCH("RECHAZADA",K633)))</formula>
    </cfRule>
    <cfRule type="containsText" dxfId="12030" priority="12038" operator="containsText" text="Atendida">
      <formula>NOT(ISERROR(SEARCH("Atendida",K633)))</formula>
    </cfRule>
  </conditionalFormatting>
  <conditionalFormatting sqref="K633">
    <cfRule type="containsText" dxfId="12029" priority="12033" operator="containsText" text="Reasignación">
      <formula>NOT(ISERROR(SEARCH("Reasignación",K633)))</formula>
    </cfRule>
    <cfRule type="containsText" dxfId="12028" priority="12034" operator="containsText" text="RECHAZADA">
      <formula>NOT(ISERROR(SEARCH("RECHAZADA",K633)))</formula>
    </cfRule>
    <cfRule type="containsText" dxfId="12027" priority="12035" operator="containsText" text="Atendida">
      <formula>NOT(ISERROR(SEARCH("Atendida",K633)))</formula>
    </cfRule>
  </conditionalFormatting>
  <conditionalFormatting sqref="K633">
    <cfRule type="containsText" dxfId="12026" priority="12039" operator="containsText" text="Reasignación">
      <formula>NOT(ISERROR(SEARCH("Reasignación",K633)))</formula>
    </cfRule>
    <cfRule type="containsText" dxfId="12025" priority="12040" operator="containsText" text="RECHAZADA">
      <formula>NOT(ISERROR(SEARCH("RECHAZADA",K633)))</formula>
    </cfRule>
    <cfRule type="containsText" dxfId="12024" priority="12041" operator="containsText" text="Atendida">
      <formula>NOT(ISERROR(SEARCH("Atendida",K633)))</formula>
    </cfRule>
  </conditionalFormatting>
  <conditionalFormatting sqref="K634">
    <cfRule type="containsText" dxfId="12023" priority="12027" operator="containsText" text="Reasignación">
      <formula>NOT(ISERROR(SEARCH("Reasignación",K634)))</formula>
    </cfRule>
    <cfRule type="containsText" dxfId="12022" priority="12028" operator="containsText" text="RECHAZADA">
      <formula>NOT(ISERROR(SEARCH("RECHAZADA",K634)))</formula>
    </cfRule>
    <cfRule type="containsText" dxfId="12021" priority="12029" operator="containsText" text="Atendida">
      <formula>NOT(ISERROR(SEARCH("Atendida",K634)))</formula>
    </cfRule>
  </conditionalFormatting>
  <conditionalFormatting sqref="K634">
    <cfRule type="containsText" dxfId="12020" priority="12021" operator="containsText" text="Reasignación">
      <formula>NOT(ISERROR(SEARCH("Reasignación",K634)))</formula>
    </cfRule>
    <cfRule type="containsText" dxfId="12019" priority="12022" operator="containsText" text="RECHAZADA">
      <formula>NOT(ISERROR(SEARCH("RECHAZADA",K634)))</formula>
    </cfRule>
    <cfRule type="containsText" dxfId="12018" priority="12023" operator="containsText" text="Atendida">
      <formula>NOT(ISERROR(SEARCH("Atendida",K634)))</formula>
    </cfRule>
  </conditionalFormatting>
  <conditionalFormatting sqref="K634">
    <cfRule type="containsText" dxfId="12017" priority="12018" operator="containsText" text="Reasignación">
      <formula>NOT(ISERROR(SEARCH("Reasignación",K634)))</formula>
    </cfRule>
    <cfRule type="containsText" dxfId="12016" priority="12019" operator="containsText" text="RECHAZADA">
      <formula>NOT(ISERROR(SEARCH("RECHAZADA",K634)))</formula>
    </cfRule>
    <cfRule type="containsText" dxfId="12015" priority="12020" operator="containsText" text="Atendida">
      <formula>NOT(ISERROR(SEARCH("Atendida",K634)))</formula>
    </cfRule>
  </conditionalFormatting>
  <conditionalFormatting sqref="K634">
    <cfRule type="containsText" dxfId="12014" priority="12024" operator="containsText" text="Reasignación">
      <formula>NOT(ISERROR(SEARCH("Reasignación",K634)))</formula>
    </cfRule>
    <cfRule type="containsText" dxfId="12013" priority="12025" operator="containsText" text="RECHAZADA">
      <formula>NOT(ISERROR(SEARCH("RECHAZADA",K634)))</formula>
    </cfRule>
    <cfRule type="containsText" dxfId="12012" priority="12026" operator="containsText" text="Atendida">
      <formula>NOT(ISERROR(SEARCH("Atendida",K634)))</formula>
    </cfRule>
  </conditionalFormatting>
  <conditionalFormatting sqref="K634">
    <cfRule type="containsText" dxfId="12011" priority="12030" operator="containsText" text="Reasignación">
      <formula>NOT(ISERROR(SEARCH("Reasignación",K634)))</formula>
    </cfRule>
    <cfRule type="containsText" dxfId="12010" priority="12031" operator="containsText" text="RECHAZADA">
      <formula>NOT(ISERROR(SEARCH("RECHAZADA",K634)))</formula>
    </cfRule>
    <cfRule type="containsText" dxfId="12009" priority="12032" operator="containsText" text="Atendida">
      <formula>NOT(ISERROR(SEARCH("Atendida",K634)))</formula>
    </cfRule>
  </conditionalFormatting>
  <conditionalFormatting sqref="B635:B636">
    <cfRule type="duplicateValues" dxfId="12008" priority="12017"/>
  </conditionalFormatting>
  <conditionalFormatting sqref="M635:M636">
    <cfRule type="containsText" dxfId="12007" priority="12013" operator="containsText" text="OBSERVADO">
      <formula>NOT(ISERROR(SEARCH("OBSERVADO",M635)))</formula>
    </cfRule>
    <cfRule type="containsText" dxfId="12006" priority="12014" operator="containsText" text="CONFORME">
      <formula>NOT(ISERROR(SEARCH("CONFORME",M635)))</formula>
    </cfRule>
    <cfRule type="containsText" dxfId="12005" priority="12015" operator="containsText" text="RECHAZADA">
      <formula>NOT(ISERROR(SEARCH("RECHAZADA",M635)))</formula>
    </cfRule>
    <cfRule type="containsText" dxfId="12004" priority="12016" operator="containsText" text="Atendida">
      <formula>NOT(ISERROR(SEARCH("Atendida",M635)))</formula>
    </cfRule>
  </conditionalFormatting>
  <conditionalFormatting sqref="K635">
    <cfRule type="containsText" dxfId="12003" priority="12010" operator="containsText" text="Reasignación">
      <formula>NOT(ISERROR(SEARCH("Reasignación",K635)))</formula>
    </cfRule>
    <cfRule type="containsText" dxfId="12002" priority="12011" operator="containsText" text="RECHAZADA">
      <formula>NOT(ISERROR(SEARCH("RECHAZADA",K635)))</formula>
    </cfRule>
    <cfRule type="containsText" dxfId="12001" priority="12012" operator="containsText" text="Atendida">
      <formula>NOT(ISERROR(SEARCH("Atendida",K635)))</formula>
    </cfRule>
  </conditionalFormatting>
  <conditionalFormatting sqref="K635">
    <cfRule type="containsText" dxfId="12000" priority="12007" operator="containsText" text="Reasignación">
      <formula>NOT(ISERROR(SEARCH("Reasignación",K635)))</formula>
    </cfRule>
    <cfRule type="containsText" dxfId="11999" priority="12008" operator="containsText" text="RECHAZADA">
      <formula>NOT(ISERROR(SEARCH("RECHAZADA",K635)))</formula>
    </cfRule>
    <cfRule type="containsText" dxfId="11998" priority="12009" operator="containsText" text="Atendida">
      <formula>NOT(ISERROR(SEARCH("Atendida",K635)))</formula>
    </cfRule>
  </conditionalFormatting>
  <conditionalFormatting sqref="K635">
    <cfRule type="containsText" dxfId="11997" priority="12001" operator="containsText" text="Reasignación">
      <formula>NOT(ISERROR(SEARCH("Reasignación",K635)))</formula>
    </cfRule>
    <cfRule type="containsText" dxfId="11996" priority="12002" operator="containsText" text="RECHAZADA">
      <formula>NOT(ISERROR(SEARCH("RECHAZADA",K635)))</formula>
    </cfRule>
    <cfRule type="containsText" dxfId="11995" priority="12003" operator="containsText" text="Atendida">
      <formula>NOT(ISERROR(SEARCH("Atendida",K635)))</formula>
    </cfRule>
  </conditionalFormatting>
  <conditionalFormatting sqref="K635">
    <cfRule type="containsText" dxfId="11994" priority="11998" operator="containsText" text="Reasignación">
      <formula>NOT(ISERROR(SEARCH("Reasignación",K635)))</formula>
    </cfRule>
    <cfRule type="containsText" dxfId="11993" priority="11999" operator="containsText" text="RECHAZADA">
      <formula>NOT(ISERROR(SEARCH("RECHAZADA",K635)))</formula>
    </cfRule>
    <cfRule type="containsText" dxfId="11992" priority="12000" operator="containsText" text="Atendida">
      <formula>NOT(ISERROR(SEARCH("Atendida",K635)))</formula>
    </cfRule>
  </conditionalFormatting>
  <conditionalFormatting sqref="K635">
    <cfRule type="containsText" dxfId="11991" priority="12004" operator="containsText" text="Reasignación">
      <formula>NOT(ISERROR(SEARCH("Reasignación",K635)))</formula>
    </cfRule>
    <cfRule type="containsText" dxfId="11990" priority="12005" operator="containsText" text="RECHAZADA">
      <formula>NOT(ISERROR(SEARCH("RECHAZADA",K635)))</formula>
    </cfRule>
    <cfRule type="containsText" dxfId="11989" priority="12006" operator="containsText" text="Atendida">
      <formula>NOT(ISERROR(SEARCH("Atendida",K635)))</formula>
    </cfRule>
  </conditionalFormatting>
  <conditionalFormatting sqref="K636">
    <cfRule type="containsText" dxfId="11988" priority="11995" operator="containsText" text="Reasignación">
      <formula>NOT(ISERROR(SEARCH("Reasignación",K636)))</formula>
    </cfRule>
    <cfRule type="containsText" dxfId="11987" priority="11996" operator="containsText" text="RECHAZADA">
      <formula>NOT(ISERROR(SEARCH("RECHAZADA",K636)))</formula>
    </cfRule>
    <cfRule type="containsText" dxfId="11986" priority="11997" operator="containsText" text="Atendida">
      <formula>NOT(ISERROR(SEARCH("Atendida",K636)))</formula>
    </cfRule>
  </conditionalFormatting>
  <conditionalFormatting sqref="K636">
    <cfRule type="containsText" dxfId="11985" priority="11992" operator="containsText" text="Reasignación">
      <formula>NOT(ISERROR(SEARCH("Reasignación",K636)))</formula>
    </cfRule>
    <cfRule type="containsText" dxfId="11984" priority="11993" operator="containsText" text="RECHAZADA">
      <formula>NOT(ISERROR(SEARCH("RECHAZADA",K636)))</formula>
    </cfRule>
    <cfRule type="containsText" dxfId="11983" priority="11994" operator="containsText" text="Atendida">
      <formula>NOT(ISERROR(SEARCH("Atendida",K636)))</formula>
    </cfRule>
  </conditionalFormatting>
  <conditionalFormatting sqref="K636">
    <cfRule type="containsText" dxfId="11982" priority="11986" operator="containsText" text="Reasignación">
      <formula>NOT(ISERROR(SEARCH("Reasignación",K636)))</formula>
    </cfRule>
    <cfRule type="containsText" dxfId="11981" priority="11987" operator="containsText" text="RECHAZADA">
      <formula>NOT(ISERROR(SEARCH("RECHAZADA",K636)))</formula>
    </cfRule>
    <cfRule type="containsText" dxfId="11980" priority="11988" operator="containsText" text="Atendida">
      <formula>NOT(ISERROR(SEARCH("Atendida",K636)))</formula>
    </cfRule>
  </conditionalFormatting>
  <conditionalFormatting sqref="K636">
    <cfRule type="containsText" dxfId="11979" priority="11983" operator="containsText" text="Reasignación">
      <formula>NOT(ISERROR(SEARCH("Reasignación",K636)))</formula>
    </cfRule>
    <cfRule type="containsText" dxfId="11978" priority="11984" operator="containsText" text="RECHAZADA">
      <formula>NOT(ISERROR(SEARCH("RECHAZADA",K636)))</formula>
    </cfRule>
    <cfRule type="containsText" dxfId="11977" priority="11985" operator="containsText" text="Atendida">
      <formula>NOT(ISERROR(SEARCH("Atendida",K636)))</formula>
    </cfRule>
  </conditionalFormatting>
  <conditionalFormatting sqref="K636">
    <cfRule type="containsText" dxfId="11976" priority="11989" operator="containsText" text="Reasignación">
      <formula>NOT(ISERROR(SEARCH("Reasignación",K636)))</formula>
    </cfRule>
    <cfRule type="containsText" dxfId="11975" priority="11990" operator="containsText" text="RECHAZADA">
      <formula>NOT(ISERROR(SEARCH("RECHAZADA",K636)))</formula>
    </cfRule>
    <cfRule type="containsText" dxfId="11974" priority="11991" operator="containsText" text="Atendida">
      <formula>NOT(ISERROR(SEARCH("Atendida",K636)))</formula>
    </cfRule>
  </conditionalFormatting>
  <conditionalFormatting sqref="M637:M639">
    <cfRule type="containsText" dxfId="11973" priority="11979" operator="containsText" text="OBSERVADO">
      <formula>NOT(ISERROR(SEARCH("OBSERVADO",M637)))</formula>
    </cfRule>
    <cfRule type="containsText" dxfId="11972" priority="11980" operator="containsText" text="CONFORME">
      <formula>NOT(ISERROR(SEARCH("CONFORME",M637)))</formula>
    </cfRule>
    <cfRule type="containsText" dxfId="11971" priority="11981" operator="containsText" text="RECHAZADA">
      <formula>NOT(ISERROR(SEARCH("RECHAZADA",M637)))</formula>
    </cfRule>
    <cfRule type="containsText" dxfId="11970" priority="11982" operator="containsText" text="Atendida">
      <formula>NOT(ISERROR(SEARCH("Atendida",M637)))</formula>
    </cfRule>
  </conditionalFormatting>
  <conditionalFormatting sqref="B637:B639">
    <cfRule type="duplicateValues" dxfId="11969" priority="11978"/>
  </conditionalFormatting>
  <conditionalFormatting sqref="K637">
    <cfRule type="containsText" dxfId="11968" priority="11975" operator="containsText" text="Reasignación">
      <formula>NOT(ISERROR(SEARCH("Reasignación",K637)))</formula>
    </cfRule>
    <cfRule type="containsText" dxfId="11967" priority="11976" operator="containsText" text="RECHAZADA">
      <formula>NOT(ISERROR(SEARCH("RECHAZADA",K637)))</formula>
    </cfRule>
    <cfRule type="containsText" dxfId="11966" priority="11977" operator="containsText" text="Atendida">
      <formula>NOT(ISERROR(SEARCH("Atendida",K637)))</formula>
    </cfRule>
  </conditionalFormatting>
  <conditionalFormatting sqref="K637">
    <cfRule type="containsText" dxfId="11965" priority="11972" operator="containsText" text="Reasignación">
      <formula>NOT(ISERROR(SEARCH("Reasignación",K637)))</formula>
    </cfRule>
    <cfRule type="containsText" dxfId="11964" priority="11973" operator="containsText" text="RECHAZADA">
      <formula>NOT(ISERROR(SEARCH("RECHAZADA",K637)))</formula>
    </cfRule>
    <cfRule type="containsText" dxfId="11963" priority="11974" operator="containsText" text="Atendida">
      <formula>NOT(ISERROR(SEARCH("Atendida",K637)))</formula>
    </cfRule>
  </conditionalFormatting>
  <conditionalFormatting sqref="K637">
    <cfRule type="containsText" dxfId="11962" priority="11966" operator="containsText" text="Reasignación">
      <formula>NOT(ISERROR(SEARCH("Reasignación",K637)))</formula>
    </cfRule>
    <cfRule type="containsText" dxfId="11961" priority="11967" operator="containsText" text="RECHAZADA">
      <formula>NOT(ISERROR(SEARCH("RECHAZADA",K637)))</formula>
    </cfRule>
    <cfRule type="containsText" dxfId="11960" priority="11968" operator="containsText" text="Atendida">
      <formula>NOT(ISERROR(SEARCH("Atendida",K637)))</formula>
    </cfRule>
  </conditionalFormatting>
  <conditionalFormatting sqref="K637">
    <cfRule type="containsText" dxfId="11959" priority="11963" operator="containsText" text="Reasignación">
      <formula>NOT(ISERROR(SEARCH("Reasignación",K637)))</formula>
    </cfRule>
    <cfRule type="containsText" dxfId="11958" priority="11964" operator="containsText" text="RECHAZADA">
      <formula>NOT(ISERROR(SEARCH("RECHAZADA",K637)))</formula>
    </cfRule>
    <cfRule type="containsText" dxfId="11957" priority="11965" operator="containsText" text="Atendida">
      <formula>NOT(ISERROR(SEARCH("Atendida",K637)))</formula>
    </cfRule>
  </conditionalFormatting>
  <conditionalFormatting sqref="K637">
    <cfRule type="containsText" dxfId="11956" priority="11969" operator="containsText" text="Reasignación">
      <formula>NOT(ISERROR(SEARCH("Reasignación",K637)))</formula>
    </cfRule>
    <cfRule type="containsText" dxfId="11955" priority="11970" operator="containsText" text="RECHAZADA">
      <formula>NOT(ISERROR(SEARCH("RECHAZADA",K637)))</formula>
    </cfRule>
    <cfRule type="containsText" dxfId="11954" priority="11971" operator="containsText" text="Atendida">
      <formula>NOT(ISERROR(SEARCH("Atendida",K637)))</formula>
    </cfRule>
  </conditionalFormatting>
  <conditionalFormatting sqref="K638">
    <cfRule type="containsText" dxfId="11953" priority="11960" operator="containsText" text="Reasignación">
      <formula>NOT(ISERROR(SEARCH("Reasignación",K638)))</formula>
    </cfRule>
    <cfRule type="containsText" dxfId="11952" priority="11961" operator="containsText" text="RECHAZADA">
      <formula>NOT(ISERROR(SEARCH("RECHAZADA",K638)))</formula>
    </cfRule>
    <cfRule type="containsText" dxfId="11951" priority="11962" operator="containsText" text="Atendida">
      <formula>NOT(ISERROR(SEARCH("Atendida",K638)))</formula>
    </cfRule>
  </conditionalFormatting>
  <conditionalFormatting sqref="K638">
    <cfRule type="containsText" dxfId="11950" priority="11957" operator="containsText" text="Reasignación">
      <formula>NOT(ISERROR(SEARCH("Reasignación",K638)))</formula>
    </cfRule>
    <cfRule type="containsText" dxfId="11949" priority="11958" operator="containsText" text="RECHAZADA">
      <formula>NOT(ISERROR(SEARCH("RECHAZADA",K638)))</formula>
    </cfRule>
    <cfRule type="containsText" dxfId="11948" priority="11959" operator="containsText" text="Atendida">
      <formula>NOT(ISERROR(SEARCH("Atendida",K638)))</formula>
    </cfRule>
  </conditionalFormatting>
  <conditionalFormatting sqref="K638">
    <cfRule type="containsText" dxfId="11947" priority="11951" operator="containsText" text="Reasignación">
      <formula>NOT(ISERROR(SEARCH("Reasignación",K638)))</formula>
    </cfRule>
    <cfRule type="containsText" dxfId="11946" priority="11952" operator="containsText" text="RECHAZADA">
      <formula>NOT(ISERROR(SEARCH("RECHAZADA",K638)))</formula>
    </cfRule>
    <cfRule type="containsText" dxfId="11945" priority="11953" operator="containsText" text="Atendida">
      <formula>NOT(ISERROR(SEARCH("Atendida",K638)))</formula>
    </cfRule>
  </conditionalFormatting>
  <conditionalFormatting sqref="K638">
    <cfRule type="containsText" dxfId="11944" priority="11948" operator="containsText" text="Reasignación">
      <formula>NOT(ISERROR(SEARCH("Reasignación",K638)))</formula>
    </cfRule>
    <cfRule type="containsText" dxfId="11943" priority="11949" operator="containsText" text="RECHAZADA">
      <formula>NOT(ISERROR(SEARCH("RECHAZADA",K638)))</formula>
    </cfRule>
    <cfRule type="containsText" dxfId="11942" priority="11950" operator="containsText" text="Atendida">
      <formula>NOT(ISERROR(SEARCH("Atendida",K638)))</formula>
    </cfRule>
  </conditionalFormatting>
  <conditionalFormatting sqref="K638">
    <cfRule type="containsText" dxfId="11941" priority="11954" operator="containsText" text="Reasignación">
      <formula>NOT(ISERROR(SEARCH("Reasignación",K638)))</formula>
    </cfRule>
    <cfRule type="containsText" dxfId="11940" priority="11955" operator="containsText" text="RECHAZADA">
      <formula>NOT(ISERROR(SEARCH("RECHAZADA",K638)))</formula>
    </cfRule>
    <cfRule type="containsText" dxfId="11939" priority="11956" operator="containsText" text="Atendida">
      <formula>NOT(ISERROR(SEARCH("Atendida",K638)))</formula>
    </cfRule>
  </conditionalFormatting>
  <conditionalFormatting sqref="K639">
    <cfRule type="containsText" dxfId="11938" priority="11945" operator="containsText" text="Reasignación">
      <formula>NOT(ISERROR(SEARCH("Reasignación",K639)))</formula>
    </cfRule>
    <cfRule type="containsText" dxfId="11937" priority="11946" operator="containsText" text="RECHAZADA">
      <formula>NOT(ISERROR(SEARCH("RECHAZADA",K639)))</formula>
    </cfRule>
    <cfRule type="containsText" dxfId="11936" priority="11947" operator="containsText" text="Atendida">
      <formula>NOT(ISERROR(SEARCH("Atendida",K639)))</formula>
    </cfRule>
  </conditionalFormatting>
  <conditionalFormatting sqref="K639">
    <cfRule type="containsText" dxfId="11935" priority="11942" operator="containsText" text="Reasignación">
      <formula>NOT(ISERROR(SEARCH("Reasignación",K639)))</formula>
    </cfRule>
    <cfRule type="containsText" dxfId="11934" priority="11943" operator="containsText" text="RECHAZADA">
      <formula>NOT(ISERROR(SEARCH("RECHAZADA",K639)))</formula>
    </cfRule>
    <cfRule type="containsText" dxfId="11933" priority="11944" operator="containsText" text="Atendida">
      <formula>NOT(ISERROR(SEARCH("Atendida",K639)))</formula>
    </cfRule>
  </conditionalFormatting>
  <conditionalFormatting sqref="K639">
    <cfRule type="containsText" dxfId="11932" priority="11936" operator="containsText" text="Reasignación">
      <formula>NOT(ISERROR(SEARCH("Reasignación",K639)))</formula>
    </cfRule>
    <cfRule type="containsText" dxfId="11931" priority="11937" operator="containsText" text="RECHAZADA">
      <formula>NOT(ISERROR(SEARCH("RECHAZADA",K639)))</formula>
    </cfRule>
    <cfRule type="containsText" dxfId="11930" priority="11938" operator="containsText" text="Atendida">
      <formula>NOT(ISERROR(SEARCH("Atendida",K639)))</formula>
    </cfRule>
  </conditionalFormatting>
  <conditionalFormatting sqref="K639">
    <cfRule type="containsText" dxfId="11929" priority="11933" operator="containsText" text="Reasignación">
      <formula>NOT(ISERROR(SEARCH("Reasignación",K639)))</formula>
    </cfRule>
    <cfRule type="containsText" dxfId="11928" priority="11934" operator="containsText" text="RECHAZADA">
      <formula>NOT(ISERROR(SEARCH("RECHAZADA",K639)))</formula>
    </cfRule>
    <cfRule type="containsText" dxfId="11927" priority="11935" operator="containsText" text="Atendida">
      <formula>NOT(ISERROR(SEARCH("Atendida",K639)))</formula>
    </cfRule>
  </conditionalFormatting>
  <conditionalFormatting sqref="K639">
    <cfRule type="containsText" dxfId="11926" priority="11939" operator="containsText" text="Reasignación">
      <formula>NOT(ISERROR(SEARCH("Reasignación",K639)))</formula>
    </cfRule>
    <cfRule type="containsText" dxfId="11925" priority="11940" operator="containsText" text="RECHAZADA">
      <formula>NOT(ISERROR(SEARCH("RECHAZADA",K639)))</formula>
    </cfRule>
    <cfRule type="containsText" dxfId="11924" priority="11941" operator="containsText" text="Atendida">
      <formula>NOT(ISERROR(SEARCH("Atendida",K639)))</formula>
    </cfRule>
  </conditionalFormatting>
  <conditionalFormatting sqref="M640:M641">
    <cfRule type="containsText" dxfId="11923" priority="11928" operator="containsText" text="OBSERVADO">
      <formula>NOT(ISERROR(SEARCH("OBSERVADO",M640)))</formula>
    </cfRule>
    <cfRule type="containsText" dxfId="11922" priority="11929" operator="containsText" text="CONFORME">
      <formula>NOT(ISERROR(SEARCH("CONFORME",M640)))</formula>
    </cfRule>
    <cfRule type="containsText" dxfId="11921" priority="11930" operator="containsText" text="RECHAZADA">
      <formula>NOT(ISERROR(SEARCH("RECHAZADA",M640)))</formula>
    </cfRule>
    <cfRule type="containsText" dxfId="11920" priority="11931" operator="containsText" text="Atendida">
      <formula>NOT(ISERROR(SEARCH("Atendida",M640)))</formula>
    </cfRule>
  </conditionalFormatting>
  <conditionalFormatting sqref="B640">
    <cfRule type="duplicateValues" dxfId="11919" priority="11932"/>
  </conditionalFormatting>
  <conditionalFormatting sqref="K640">
    <cfRule type="containsText" dxfId="11918" priority="11925" operator="containsText" text="Reasignación">
      <formula>NOT(ISERROR(SEARCH("Reasignación",K640)))</formula>
    </cfRule>
    <cfRule type="containsText" dxfId="11917" priority="11926" operator="containsText" text="RECHAZADA">
      <formula>NOT(ISERROR(SEARCH("RECHAZADA",K640)))</formula>
    </cfRule>
    <cfRule type="containsText" dxfId="11916" priority="11927" operator="containsText" text="Atendida">
      <formula>NOT(ISERROR(SEARCH("Atendida",K640)))</formula>
    </cfRule>
  </conditionalFormatting>
  <conditionalFormatting sqref="K640">
    <cfRule type="containsText" dxfId="11915" priority="11922" operator="containsText" text="Reasignación">
      <formula>NOT(ISERROR(SEARCH("Reasignación",K640)))</formula>
    </cfRule>
    <cfRule type="containsText" dxfId="11914" priority="11923" operator="containsText" text="RECHAZADA">
      <formula>NOT(ISERROR(SEARCH("RECHAZADA",K640)))</formula>
    </cfRule>
    <cfRule type="containsText" dxfId="11913" priority="11924" operator="containsText" text="Atendida">
      <formula>NOT(ISERROR(SEARCH("Atendida",K640)))</formula>
    </cfRule>
  </conditionalFormatting>
  <conditionalFormatting sqref="K640">
    <cfRule type="containsText" dxfId="11912" priority="11916" operator="containsText" text="Reasignación">
      <formula>NOT(ISERROR(SEARCH("Reasignación",K640)))</formula>
    </cfRule>
    <cfRule type="containsText" dxfId="11911" priority="11917" operator="containsText" text="RECHAZADA">
      <formula>NOT(ISERROR(SEARCH("RECHAZADA",K640)))</formula>
    </cfRule>
    <cfRule type="containsText" dxfId="11910" priority="11918" operator="containsText" text="Atendida">
      <formula>NOT(ISERROR(SEARCH("Atendida",K640)))</formula>
    </cfRule>
  </conditionalFormatting>
  <conditionalFormatting sqref="K640">
    <cfRule type="containsText" dxfId="11909" priority="11913" operator="containsText" text="Reasignación">
      <formula>NOT(ISERROR(SEARCH("Reasignación",K640)))</formula>
    </cfRule>
    <cfRule type="containsText" dxfId="11908" priority="11914" operator="containsText" text="RECHAZADA">
      <formula>NOT(ISERROR(SEARCH("RECHAZADA",K640)))</formula>
    </cfRule>
    <cfRule type="containsText" dxfId="11907" priority="11915" operator="containsText" text="Atendida">
      <formula>NOT(ISERROR(SEARCH("Atendida",K640)))</formula>
    </cfRule>
  </conditionalFormatting>
  <conditionalFormatting sqref="K640">
    <cfRule type="containsText" dxfId="11906" priority="11919" operator="containsText" text="Reasignación">
      <formula>NOT(ISERROR(SEARCH("Reasignación",K640)))</formula>
    </cfRule>
    <cfRule type="containsText" dxfId="11905" priority="11920" operator="containsText" text="RECHAZADA">
      <formula>NOT(ISERROR(SEARCH("RECHAZADA",K640)))</formula>
    </cfRule>
    <cfRule type="containsText" dxfId="11904" priority="11921" operator="containsText" text="Atendida">
      <formula>NOT(ISERROR(SEARCH("Atendida",K640)))</formula>
    </cfRule>
  </conditionalFormatting>
  <conditionalFormatting sqref="B641:B644">
    <cfRule type="duplicateValues" dxfId="11903" priority="11912"/>
  </conditionalFormatting>
  <conditionalFormatting sqref="K641">
    <cfRule type="containsText" dxfId="11902" priority="11909" operator="containsText" text="Reasignación">
      <formula>NOT(ISERROR(SEARCH("Reasignación",K641)))</formula>
    </cfRule>
    <cfRule type="containsText" dxfId="11901" priority="11910" operator="containsText" text="RECHAZADA">
      <formula>NOT(ISERROR(SEARCH("RECHAZADA",K641)))</formula>
    </cfRule>
    <cfRule type="containsText" dxfId="11900" priority="11911" operator="containsText" text="Atendida">
      <formula>NOT(ISERROR(SEARCH("Atendida",K641)))</formula>
    </cfRule>
  </conditionalFormatting>
  <conditionalFormatting sqref="K641">
    <cfRule type="containsText" dxfId="11899" priority="11906" operator="containsText" text="Reasignación">
      <formula>NOT(ISERROR(SEARCH("Reasignación",K641)))</formula>
    </cfRule>
    <cfRule type="containsText" dxfId="11898" priority="11907" operator="containsText" text="RECHAZADA">
      <formula>NOT(ISERROR(SEARCH("RECHAZADA",K641)))</formula>
    </cfRule>
    <cfRule type="containsText" dxfId="11897" priority="11908" operator="containsText" text="Atendida">
      <formula>NOT(ISERROR(SEARCH("Atendida",K641)))</formula>
    </cfRule>
  </conditionalFormatting>
  <conditionalFormatting sqref="K641">
    <cfRule type="containsText" dxfId="11896" priority="11900" operator="containsText" text="Reasignación">
      <formula>NOT(ISERROR(SEARCH("Reasignación",K641)))</formula>
    </cfRule>
    <cfRule type="containsText" dxfId="11895" priority="11901" operator="containsText" text="RECHAZADA">
      <formula>NOT(ISERROR(SEARCH("RECHAZADA",K641)))</formula>
    </cfRule>
    <cfRule type="containsText" dxfId="11894" priority="11902" operator="containsText" text="Atendida">
      <formula>NOT(ISERROR(SEARCH("Atendida",K641)))</formula>
    </cfRule>
  </conditionalFormatting>
  <conditionalFormatting sqref="K641">
    <cfRule type="containsText" dxfId="11893" priority="11897" operator="containsText" text="Reasignación">
      <formula>NOT(ISERROR(SEARCH("Reasignación",K641)))</formula>
    </cfRule>
    <cfRule type="containsText" dxfId="11892" priority="11898" operator="containsText" text="RECHAZADA">
      <formula>NOT(ISERROR(SEARCH("RECHAZADA",K641)))</formula>
    </cfRule>
    <cfRule type="containsText" dxfId="11891" priority="11899" operator="containsText" text="Atendida">
      <formula>NOT(ISERROR(SEARCH("Atendida",K641)))</formula>
    </cfRule>
  </conditionalFormatting>
  <conditionalFormatting sqref="K641">
    <cfRule type="containsText" dxfId="11890" priority="11903" operator="containsText" text="Reasignación">
      <formula>NOT(ISERROR(SEARCH("Reasignación",K641)))</formula>
    </cfRule>
    <cfRule type="containsText" dxfId="11889" priority="11904" operator="containsText" text="RECHAZADA">
      <formula>NOT(ISERROR(SEARCH("RECHAZADA",K641)))</formula>
    </cfRule>
    <cfRule type="containsText" dxfId="11888" priority="11905" operator="containsText" text="Atendida">
      <formula>NOT(ISERROR(SEARCH("Atendida",K641)))</formula>
    </cfRule>
  </conditionalFormatting>
  <conditionalFormatting sqref="M642:M643">
    <cfRule type="containsText" dxfId="11887" priority="11893" operator="containsText" text="OBSERVADO">
      <formula>NOT(ISERROR(SEARCH("OBSERVADO",M642)))</formula>
    </cfRule>
    <cfRule type="containsText" dxfId="11886" priority="11894" operator="containsText" text="CONFORME">
      <formula>NOT(ISERROR(SEARCH("CONFORME",M642)))</formula>
    </cfRule>
    <cfRule type="containsText" dxfId="11885" priority="11895" operator="containsText" text="RECHAZADA">
      <formula>NOT(ISERROR(SEARCH("RECHAZADA",M642)))</formula>
    </cfRule>
    <cfRule type="containsText" dxfId="11884" priority="11896" operator="containsText" text="Atendida">
      <formula>NOT(ISERROR(SEARCH("Atendida",M642)))</formula>
    </cfRule>
  </conditionalFormatting>
  <conditionalFormatting sqref="K642">
    <cfRule type="containsText" dxfId="11883" priority="11890" operator="containsText" text="Reasignación">
      <formula>NOT(ISERROR(SEARCH("Reasignación",K642)))</formula>
    </cfRule>
    <cfRule type="containsText" dxfId="11882" priority="11891" operator="containsText" text="RECHAZADA">
      <formula>NOT(ISERROR(SEARCH("RECHAZADA",K642)))</formula>
    </cfRule>
    <cfRule type="containsText" dxfId="11881" priority="11892" operator="containsText" text="Atendida">
      <formula>NOT(ISERROR(SEARCH("Atendida",K642)))</formula>
    </cfRule>
  </conditionalFormatting>
  <conditionalFormatting sqref="K642">
    <cfRule type="containsText" dxfId="11880" priority="11887" operator="containsText" text="Reasignación">
      <formula>NOT(ISERROR(SEARCH("Reasignación",K642)))</formula>
    </cfRule>
    <cfRule type="containsText" dxfId="11879" priority="11888" operator="containsText" text="RECHAZADA">
      <formula>NOT(ISERROR(SEARCH("RECHAZADA",K642)))</formula>
    </cfRule>
    <cfRule type="containsText" dxfId="11878" priority="11889" operator="containsText" text="Atendida">
      <formula>NOT(ISERROR(SEARCH("Atendida",K642)))</formula>
    </cfRule>
  </conditionalFormatting>
  <conditionalFormatting sqref="K642">
    <cfRule type="containsText" dxfId="11877" priority="11881" operator="containsText" text="Reasignación">
      <formula>NOT(ISERROR(SEARCH("Reasignación",K642)))</formula>
    </cfRule>
    <cfRule type="containsText" dxfId="11876" priority="11882" operator="containsText" text="RECHAZADA">
      <formula>NOT(ISERROR(SEARCH("RECHAZADA",K642)))</formula>
    </cfRule>
    <cfRule type="containsText" dxfId="11875" priority="11883" operator="containsText" text="Atendida">
      <formula>NOT(ISERROR(SEARCH("Atendida",K642)))</formula>
    </cfRule>
  </conditionalFormatting>
  <conditionalFormatting sqref="K642">
    <cfRule type="containsText" dxfId="11874" priority="11878" operator="containsText" text="Reasignación">
      <formula>NOT(ISERROR(SEARCH("Reasignación",K642)))</formula>
    </cfRule>
    <cfRule type="containsText" dxfId="11873" priority="11879" operator="containsText" text="RECHAZADA">
      <formula>NOT(ISERROR(SEARCH("RECHAZADA",K642)))</formula>
    </cfRule>
    <cfRule type="containsText" dxfId="11872" priority="11880" operator="containsText" text="Atendida">
      <formula>NOT(ISERROR(SEARCH("Atendida",K642)))</formula>
    </cfRule>
  </conditionalFormatting>
  <conditionalFormatting sqref="K642">
    <cfRule type="containsText" dxfId="11871" priority="11884" operator="containsText" text="Reasignación">
      <formula>NOT(ISERROR(SEARCH("Reasignación",K642)))</formula>
    </cfRule>
    <cfRule type="containsText" dxfId="11870" priority="11885" operator="containsText" text="RECHAZADA">
      <formula>NOT(ISERROR(SEARCH("RECHAZADA",K642)))</formula>
    </cfRule>
    <cfRule type="containsText" dxfId="11869" priority="11886" operator="containsText" text="Atendida">
      <formula>NOT(ISERROR(SEARCH("Atendida",K642)))</formula>
    </cfRule>
  </conditionalFormatting>
  <conditionalFormatting sqref="K643">
    <cfRule type="containsText" dxfId="11868" priority="11875" operator="containsText" text="Reasignación">
      <formula>NOT(ISERROR(SEARCH("Reasignación",K643)))</formula>
    </cfRule>
    <cfRule type="containsText" dxfId="11867" priority="11876" operator="containsText" text="RECHAZADA">
      <formula>NOT(ISERROR(SEARCH("RECHAZADA",K643)))</formula>
    </cfRule>
    <cfRule type="containsText" dxfId="11866" priority="11877" operator="containsText" text="Atendida">
      <formula>NOT(ISERROR(SEARCH("Atendida",K643)))</formula>
    </cfRule>
  </conditionalFormatting>
  <conditionalFormatting sqref="K643">
    <cfRule type="containsText" dxfId="11865" priority="11872" operator="containsText" text="Reasignación">
      <formula>NOT(ISERROR(SEARCH("Reasignación",K643)))</formula>
    </cfRule>
    <cfRule type="containsText" dxfId="11864" priority="11873" operator="containsText" text="RECHAZADA">
      <formula>NOT(ISERROR(SEARCH("RECHAZADA",K643)))</formula>
    </cfRule>
    <cfRule type="containsText" dxfId="11863" priority="11874" operator="containsText" text="Atendida">
      <formula>NOT(ISERROR(SEARCH("Atendida",K643)))</formula>
    </cfRule>
  </conditionalFormatting>
  <conditionalFormatting sqref="K643">
    <cfRule type="containsText" dxfId="11862" priority="11866" operator="containsText" text="Reasignación">
      <formula>NOT(ISERROR(SEARCH("Reasignación",K643)))</formula>
    </cfRule>
    <cfRule type="containsText" dxfId="11861" priority="11867" operator="containsText" text="RECHAZADA">
      <formula>NOT(ISERROR(SEARCH("RECHAZADA",K643)))</formula>
    </cfRule>
    <cfRule type="containsText" dxfId="11860" priority="11868" operator="containsText" text="Atendida">
      <formula>NOT(ISERROR(SEARCH("Atendida",K643)))</formula>
    </cfRule>
  </conditionalFormatting>
  <conditionalFormatting sqref="K643">
    <cfRule type="containsText" dxfId="11859" priority="11863" operator="containsText" text="Reasignación">
      <formula>NOT(ISERROR(SEARCH("Reasignación",K643)))</formula>
    </cfRule>
    <cfRule type="containsText" dxfId="11858" priority="11864" operator="containsText" text="RECHAZADA">
      <formula>NOT(ISERROR(SEARCH("RECHAZADA",K643)))</formula>
    </cfRule>
    <cfRule type="containsText" dxfId="11857" priority="11865" operator="containsText" text="Atendida">
      <formula>NOT(ISERROR(SEARCH("Atendida",K643)))</formula>
    </cfRule>
  </conditionalFormatting>
  <conditionalFormatting sqref="K643">
    <cfRule type="containsText" dxfId="11856" priority="11869" operator="containsText" text="Reasignación">
      <formula>NOT(ISERROR(SEARCH("Reasignación",K643)))</formula>
    </cfRule>
    <cfRule type="containsText" dxfId="11855" priority="11870" operator="containsText" text="RECHAZADA">
      <formula>NOT(ISERROR(SEARCH("RECHAZADA",K643)))</formula>
    </cfRule>
    <cfRule type="containsText" dxfId="11854" priority="11871" operator="containsText" text="Atendida">
      <formula>NOT(ISERROR(SEARCH("Atendida",K643)))</formula>
    </cfRule>
  </conditionalFormatting>
  <conditionalFormatting sqref="M644">
    <cfRule type="containsText" dxfId="11853" priority="11859" operator="containsText" text="OBSERVADO">
      <formula>NOT(ISERROR(SEARCH("OBSERVADO",M644)))</formula>
    </cfRule>
    <cfRule type="containsText" dxfId="11852" priority="11860" operator="containsText" text="CONFORME">
      <formula>NOT(ISERROR(SEARCH("CONFORME",M644)))</formula>
    </cfRule>
    <cfRule type="containsText" dxfId="11851" priority="11861" operator="containsText" text="RECHAZADA">
      <formula>NOT(ISERROR(SEARCH("RECHAZADA",M644)))</formula>
    </cfRule>
    <cfRule type="containsText" dxfId="11850" priority="11862" operator="containsText" text="Atendida">
      <formula>NOT(ISERROR(SEARCH("Atendida",M644)))</formula>
    </cfRule>
  </conditionalFormatting>
  <conditionalFormatting sqref="K644">
    <cfRule type="containsText" dxfId="11849" priority="11856" operator="containsText" text="Reasignación">
      <formula>NOT(ISERROR(SEARCH("Reasignación",K644)))</formula>
    </cfRule>
    <cfRule type="containsText" dxfId="11848" priority="11857" operator="containsText" text="RECHAZADA">
      <formula>NOT(ISERROR(SEARCH("RECHAZADA",K644)))</formula>
    </cfRule>
    <cfRule type="containsText" dxfId="11847" priority="11858" operator="containsText" text="Atendida">
      <formula>NOT(ISERROR(SEARCH("Atendida",K644)))</formula>
    </cfRule>
  </conditionalFormatting>
  <conditionalFormatting sqref="K644">
    <cfRule type="containsText" dxfId="11846" priority="11853" operator="containsText" text="Reasignación">
      <formula>NOT(ISERROR(SEARCH("Reasignación",K644)))</formula>
    </cfRule>
    <cfRule type="containsText" dxfId="11845" priority="11854" operator="containsText" text="RECHAZADA">
      <formula>NOT(ISERROR(SEARCH("RECHAZADA",K644)))</formula>
    </cfRule>
    <cfRule type="containsText" dxfId="11844" priority="11855" operator="containsText" text="Atendida">
      <formula>NOT(ISERROR(SEARCH("Atendida",K644)))</formula>
    </cfRule>
  </conditionalFormatting>
  <conditionalFormatting sqref="K644">
    <cfRule type="containsText" dxfId="11843" priority="11847" operator="containsText" text="Reasignación">
      <formula>NOT(ISERROR(SEARCH("Reasignación",K644)))</formula>
    </cfRule>
    <cfRule type="containsText" dxfId="11842" priority="11848" operator="containsText" text="RECHAZADA">
      <formula>NOT(ISERROR(SEARCH("RECHAZADA",K644)))</formula>
    </cfRule>
    <cfRule type="containsText" dxfId="11841" priority="11849" operator="containsText" text="Atendida">
      <formula>NOT(ISERROR(SEARCH("Atendida",K644)))</formula>
    </cfRule>
  </conditionalFormatting>
  <conditionalFormatting sqref="K644">
    <cfRule type="containsText" dxfId="11840" priority="11844" operator="containsText" text="Reasignación">
      <formula>NOT(ISERROR(SEARCH("Reasignación",K644)))</formula>
    </cfRule>
    <cfRule type="containsText" dxfId="11839" priority="11845" operator="containsText" text="RECHAZADA">
      <formula>NOT(ISERROR(SEARCH("RECHAZADA",K644)))</formula>
    </cfRule>
    <cfRule type="containsText" dxfId="11838" priority="11846" operator="containsText" text="Atendida">
      <formula>NOT(ISERROR(SEARCH("Atendida",K644)))</formula>
    </cfRule>
  </conditionalFormatting>
  <conditionalFormatting sqref="K644">
    <cfRule type="containsText" dxfId="11837" priority="11850" operator="containsText" text="Reasignación">
      <formula>NOT(ISERROR(SEARCH("Reasignación",K644)))</formula>
    </cfRule>
    <cfRule type="containsText" dxfId="11836" priority="11851" operator="containsText" text="RECHAZADA">
      <formula>NOT(ISERROR(SEARCH("RECHAZADA",K644)))</formula>
    </cfRule>
    <cfRule type="containsText" dxfId="11835" priority="11852" operator="containsText" text="Atendida">
      <formula>NOT(ISERROR(SEARCH("Atendida",K644)))</formula>
    </cfRule>
  </conditionalFormatting>
  <conditionalFormatting sqref="M645">
    <cfRule type="containsText" dxfId="11834" priority="11840" operator="containsText" text="OBSERVADO">
      <formula>NOT(ISERROR(SEARCH("OBSERVADO",M645)))</formula>
    </cfRule>
    <cfRule type="containsText" dxfId="11833" priority="11841" operator="containsText" text="CONFORME">
      <formula>NOT(ISERROR(SEARCH("CONFORME",M645)))</formula>
    </cfRule>
    <cfRule type="containsText" dxfId="11832" priority="11842" operator="containsText" text="RECHAZADA">
      <formula>NOT(ISERROR(SEARCH("RECHAZADA",M645)))</formula>
    </cfRule>
    <cfRule type="containsText" dxfId="11831" priority="11843" operator="containsText" text="Atendida">
      <formula>NOT(ISERROR(SEARCH("Atendida",M645)))</formula>
    </cfRule>
  </conditionalFormatting>
  <conditionalFormatting sqref="B645">
    <cfRule type="duplicateValues" dxfId="11830" priority="11839"/>
  </conditionalFormatting>
  <conditionalFormatting sqref="K645">
    <cfRule type="containsText" dxfId="11829" priority="11836" operator="containsText" text="Reasignación">
      <formula>NOT(ISERROR(SEARCH("Reasignación",K645)))</formula>
    </cfRule>
    <cfRule type="containsText" dxfId="11828" priority="11837" operator="containsText" text="RECHAZADA">
      <formula>NOT(ISERROR(SEARCH("RECHAZADA",K645)))</formula>
    </cfRule>
    <cfRule type="containsText" dxfId="11827" priority="11838" operator="containsText" text="Atendida">
      <formula>NOT(ISERROR(SEARCH("Atendida",K645)))</formula>
    </cfRule>
  </conditionalFormatting>
  <conditionalFormatting sqref="K645">
    <cfRule type="containsText" dxfId="11826" priority="11833" operator="containsText" text="Reasignación">
      <formula>NOT(ISERROR(SEARCH("Reasignación",K645)))</formula>
    </cfRule>
    <cfRule type="containsText" dxfId="11825" priority="11834" operator="containsText" text="RECHAZADA">
      <formula>NOT(ISERROR(SEARCH("RECHAZADA",K645)))</formula>
    </cfRule>
    <cfRule type="containsText" dxfId="11824" priority="11835" operator="containsText" text="Atendida">
      <formula>NOT(ISERROR(SEARCH("Atendida",K645)))</formula>
    </cfRule>
  </conditionalFormatting>
  <conditionalFormatting sqref="K645">
    <cfRule type="containsText" dxfId="11823" priority="11827" operator="containsText" text="Reasignación">
      <formula>NOT(ISERROR(SEARCH("Reasignación",K645)))</formula>
    </cfRule>
    <cfRule type="containsText" dxfId="11822" priority="11828" operator="containsText" text="RECHAZADA">
      <formula>NOT(ISERROR(SEARCH("RECHAZADA",K645)))</formula>
    </cfRule>
    <cfRule type="containsText" dxfId="11821" priority="11829" operator="containsText" text="Atendida">
      <formula>NOT(ISERROR(SEARCH("Atendida",K645)))</formula>
    </cfRule>
  </conditionalFormatting>
  <conditionalFormatting sqref="K645">
    <cfRule type="containsText" dxfId="11820" priority="11824" operator="containsText" text="Reasignación">
      <formula>NOT(ISERROR(SEARCH("Reasignación",K645)))</formula>
    </cfRule>
    <cfRule type="containsText" dxfId="11819" priority="11825" operator="containsText" text="RECHAZADA">
      <formula>NOT(ISERROR(SEARCH("RECHAZADA",K645)))</formula>
    </cfRule>
    <cfRule type="containsText" dxfId="11818" priority="11826" operator="containsText" text="Atendida">
      <formula>NOT(ISERROR(SEARCH("Atendida",K645)))</formula>
    </cfRule>
  </conditionalFormatting>
  <conditionalFormatting sqref="K645">
    <cfRule type="containsText" dxfId="11817" priority="11830" operator="containsText" text="Reasignación">
      <formula>NOT(ISERROR(SEARCH("Reasignación",K645)))</formula>
    </cfRule>
    <cfRule type="containsText" dxfId="11816" priority="11831" operator="containsText" text="RECHAZADA">
      <formula>NOT(ISERROR(SEARCH("RECHAZADA",K645)))</formula>
    </cfRule>
    <cfRule type="containsText" dxfId="11815" priority="11832" operator="containsText" text="Atendida">
      <formula>NOT(ISERROR(SEARCH("Atendida",K645)))</formula>
    </cfRule>
  </conditionalFormatting>
  <conditionalFormatting sqref="M646:M650">
    <cfRule type="containsText" dxfId="11814" priority="11820" operator="containsText" text="OBSERVADO">
      <formula>NOT(ISERROR(SEARCH("OBSERVADO",M646)))</formula>
    </cfRule>
    <cfRule type="containsText" dxfId="11813" priority="11821" operator="containsText" text="CONFORME">
      <formula>NOT(ISERROR(SEARCH("CONFORME",M646)))</formula>
    </cfRule>
    <cfRule type="containsText" dxfId="11812" priority="11822" operator="containsText" text="RECHAZADA">
      <formula>NOT(ISERROR(SEARCH("RECHAZADA",M646)))</formula>
    </cfRule>
    <cfRule type="containsText" dxfId="11811" priority="11823" operator="containsText" text="Atendida">
      <formula>NOT(ISERROR(SEARCH("Atendida",M646)))</formula>
    </cfRule>
  </conditionalFormatting>
  <conditionalFormatting sqref="B646:B652">
    <cfRule type="duplicateValues" dxfId="11810" priority="11819"/>
  </conditionalFormatting>
  <conditionalFormatting sqref="K646">
    <cfRule type="containsText" dxfId="11809" priority="11810" operator="containsText" text="Reasignación">
      <formula>NOT(ISERROR(SEARCH("Reasignación",K646)))</formula>
    </cfRule>
    <cfRule type="containsText" dxfId="11808" priority="11811" operator="containsText" text="RECHAZADA">
      <formula>NOT(ISERROR(SEARCH("RECHAZADA",K646)))</formula>
    </cfRule>
    <cfRule type="containsText" dxfId="11807" priority="11812" operator="containsText" text="Atendida">
      <formula>NOT(ISERROR(SEARCH("Atendida",K646)))</formula>
    </cfRule>
  </conditionalFormatting>
  <conditionalFormatting sqref="K646">
    <cfRule type="containsText" dxfId="11806" priority="11804" operator="containsText" text="Reasignación">
      <formula>NOT(ISERROR(SEARCH("Reasignación",K646)))</formula>
    </cfRule>
    <cfRule type="containsText" dxfId="11805" priority="11805" operator="containsText" text="RECHAZADA">
      <formula>NOT(ISERROR(SEARCH("RECHAZADA",K646)))</formula>
    </cfRule>
    <cfRule type="containsText" dxfId="11804" priority="11806" operator="containsText" text="Atendida">
      <formula>NOT(ISERROR(SEARCH("Atendida",K646)))</formula>
    </cfRule>
  </conditionalFormatting>
  <conditionalFormatting sqref="K646">
    <cfRule type="containsText" dxfId="11803" priority="11807" operator="containsText" text="Reasignación">
      <formula>NOT(ISERROR(SEARCH("Reasignación",K646)))</formula>
    </cfRule>
    <cfRule type="containsText" dxfId="11802" priority="11808" operator="containsText" text="RECHAZADA">
      <formula>NOT(ISERROR(SEARCH("RECHAZADA",K646)))</formula>
    </cfRule>
    <cfRule type="containsText" dxfId="11801" priority="11809" operator="containsText" text="Atendida">
      <formula>NOT(ISERROR(SEARCH("Atendida",K646)))</formula>
    </cfRule>
  </conditionalFormatting>
  <conditionalFormatting sqref="K646">
    <cfRule type="containsText" dxfId="11800" priority="11813" operator="containsText" text="Reasignación">
      <formula>NOT(ISERROR(SEARCH("Reasignación",K646)))</formula>
    </cfRule>
    <cfRule type="containsText" dxfId="11799" priority="11814" operator="containsText" text="RECHAZADA">
      <formula>NOT(ISERROR(SEARCH("RECHAZADA",K646)))</formula>
    </cfRule>
    <cfRule type="containsText" dxfId="11798" priority="11815" operator="containsText" text="Atendida">
      <formula>NOT(ISERROR(SEARCH("Atendida",K646)))</formula>
    </cfRule>
  </conditionalFormatting>
  <conditionalFormatting sqref="K646">
    <cfRule type="containsText" dxfId="11797" priority="11816" operator="containsText" text="Reasignación">
      <formula>NOT(ISERROR(SEARCH("Reasignación",K646)))</formula>
    </cfRule>
    <cfRule type="containsText" dxfId="11796" priority="11817" operator="containsText" text="RECHAZADA">
      <formula>NOT(ISERROR(SEARCH("RECHAZADA",K646)))</formula>
    </cfRule>
    <cfRule type="containsText" dxfId="11795" priority="11818" operator="containsText" text="Atendida">
      <formula>NOT(ISERROR(SEARCH("Atendida",K646)))</formula>
    </cfRule>
  </conditionalFormatting>
  <conditionalFormatting sqref="K647">
    <cfRule type="containsText" dxfId="11794" priority="11798" operator="containsText" text="Reasignación">
      <formula>NOT(ISERROR(SEARCH("Reasignación",K647)))</formula>
    </cfRule>
    <cfRule type="containsText" dxfId="11793" priority="11799" operator="containsText" text="RECHAZADA">
      <formula>NOT(ISERROR(SEARCH("RECHAZADA",K647)))</formula>
    </cfRule>
    <cfRule type="containsText" dxfId="11792" priority="11800" operator="containsText" text="Atendida">
      <formula>NOT(ISERROR(SEARCH("Atendida",K647)))</formula>
    </cfRule>
  </conditionalFormatting>
  <conditionalFormatting sqref="K647">
    <cfRule type="containsText" dxfId="11791" priority="11792" operator="containsText" text="Reasignación">
      <formula>NOT(ISERROR(SEARCH("Reasignación",K647)))</formula>
    </cfRule>
    <cfRule type="containsText" dxfId="11790" priority="11793" operator="containsText" text="RECHAZADA">
      <formula>NOT(ISERROR(SEARCH("RECHAZADA",K647)))</formula>
    </cfRule>
    <cfRule type="containsText" dxfId="11789" priority="11794" operator="containsText" text="Atendida">
      <formula>NOT(ISERROR(SEARCH("Atendida",K647)))</formula>
    </cfRule>
  </conditionalFormatting>
  <conditionalFormatting sqref="K647">
    <cfRule type="containsText" dxfId="11788" priority="11795" operator="containsText" text="Reasignación">
      <formula>NOT(ISERROR(SEARCH("Reasignación",K647)))</formula>
    </cfRule>
    <cfRule type="containsText" dxfId="11787" priority="11796" operator="containsText" text="RECHAZADA">
      <formula>NOT(ISERROR(SEARCH("RECHAZADA",K647)))</formula>
    </cfRule>
    <cfRule type="containsText" dxfId="11786" priority="11797" operator="containsText" text="Atendida">
      <formula>NOT(ISERROR(SEARCH("Atendida",K647)))</formula>
    </cfRule>
  </conditionalFormatting>
  <conditionalFormatting sqref="K647">
    <cfRule type="containsText" dxfId="11785" priority="11801" operator="containsText" text="Reasignación">
      <formula>NOT(ISERROR(SEARCH("Reasignación",K647)))</formula>
    </cfRule>
    <cfRule type="containsText" dxfId="11784" priority="11802" operator="containsText" text="RECHAZADA">
      <formula>NOT(ISERROR(SEARCH("RECHAZADA",K647)))</formula>
    </cfRule>
    <cfRule type="containsText" dxfId="11783" priority="11803" operator="containsText" text="Atendida">
      <formula>NOT(ISERROR(SEARCH("Atendida",K647)))</formula>
    </cfRule>
  </conditionalFormatting>
  <conditionalFormatting sqref="K647">
    <cfRule type="containsText" dxfId="11782" priority="11789" operator="containsText" text="Reasignación">
      <formula>NOT(ISERROR(SEARCH("Reasignación",K647)))</formula>
    </cfRule>
    <cfRule type="containsText" dxfId="11781" priority="11790" operator="containsText" text="RECHAZADA">
      <formula>NOT(ISERROR(SEARCH("RECHAZADA",K647)))</formula>
    </cfRule>
    <cfRule type="containsText" dxfId="11780" priority="11791" operator="containsText" text="Atendida">
      <formula>NOT(ISERROR(SEARCH("Atendida",K647)))</formula>
    </cfRule>
  </conditionalFormatting>
  <conditionalFormatting sqref="K648">
    <cfRule type="containsText" dxfId="11779" priority="11786" operator="containsText" text="Reasignación">
      <formula>NOT(ISERROR(SEARCH("Reasignación",K648)))</formula>
    </cfRule>
    <cfRule type="containsText" dxfId="11778" priority="11787" operator="containsText" text="RECHAZADA">
      <formula>NOT(ISERROR(SEARCH("RECHAZADA",K648)))</formula>
    </cfRule>
    <cfRule type="containsText" dxfId="11777" priority="11788" operator="containsText" text="Atendida">
      <formula>NOT(ISERROR(SEARCH("Atendida",K648)))</formula>
    </cfRule>
  </conditionalFormatting>
  <conditionalFormatting sqref="K648">
    <cfRule type="containsText" dxfId="11776" priority="11780" operator="containsText" text="Reasignación">
      <formula>NOT(ISERROR(SEARCH("Reasignación",K648)))</formula>
    </cfRule>
    <cfRule type="containsText" dxfId="11775" priority="11781" operator="containsText" text="RECHAZADA">
      <formula>NOT(ISERROR(SEARCH("RECHAZADA",K648)))</formula>
    </cfRule>
    <cfRule type="containsText" dxfId="11774" priority="11782" operator="containsText" text="Atendida">
      <formula>NOT(ISERROR(SEARCH("Atendida",K648)))</formula>
    </cfRule>
  </conditionalFormatting>
  <conditionalFormatting sqref="K648">
    <cfRule type="containsText" dxfId="11773" priority="11783" operator="containsText" text="Reasignación">
      <formula>NOT(ISERROR(SEARCH("Reasignación",K648)))</formula>
    </cfRule>
    <cfRule type="containsText" dxfId="11772" priority="11784" operator="containsText" text="RECHAZADA">
      <formula>NOT(ISERROR(SEARCH("RECHAZADA",K648)))</formula>
    </cfRule>
    <cfRule type="containsText" dxfId="11771" priority="11785" operator="containsText" text="Atendida">
      <formula>NOT(ISERROR(SEARCH("Atendida",K648)))</formula>
    </cfRule>
  </conditionalFormatting>
  <conditionalFormatting sqref="K648">
    <cfRule type="containsText" dxfId="11770" priority="11777" operator="containsText" text="Reasignación">
      <formula>NOT(ISERROR(SEARCH("Reasignación",K648)))</formula>
    </cfRule>
    <cfRule type="containsText" dxfId="11769" priority="11778" operator="containsText" text="RECHAZADA">
      <formula>NOT(ISERROR(SEARCH("RECHAZADA",K648)))</formula>
    </cfRule>
    <cfRule type="containsText" dxfId="11768" priority="11779" operator="containsText" text="Atendida">
      <formula>NOT(ISERROR(SEARCH("Atendida",K648)))</formula>
    </cfRule>
  </conditionalFormatting>
  <conditionalFormatting sqref="K648">
    <cfRule type="containsText" dxfId="11767" priority="11774" operator="containsText" text="Reasignación">
      <formula>NOT(ISERROR(SEARCH("Reasignación",K648)))</formula>
    </cfRule>
    <cfRule type="containsText" dxfId="11766" priority="11775" operator="containsText" text="RECHAZADA">
      <formula>NOT(ISERROR(SEARCH("RECHAZADA",K648)))</formula>
    </cfRule>
    <cfRule type="containsText" dxfId="11765" priority="11776" operator="containsText" text="Atendida">
      <formula>NOT(ISERROR(SEARCH("Atendida",K648)))</formula>
    </cfRule>
  </conditionalFormatting>
  <conditionalFormatting sqref="K649">
    <cfRule type="containsText" dxfId="11764" priority="11771" operator="containsText" text="Reasignación">
      <formula>NOT(ISERROR(SEARCH("Reasignación",K649)))</formula>
    </cfRule>
    <cfRule type="containsText" dxfId="11763" priority="11772" operator="containsText" text="RECHAZADA">
      <formula>NOT(ISERROR(SEARCH("RECHAZADA",K649)))</formula>
    </cfRule>
    <cfRule type="containsText" dxfId="11762" priority="11773" operator="containsText" text="Atendida">
      <formula>NOT(ISERROR(SEARCH("Atendida",K649)))</formula>
    </cfRule>
  </conditionalFormatting>
  <conditionalFormatting sqref="K649">
    <cfRule type="containsText" dxfId="11761" priority="11768" operator="containsText" text="Reasignación">
      <formula>NOT(ISERROR(SEARCH("Reasignación",K649)))</formula>
    </cfRule>
    <cfRule type="containsText" dxfId="11760" priority="11769" operator="containsText" text="RECHAZADA">
      <formula>NOT(ISERROR(SEARCH("RECHAZADA",K649)))</formula>
    </cfRule>
    <cfRule type="containsText" dxfId="11759" priority="11770" operator="containsText" text="Atendida">
      <formula>NOT(ISERROR(SEARCH("Atendida",K649)))</formula>
    </cfRule>
  </conditionalFormatting>
  <conditionalFormatting sqref="K649">
    <cfRule type="containsText" dxfId="11758" priority="11765" operator="containsText" text="Reasignación">
      <formula>NOT(ISERROR(SEARCH("Reasignación",K649)))</formula>
    </cfRule>
    <cfRule type="containsText" dxfId="11757" priority="11766" operator="containsText" text="RECHAZADA">
      <formula>NOT(ISERROR(SEARCH("RECHAZADA",K649)))</formula>
    </cfRule>
    <cfRule type="containsText" dxfId="11756" priority="11767" operator="containsText" text="Atendida">
      <formula>NOT(ISERROR(SEARCH("Atendida",K649)))</formula>
    </cfRule>
  </conditionalFormatting>
  <conditionalFormatting sqref="K649">
    <cfRule type="containsText" dxfId="11755" priority="11762" operator="containsText" text="Reasignación">
      <formula>NOT(ISERROR(SEARCH("Reasignación",K649)))</formula>
    </cfRule>
    <cfRule type="containsText" dxfId="11754" priority="11763" operator="containsText" text="RECHAZADA">
      <formula>NOT(ISERROR(SEARCH("RECHAZADA",K649)))</formula>
    </cfRule>
    <cfRule type="containsText" dxfId="11753" priority="11764" operator="containsText" text="Atendida">
      <formula>NOT(ISERROR(SEARCH("Atendida",K649)))</formula>
    </cfRule>
  </conditionalFormatting>
  <conditionalFormatting sqref="K649">
    <cfRule type="containsText" dxfId="11752" priority="11759" operator="containsText" text="Reasignación">
      <formula>NOT(ISERROR(SEARCH("Reasignación",K649)))</formula>
    </cfRule>
    <cfRule type="containsText" dxfId="11751" priority="11760" operator="containsText" text="RECHAZADA">
      <formula>NOT(ISERROR(SEARCH("RECHAZADA",K649)))</formula>
    </cfRule>
    <cfRule type="containsText" dxfId="11750" priority="11761" operator="containsText" text="Atendida">
      <formula>NOT(ISERROR(SEARCH("Atendida",K649)))</formula>
    </cfRule>
  </conditionalFormatting>
  <conditionalFormatting sqref="M651:M655">
    <cfRule type="containsText" dxfId="11749" priority="11755" operator="containsText" text="OBSERVADO">
      <formula>NOT(ISERROR(SEARCH("OBSERVADO",M651)))</formula>
    </cfRule>
    <cfRule type="containsText" dxfId="11748" priority="11756" operator="containsText" text="CONFORME">
      <formula>NOT(ISERROR(SEARCH("CONFORME",M651)))</formula>
    </cfRule>
    <cfRule type="containsText" dxfId="11747" priority="11757" operator="containsText" text="RECHAZADA">
      <formula>NOT(ISERROR(SEARCH("RECHAZADA",M651)))</formula>
    </cfRule>
    <cfRule type="containsText" dxfId="11746" priority="11758" operator="containsText" text="Atendida">
      <formula>NOT(ISERROR(SEARCH("Atendida",M651)))</formula>
    </cfRule>
  </conditionalFormatting>
  <conditionalFormatting sqref="K651">
    <cfRule type="containsText" dxfId="11745" priority="11752" operator="containsText" text="Reasignación">
      <formula>NOT(ISERROR(SEARCH("Reasignación",K651)))</formula>
    </cfRule>
    <cfRule type="containsText" dxfId="11744" priority="11753" operator="containsText" text="RECHAZADA">
      <formula>NOT(ISERROR(SEARCH("RECHAZADA",K651)))</formula>
    </cfRule>
    <cfRule type="containsText" dxfId="11743" priority="11754" operator="containsText" text="Atendida">
      <formula>NOT(ISERROR(SEARCH("Atendida",K651)))</formula>
    </cfRule>
  </conditionalFormatting>
  <conditionalFormatting sqref="K651">
    <cfRule type="containsText" dxfId="11742" priority="11740" operator="containsText" text="Reasignación">
      <formula>NOT(ISERROR(SEARCH("Reasignación",K651)))</formula>
    </cfRule>
    <cfRule type="containsText" dxfId="11741" priority="11741" operator="containsText" text="RECHAZADA">
      <formula>NOT(ISERROR(SEARCH("RECHAZADA",K651)))</formula>
    </cfRule>
    <cfRule type="containsText" dxfId="11740" priority="11742" operator="containsText" text="Atendida">
      <formula>NOT(ISERROR(SEARCH("Atendida",K651)))</formula>
    </cfRule>
  </conditionalFormatting>
  <conditionalFormatting sqref="K650">
    <cfRule type="containsText" dxfId="11739" priority="11734" operator="containsText" text="Reasignación">
      <formula>NOT(ISERROR(SEARCH("Reasignación",K650)))</formula>
    </cfRule>
    <cfRule type="containsText" dxfId="11738" priority="11735" operator="containsText" text="RECHAZADA">
      <formula>NOT(ISERROR(SEARCH("RECHAZADA",K650)))</formula>
    </cfRule>
    <cfRule type="containsText" dxfId="11737" priority="11736" operator="containsText" text="Atendida">
      <formula>NOT(ISERROR(SEARCH("Atendida",K650)))</formula>
    </cfRule>
  </conditionalFormatting>
  <conditionalFormatting sqref="K651">
    <cfRule type="containsText" dxfId="11736" priority="11746" operator="containsText" text="Reasignación">
      <formula>NOT(ISERROR(SEARCH("Reasignación",K651)))</formula>
    </cfRule>
    <cfRule type="containsText" dxfId="11735" priority="11747" operator="containsText" text="RECHAZADA">
      <formula>NOT(ISERROR(SEARCH("RECHAZADA",K651)))</formula>
    </cfRule>
    <cfRule type="containsText" dxfId="11734" priority="11748" operator="containsText" text="Atendida">
      <formula>NOT(ISERROR(SEARCH("Atendida",K651)))</formula>
    </cfRule>
  </conditionalFormatting>
  <conditionalFormatting sqref="K650">
    <cfRule type="containsText" dxfId="11733" priority="11737" operator="containsText" text="Reasignación">
      <formula>NOT(ISERROR(SEARCH("Reasignación",K650)))</formula>
    </cfRule>
    <cfRule type="containsText" dxfId="11732" priority="11738" operator="containsText" text="RECHAZADA">
      <formula>NOT(ISERROR(SEARCH("RECHAZADA",K650)))</formula>
    </cfRule>
    <cfRule type="containsText" dxfId="11731" priority="11739" operator="containsText" text="Atendida">
      <formula>NOT(ISERROR(SEARCH("Atendida",K650)))</formula>
    </cfRule>
  </conditionalFormatting>
  <conditionalFormatting sqref="K651">
    <cfRule type="containsText" dxfId="11730" priority="11743" operator="containsText" text="Reasignación">
      <formula>NOT(ISERROR(SEARCH("Reasignación",K651)))</formula>
    </cfRule>
    <cfRule type="containsText" dxfId="11729" priority="11744" operator="containsText" text="RECHAZADA">
      <formula>NOT(ISERROR(SEARCH("RECHAZADA",K651)))</formula>
    </cfRule>
    <cfRule type="containsText" dxfId="11728" priority="11745" operator="containsText" text="Atendida">
      <formula>NOT(ISERROR(SEARCH("Atendida",K651)))</formula>
    </cfRule>
  </conditionalFormatting>
  <conditionalFormatting sqref="K650">
    <cfRule type="containsText" dxfId="11727" priority="11725" operator="containsText" text="Reasignación">
      <formula>NOT(ISERROR(SEARCH("Reasignación",K650)))</formula>
    </cfRule>
    <cfRule type="containsText" dxfId="11726" priority="11726" operator="containsText" text="RECHAZADA">
      <formula>NOT(ISERROR(SEARCH("RECHAZADA",K650)))</formula>
    </cfRule>
    <cfRule type="containsText" dxfId="11725" priority="11727" operator="containsText" text="Atendida">
      <formula>NOT(ISERROR(SEARCH("Atendida",K650)))</formula>
    </cfRule>
  </conditionalFormatting>
  <conditionalFormatting sqref="K651">
    <cfRule type="containsText" dxfId="11724" priority="11749" operator="containsText" text="Reasignación">
      <formula>NOT(ISERROR(SEARCH("Reasignación",K651)))</formula>
    </cfRule>
    <cfRule type="containsText" dxfId="11723" priority="11750" operator="containsText" text="RECHAZADA">
      <formula>NOT(ISERROR(SEARCH("RECHAZADA",K651)))</formula>
    </cfRule>
    <cfRule type="containsText" dxfId="11722" priority="11751" operator="containsText" text="Atendida">
      <formula>NOT(ISERROR(SEARCH("Atendida",K651)))</formula>
    </cfRule>
  </conditionalFormatting>
  <conditionalFormatting sqref="K650">
    <cfRule type="containsText" dxfId="11721" priority="11728" operator="containsText" text="Reasignación">
      <formula>NOT(ISERROR(SEARCH("Reasignación",K650)))</formula>
    </cfRule>
    <cfRule type="containsText" dxfId="11720" priority="11729" operator="containsText" text="RECHAZADA">
      <formula>NOT(ISERROR(SEARCH("RECHAZADA",K650)))</formula>
    </cfRule>
    <cfRule type="containsText" dxfId="11719" priority="11730" operator="containsText" text="Atendida">
      <formula>NOT(ISERROR(SEARCH("Atendida",K650)))</formula>
    </cfRule>
  </conditionalFormatting>
  <conditionalFormatting sqref="K650">
    <cfRule type="containsText" dxfId="11718" priority="11731" operator="containsText" text="Reasignación">
      <formula>NOT(ISERROR(SEARCH("Reasignación",K650)))</formula>
    </cfRule>
    <cfRule type="containsText" dxfId="11717" priority="11732" operator="containsText" text="RECHAZADA">
      <formula>NOT(ISERROR(SEARCH("RECHAZADA",K650)))</formula>
    </cfRule>
    <cfRule type="containsText" dxfId="11716" priority="11733" operator="containsText" text="Atendida">
      <formula>NOT(ISERROR(SEARCH("Atendida",K650)))</formula>
    </cfRule>
  </conditionalFormatting>
  <conditionalFormatting sqref="K652">
    <cfRule type="containsText" dxfId="11715" priority="11710" operator="containsText" text="Reasignación">
      <formula>NOT(ISERROR(SEARCH("Reasignación",K652)))</formula>
    </cfRule>
    <cfRule type="containsText" dxfId="11714" priority="11711" operator="containsText" text="RECHAZADA">
      <formula>NOT(ISERROR(SEARCH("RECHAZADA",K652)))</formula>
    </cfRule>
    <cfRule type="containsText" dxfId="11713" priority="11712" operator="containsText" text="Atendida">
      <formula>NOT(ISERROR(SEARCH("Atendida",K652)))</formula>
    </cfRule>
  </conditionalFormatting>
  <conditionalFormatting sqref="K652">
    <cfRule type="containsText" dxfId="11712" priority="11716" operator="containsText" text="Reasignación">
      <formula>NOT(ISERROR(SEARCH("Reasignación",K652)))</formula>
    </cfRule>
    <cfRule type="containsText" dxfId="11711" priority="11717" operator="containsText" text="RECHAZADA">
      <formula>NOT(ISERROR(SEARCH("RECHAZADA",K652)))</formula>
    </cfRule>
    <cfRule type="containsText" dxfId="11710" priority="11718" operator="containsText" text="Atendida">
      <formula>NOT(ISERROR(SEARCH("Atendida",K652)))</formula>
    </cfRule>
  </conditionalFormatting>
  <conditionalFormatting sqref="K652">
    <cfRule type="containsText" dxfId="11709" priority="11713" operator="containsText" text="Reasignación">
      <formula>NOT(ISERROR(SEARCH("Reasignación",K652)))</formula>
    </cfRule>
    <cfRule type="containsText" dxfId="11708" priority="11714" operator="containsText" text="RECHAZADA">
      <formula>NOT(ISERROR(SEARCH("RECHAZADA",K652)))</formula>
    </cfRule>
    <cfRule type="containsText" dxfId="11707" priority="11715" operator="containsText" text="Atendida">
      <formula>NOT(ISERROR(SEARCH("Atendida",K652)))</formula>
    </cfRule>
  </conditionalFormatting>
  <conditionalFormatting sqref="K652">
    <cfRule type="containsText" dxfId="11706" priority="11722" operator="containsText" text="Reasignación">
      <formula>NOT(ISERROR(SEARCH("Reasignación",K652)))</formula>
    </cfRule>
    <cfRule type="containsText" dxfId="11705" priority="11723" operator="containsText" text="RECHAZADA">
      <formula>NOT(ISERROR(SEARCH("RECHAZADA",K652)))</formula>
    </cfRule>
    <cfRule type="containsText" dxfId="11704" priority="11724" operator="containsText" text="Atendida">
      <formula>NOT(ISERROR(SEARCH("Atendida",K652)))</formula>
    </cfRule>
  </conditionalFormatting>
  <conditionalFormatting sqref="K652">
    <cfRule type="containsText" dxfId="11703" priority="11719" operator="containsText" text="Reasignación">
      <formula>NOT(ISERROR(SEARCH("Reasignación",K652)))</formula>
    </cfRule>
    <cfRule type="containsText" dxfId="11702" priority="11720" operator="containsText" text="RECHAZADA">
      <formula>NOT(ISERROR(SEARCH("RECHAZADA",K652)))</formula>
    </cfRule>
    <cfRule type="containsText" dxfId="11701" priority="11721" operator="containsText" text="Atendida">
      <formula>NOT(ISERROR(SEARCH("Atendida",K652)))</formula>
    </cfRule>
  </conditionalFormatting>
  <conditionalFormatting sqref="B653:B655">
    <cfRule type="duplicateValues" dxfId="11700" priority="11709"/>
  </conditionalFormatting>
  <conditionalFormatting sqref="K653">
    <cfRule type="containsText" dxfId="11699" priority="11706" operator="containsText" text="Reasignación">
      <formula>NOT(ISERROR(SEARCH("Reasignación",K653)))</formula>
    </cfRule>
    <cfRule type="containsText" dxfId="11698" priority="11707" operator="containsText" text="RECHAZADA">
      <formula>NOT(ISERROR(SEARCH("RECHAZADA",K653)))</formula>
    </cfRule>
    <cfRule type="containsText" dxfId="11697" priority="11708" operator="containsText" text="Atendida">
      <formula>NOT(ISERROR(SEARCH("Atendida",K653)))</formula>
    </cfRule>
  </conditionalFormatting>
  <conditionalFormatting sqref="K653">
    <cfRule type="containsText" dxfId="11696" priority="11703" operator="containsText" text="Reasignación">
      <formula>NOT(ISERROR(SEARCH("Reasignación",K653)))</formula>
    </cfRule>
    <cfRule type="containsText" dxfId="11695" priority="11704" operator="containsText" text="RECHAZADA">
      <formula>NOT(ISERROR(SEARCH("RECHAZADA",K653)))</formula>
    </cfRule>
    <cfRule type="containsText" dxfId="11694" priority="11705" operator="containsText" text="Atendida">
      <formula>NOT(ISERROR(SEARCH("Atendida",K653)))</formula>
    </cfRule>
  </conditionalFormatting>
  <conditionalFormatting sqref="K654">
    <cfRule type="containsText" dxfId="11693" priority="11701" operator="containsText" text="RECHAZADA">
      <formula>NOT(ISERROR(SEARCH("RECHAZADA",K654)))</formula>
    </cfRule>
    <cfRule type="containsText" dxfId="11692" priority="11702" operator="containsText" text="Atendida">
      <formula>NOT(ISERROR(SEARCH("Atendida",K654)))</formula>
    </cfRule>
  </conditionalFormatting>
  <conditionalFormatting sqref="K655">
    <cfRule type="containsText" dxfId="11691" priority="11698" operator="containsText" text="Reasignación">
      <formula>NOT(ISERROR(SEARCH("Reasignación",K655)))</formula>
    </cfRule>
    <cfRule type="containsText" dxfId="11690" priority="11699" operator="containsText" text="RECHAZADA">
      <formula>NOT(ISERROR(SEARCH("RECHAZADA",K655)))</formula>
    </cfRule>
    <cfRule type="containsText" dxfId="11689" priority="11700" operator="containsText" text="Atendida">
      <formula>NOT(ISERROR(SEARCH("Atendida",K655)))</formula>
    </cfRule>
  </conditionalFormatting>
  <conditionalFormatting sqref="K655">
    <cfRule type="containsText" dxfId="11688" priority="11695" operator="containsText" text="Reasignación">
      <formula>NOT(ISERROR(SEARCH("Reasignación",K655)))</formula>
    </cfRule>
    <cfRule type="containsText" dxfId="11687" priority="11696" operator="containsText" text="RECHAZADA">
      <formula>NOT(ISERROR(SEARCH("RECHAZADA",K655)))</formula>
    </cfRule>
    <cfRule type="containsText" dxfId="11686" priority="11697" operator="containsText" text="Atendida">
      <formula>NOT(ISERROR(SEARCH("Atendida",K655)))</formula>
    </cfRule>
  </conditionalFormatting>
  <conditionalFormatting sqref="M656">
    <cfRule type="containsText" dxfId="11685" priority="11691" operator="containsText" text="OBSERVADO">
      <formula>NOT(ISERROR(SEARCH("OBSERVADO",M656)))</formula>
    </cfRule>
    <cfRule type="containsText" dxfId="11684" priority="11692" operator="containsText" text="CONFORME">
      <formula>NOT(ISERROR(SEARCH("CONFORME",M656)))</formula>
    </cfRule>
    <cfRule type="containsText" dxfId="11683" priority="11693" operator="containsText" text="RECHAZADA">
      <formula>NOT(ISERROR(SEARCH("RECHAZADA",M656)))</formula>
    </cfRule>
    <cfRule type="containsText" dxfId="11682" priority="11694" operator="containsText" text="Atendida">
      <formula>NOT(ISERROR(SEARCH("Atendida",M656)))</formula>
    </cfRule>
  </conditionalFormatting>
  <conditionalFormatting sqref="B656">
    <cfRule type="duplicateValues" dxfId="11681" priority="11690"/>
  </conditionalFormatting>
  <conditionalFormatting sqref="K656">
    <cfRule type="containsText" dxfId="11680" priority="11687" operator="containsText" text="Reasignación">
      <formula>NOT(ISERROR(SEARCH("Reasignación",K656)))</formula>
    </cfRule>
    <cfRule type="containsText" dxfId="11679" priority="11688" operator="containsText" text="RECHAZADA">
      <formula>NOT(ISERROR(SEARCH("RECHAZADA",K656)))</formula>
    </cfRule>
    <cfRule type="containsText" dxfId="11678" priority="11689" operator="containsText" text="Atendida">
      <formula>NOT(ISERROR(SEARCH("Atendida",K656)))</formula>
    </cfRule>
  </conditionalFormatting>
  <conditionalFormatting sqref="K656">
    <cfRule type="containsText" dxfId="11677" priority="11684" operator="containsText" text="Reasignación">
      <formula>NOT(ISERROR(SEARCH("Reasignación",K656)))</formula>
    </cfRule>
    <cfRule type="containsText" dxfId="11676" priority="11685" operator="containsText" text="RECHAZADA">
      <formula>NOT(ISERROR(SEARCH("RECHAZADA",K656)))</formula>
    </cfRule>
    <cfRule type="containsText" dxfId="11675" priority="11686" operator="containsText" text="Atendida">
      <formula>NOT(ISERROR(SEARCH("Atendida",K656)))</formula>
    </cfRule>
  </conditionalFormatting>
  <conditionalFormatting sqref="M657">
    <cfRule type="containsText" dxfId="11674" priority="11680" operator="containsText" text="OBSERVADO">
      <formula>NOT(ISERROR(SEARCH("OBSERVADO",M657)))</formula>
    </cfRule>
    <cfRule type="containsText" dxfId="11673" priority="11681" operator="containsText" text="CONFORME">
      <formula>NOT(ISERROR(SEARCH("CONFORME",M657)))</formula>
    </cfRule>
    <cfRule type="containsText" dxfId="11672" priority="11682" operator="containsText" text="RECHAZADA">
      <formula>NOT(ISERROR(SEARCH("RECHAZADA",M657)))</formula>
    </cfRule>
    <cfRule type="containsText" dxfId="11671" priority="11683" operator="containsText" text="Atendida">
      <formula>NOT(ISERROR(SEARCH("Atendida",M657)))</formula>
    </cfRule>
  </conditionalFormatting>
  <conditionalFormatting sqref="B659 B657">
    <cfRule type="duplicateValues" dxfId="11670" priority="11679"/>
  </conditionalFormatting>
  <conditionalFormatting sqref="K657">
    <cfRule type="containsText" dxfId="11669" priority="11676" operator="containsText" text="Reasignación">
      <formula>NOT(ISERROR(SEARCH("Reasignación",K657)))</formula>
    </cfRule>
    <cfRule type="containsText" dxfId="11668" priority="11677" operator="containsText" text="RECHAZADA">
      <formula>NOT(ISERROR(SEARCH("RECHAZADA",K657)))</formula>
    </cfRule>
    <cfRule type="containsText" dxfId="11667" priority="11678" operator="containsText" text="Atendida">
      <formula>NOT(ISERROR(SEARCH("Atendida",K657)))</formula>
    </cfRule>
  </conditionalFormatting>
  <conditionalFormatting sqref="K657">
    <cfRule type="containsText" dxfId="11666" priority="11673" operator="containsText" text="Reasignación">
      <formula>NOT(ISERROR(SEARCH("Reasignación",K657)))</formula>
    </cfRule>
    <cfRule type="containsText" dxfId="11665" priority="11674" operator="containsText" text="RECHAZADA">
      <formula>NOT(ISERROR(SEARCH("RECHAZADA",K657)))</formula>
    </cfRule>
    <cfRule type="containsText" dxfId="11664" priority="11675" operator="containsText" text="Atendida">
      <formula>NOT(ISERROR(SEARCH("Atendida",K657)))</formula>
    </cfRule>
  </conditionalFormatting>
  <conditionalFormatting sqref="M659:M660">
    <cfRule type="containsText" dxfId="11663" priority="11669" operator="containsText" text="OBSERVADO">
      <formula>NOT(ISERROR(SEARCH("OBSERVADO",M659)))</formula>
    </cfRule>
    <cfRule type="containsText" dxfId="11662" priority="11670" operator="containsText" text="CONFORME">
      <formula>NOT(ISERROR(SEARCH("CONFORME",M659)))</formula>
    </cfRule>
    <cfRule type="containsText" dxfId="11661" priority="11671" operator="containsText" text="RECHAZADA">
      <formula>NOT(ISERROR(SEARCH("RECHAZADA",M659)))</formula>
    </cfRule>
    <cfRule type="containsText" dxfId="11660" priority="11672" operator="containsText" text="Atendida">
      <formula>NOT(ISERROR(SEARCH("Atendida",M659)))</formula>
    </cfRule>
  </conditionalFormatting>
  <conditionalFormatting sqref="M658">
    <cfRule type="containsText" dxfId="11659" priority="11665" operator="containsText" text="OBSERVADO">
      <formula>NOT(ISERROR(SEARCH("OBSERVADO",M658)))</formula>
    </cfRule>
    <cfRule type="containsText" dxfId="11658" priority="11666" operator="containsText" text="CONFORME">
      <formula>NOT(ISERROR(SEARCH("CONFORME",M658)))</formula>
    </cfRule>
    <cfRule type="containsText" dxfId="11657" priority="11667" operator="containsText" text="RECHAZADA">
      <formula>NOT(ISERROR(SEARCH("RECHAZADA",M658)))</formula>
    </cfRule>
    <cfRule type="containsText" dxfId="11656" priority="11668" operator="containsText" text="Atendida">
      <formula>NOT(ISERROR(SEARCH("Atendida",M658)))</formula>
    </cfRule>
  </conditionalFormatting>
  <conditionalFormatting sqref="B658">
    <cfRule type="duplicateValues" dxfId="11655" priority="11664"/>
  </conditionalFormatting>
  <conditionalFormatting sqref="K658">
    <cfRule type="containsText" dxfId="11654" priority="11661" operator="containsText" text="Reasignación">
      <formula>NOT(ISERROR(SEARCH("Reasignación",K658)))</formula>
    </cfRule>
    <cfRule type="containsText" dxfId="11653" priority="11662" operator="containsText" text="RECHAZADA">
      <formula>NOT(ISERROR(SEARCH("RECHAZADA",K658)))</formula>
    </cfRule>
    <cfRule type="containsText" dxfId="11652" priority="11663" operator="containsText" text="Atendida">
      <formula>NOT(ISERROR(SEARCH("Atendida",K658)))</formula>
    </cfRule>
  </conditionalFormatting>
  <conditionalFormatting sqref="K658">
    <cfRule type="containsText" dxfId="11651" priority="11658" operator="containsText" text="Reasignación">
      <formula>NOT(ISERROR(SEARCH("Reasignación",K658)))</formula>
    </cfRule>
    <cfRule type="containsText" dxfId="11650" priority="11659" operator="containsText" text="RECHAZADA">
      <formula>NOT(ISERROR(SEARCH("RECHAZADA",K658)))</formula>
    </cfRule>
    <cfRule type="containsText" dxfId="11649" priority="11660" operator="containsText" text="Atendida">
      <formula>NOT(ISERROR(SEARCH("Atendida",K658)))</formula>
    </cfRule>
  </conditionalFormatting>
  <conditionalFormatting sqref="K659">
    <cfRule type="containsText" dxfId="11648" priority="11652" operator="containsText" text="Reasignación">
      <formula>NOT(ISERROR(SEARCH("Reasignación",K659)))</formula>
    </cfRule>
    <cfRule type="containsText" dxfId="11647" priority="11653" operator="containsText" text="RECHAZADA">
      <formula>NOT(ISERROR(SEARCH("RECHAZADA",K659)))</formula>
    </cfRule>
    <cfRule type="containsText" dxfId="11646" priority="11654" operator="containsText" text="Atendida">
      <formula>NOT(ISERROR(SEARCH("Atendida",K659)))</formula>
    </cfRule>
  </conditionalFormatting>
  <conditionalFormatting sqref="K659">
    <cfRule type="containsText" dxfId="11645" priority="11655" operator="containsText" text="Reasignación">
      <formula>NOT(ISERROR(SEARCH("Reasignación",K659)))</formula>
    </cfRule>
    <cfRule type="containsText" dxfId="11644" priority="11656" operator="containsText" text="RECHAZADA">
      <formula>NOT(ISERROR(SEARCH("RECHAZADA",K659)))</formula>
    </cfRule>
    <cfRule type="containsText" dxfId="11643" priority="11657" operator="containsText" text="Atendida">
      <formula>NOT(ISERROR(SEARCH("Atendida",K659)))</formula>
    </cfRule>
  </conditionalFormatting>
  <conditionalFormatting sqref="B660:B662">
    <cfRule type="duplicateValues" dxfId="11642" priority="11651"/>
  </conditionalFormatting>
  <conditionalFormatting sqref="K660">
    <cfRule type="containsText" dxfId="11641" priority="11645" operator="containsText" text="Reasignación">
      <formula>NOT(ISERROR(SEARCH("Reasignación",K660)))</formula>
    </cfRule>
    <cfRule type="containsText" dxfId="11640" priority="11646" operator="containsText" text="RECHAZADA">
      <formula>NOT(ISERROR(SEARCH("RECHAZADA",K660)))</formula>
    </cfRule>
    <cfRule type="containsText" dxfId="11639" priority="11647" operator="containsText" text="Atendida">
      <formula>NOT(ISERROR(SEARCH("Atendida",K660)))</formula>
    </cfRule>
  </conditionalFormatting>
  <conditionalFormatting sqref="K660">
    <cfRule type="containsText" dxfId="11638" priority="11648" operator="containsText" text="Reasignación">
      <formula>NOT(ISERROR(SEARCH("Reasignación",K660)))</formula>
    </cfRule>
    <cfRule type="containsText" dxfId="11637" priority="11649" operator="containsText" text="RECHAZADA">
      <formula>NOT(ISERROR(SEARCH("RECHAZADA",K660)))</formula>
    </cfRule>
    <cfRule type="containsText" dxfId="11636" priority="11650" operator="containsText" text="Atendida">
      <formula>NOT(ISERROR(SEARCH("Atendida",K660)))</formula>
    </cfRule>
  </conditionalFormatting>
  <conditionalFormatting sqref="M661:M662">
    <cfRule type="containsText" dxfId="11635" priority="11641" operator="containsText" text="OBSERVADO">
      <formula>NOT(ISERROR(SEARCH("OBSERVADO",M661)))</formula>
    </cfRule>
    <cfRule type="containsText" dxfId="11634" priority="11642" operator="containsText" text="CONFORME">
      <formula>NOT(ISERROR(SEARCH("CONFORME",M661)))</formula>
    </cfRule>
    <cfRule type="containsText" dxfId="11633" priority="11643" operator="containsText" text="RECHAZADA">
      <formula>NOT(ISERROR(SEARCH("RECHAZADA",M661)))</formula>
    </cfRule>
    <cfRule type="containsText" dxfId="11632" priority="11644" operator="containsText" text="Atendida">
      <formula>NOT(ISERROR(SEARCH("Atendida",M661)))</formula>
    </cfRule>
  </conditionalFormatting>
  <conditionalFormatting sqref="K661">
    <cfRule type="containsText" dxfId="11631" priority="11638" operator="containsText" text="Reasignación">
      <formula>NOT(ISERROR(SEARCH("Reasignación",K661)))</formula>
    </cfRule>
    <cfRule type="containsText" dxfId="11630" priority="11639" operator="containsText" text="RECHAZADA">
      <formula>NOT(ISERROR(SEARCH("RECHAZADA",K661)))</formula>
    </cfRule>
    <cfRule type="containsText" dxfId="11629" priority="11640" operator="containsText" text="Atendida">
      <formula>NOT(ISERROR(SEARCH("Atendida",K661)))</formula>
    </cfRule>
  </conditionalFormatting>
  <conditionalFormatting sqref="K661">
    <cfRule type="containsText" dxfId="11628" priority="11635" operator="containsText" text="Reasignación">
      <formula>NOT(ISERROR(SEARCH("Reasignación",K661)))</formula>
    </cfRule>
    <cfRule type="containsText" dxfId="11627" priority="11636" operator="containsText" text="RECHAZADA">
      <formula>NOT(ISERROR(SEARCH("RECHAZADA",K661)))</formula>
    </cfRule>
    <cfRule type="containsText" dxfId="11626" priority="11637" operator="containsText" text="Atendida">
      <formula>NOT(ISERROR(SEARCH("Atendida",K661)))</formula>
    </cfRule>
  </conditionalFormatting>
  <conditionalFormatting sqref="K662">
    <cfRule type="containsText" dxfId="11625" priority="11632" operator="containsText" text="Reasignación">
      <formula>NOT(ISERROR(SEARCH("Reasignación",K662)))</formula>
    </cfRule>
    <cfRule type="containsText" dxfId="11624" priority="11633" operator="containsText" text="RECHAZADA">
      <formula>NOT(ISERROR(SEARCH("RECHAZADA",K662)))</formula>
    </cfRule>
    <cfRule type="containsText" dxfId="11623" priority="11634" operator="containsText" text="Atendida">
      <formula>NOT(ISERROR(SEARCH("Atendida",K662)))</formula>
    </cfRule>
  </conditionalFormatting>
  <conditionalFormatting sqref="K662">
    <cfRule type="containsText" dxfId="11622" priority="11629" operator="containsText" text="Reasignación">
      <formula>NOT(ISERROR(SEARCH("Reasignación",K662)))</formula>
    </cfRule>
    <cfRule type="containsText" dxfId="11621" priority="11630" operator="containsText" text="RECHAZADA">
      <formula>NOT(ISERROR(SEARCH("RECHAZADA",K662)))</formula>
    </cfRule>
    <cfRule type="containsText" dxfId="11620" priority="11631" operator="containsText" text="Atendida">
      <formula>NOT(ISERROR(SEARCH("Atendida",K662)))</formula>
    </cfRule>
  </conditionalFormatting>
  <conditionalFormatting sqref="B663">
    <cfRule type="duplicateValues" dxfId="11619" priority="11628"/>
  </conditionalFormatting>
  <conditionalFormatting sqref="M663">
    <cfRule type="containsText" dxfId="11618" priority="11624" operator="containsText" text="OBSERVADO">
      <formula>NOT(ISERROR(SEARCH("OBSERVADO",M663)))</formula>
    </cfRule>
    <cfRule type="containsText" dxfId="11617" priority="11625" operator="containsText" text="CONFORME">
      <formula>NOT(ISERROR(SEARCH("CONFORME",M663)))</formula>
    </cfRule>
    <cfRule type="containsText" dxfId="11616" priority="11626" operator="containsText" text="RECHAZADA">
      <formula>NOT(ISERROR(SEARCH("RECHAZADA",M663)))</formula>
    </cfRule>
    <cfRule type="containsText" dxfId="11615" priority="11627" operator="containsText" text="Atendida">
      <formula>NOT(ISERROR(SEARCH("Atendida",M663)))</formula>
    </cfRule>
  </conditionalFormatting>
  <conditionalFormatting sqref="K663">
    <cfRule type="containsText" dxfId="11614" priority="11621" operator="containsText" text="Reasignación">
      <formula>NOT(ISERROR(SEARCH("Reasignación",K663)))</formula>
    </cfRule>
    <cfRule type="containsText" dxfId="11613" priority="11622" operator="containsText" text="RECHAZADA">
      <formula>NOT(ISERROR(SEARCH("RECHAZADA",K663)))</formula>
    </cfRule>
    <cfRule type="containsText" dxfId="11612" priority="11623" operator="containsText" text="Atendida">
      <formula>NOT(ISERROR(SEARCH("Atendida",K663)))</formula>
    </cfRule>
  </conditionalFormatting>
  <conditionalFormatting sqref="K663">
    <cfRule type="containsText" dxfId="11611" priority="11618" operator="containsText" text="Reasignación">
      <formula>NOT(ISERROR(SEARCH("Reasignación",K663)))</formula>
    </cfRule>
    <cfRule type="containsText" dxfId="11610" priority="11619" operator="containsText" text="RECHAZADA">
      <formula>NOT(ISERROR(SEARCH("RECHAZADA",K663)))</formula>
    </cfRule>
    <cfRule type="containsText" dxfId="11609" priority="11620" operator="containsText" text="Atendida">
      <formula>NOT(ISERROR(SEARCH("Atendida",K663)))</formula>
    </cfRule>
  </conditionalFormatting>
  <conditionalFormatting sqref="M664:M667">
    <cfRule type="containsText" dxfId="11608" priority="11613" operator="containsText" text="OBSERVADO">
      <formula>NOT(ISERROR(SEARCH("OBSERVADO",M664)))</formula>
    </cfRule>
    <cfRule type="containsText" dxfId="11607" priority="11614" operator="containsText" text="CONFORME">
      <formula>NOT(ISERROR(SEARCH("CONFORME",M664)))</formula>
    </cfRule>
    <cfRule type="containsText" dxfId="11606" priority="11615" operator="containsText" text="RECHAZADA">
      <formula>NOT(ISERROR(SEARCH("RECHAZADA",M664)))</formula>
    </cfRule>
    <cfRule type="containsText" dxfId="11605" priority="11616" operator="containsText" text="Atendida">
      <formula>NOT(ISERROR(SEARCH("Atendida",M664)))</formula>
    </cfRule>
  </conditionalFormatting>
  <conditionalFormatting sqref="B664">
    <cfRule type="duplicateValues" dxfId="11604" priority="11617"/>
  </conditionalFormatting>
  <conditionalFormatting sqref="K664">
    <cfRule type="containsText" dxfId="11603" priority="11598" operator="containsText" text="Reasignación">
      <formula>NOT(ISERROR(SEARCH("Reasignación",K664)))</formula>
    </cfRule>
    <cfRule type="containsText" dxfId="11602" priority="11599" operator="containsText" text="RECHAZADA">
      <formula>NOT(ISERROR(SEARCH("RECHAZADA",K664)))</formula>
    </cfRule>
    <cfRule type="containsText" dxfId="11601" priority="11600" operator="containsText" text="Atendida">
      <formula>NOT(ISERROR(SEARCH("Atendida",K664)))</formula>
    </cfRule>
  </conditionalFormatting>
  <conditionalFormatting sqref="K664">
    <cfRule type="containsText" dxfId="11600" priority="11601" operator="containsText" text="Reasignación">
      <formula>NOT(ISERROR(SEARCH("Reasignación",K664)))</formula>
    </cfRule>
    <cfRule type="containsText" dxfId="11599" priority="11602" operator="containsText" text="RECHAZADA">
      <formula>NOT(ISERROR(SEARCH("RECHAZADA",K664)))</formula>
    </cfRule>
    <cfRule type="containsText" dxfId="11598" priority="11603" operator="containsText" text="Atendida">
      <formula>NOT(ISERROR(SEARCH("Atendida",K664)))</formula>
    </cfRule>
  </conditionalFormatting>
  <conditionalFormatting sqref="K664">
    <cfRule type="containsText" dxfId="11597" priority="11610" operator="containsText" text="Reasignación">
      <formula>NOT(ISERROR(SEARCH("Reasignación",K664)))</formula>
    </cfRule>
    <cfRule type="containsText" dxfId="11596" priority="11611" operator="containsText" text="RECHAZADA">
      <formula>NOT(ISERROR(SEARCH("RECHAZADA",K664)))</formula>
    </cfRule>
    <cfRule type="containsText" dxfId="11595" priority="11612" operator="containsText" text="Atendida">
      <formula>NOT(ISERROR(SEARCH("Atendida",K664)))</formula>
    </cfRule>
  </conditionalFormatting>
  <conditionalFormatting sqref="K664">
    <cfRule type="containsText" dxfId="11594" priority="11607" operator="containsText" text="Reasignación">
      <formula>NOT(ISERROR(SEARCH("Reasignación",K664)))</formula>
    </cfRule>
    <cfRule type="containsText" dxfId="11593" priority="11608" operator="containsText" text="RECHAZADA">
      <formula>NOT(ISERROR(SEARCH("RECHAZADA",K664)))</formula>
    </cfRule>
    <cfRule type="containsText" dxfId="11592" priority="11609" operator="containsText" text="Atendida">
      <formula>NOT(ISERROR(SEARCH("Atendida",K664)))</formula>
    </cfRule>
  </conditionalFormatting>
  <conditionalFormatting sqref="K664">
    <cfRule type="containsText" dxfId="11591" priority="11604" operator="containsText" text="Reasignación">
      <formula>NOT(ISERROR(SEARCH("Reasignación",K664)))</formula>
    </cfRule>
    <cfRule type="containsText" dxfId="11590" priority="11605" operator="containsText" text="RECHAZADA">
      <formula>NOT(ISERROR(SEARCH("RECHAZADA",K664)))</formula>
    </cfRule>
    <cfRule type="containsText" dxfId="11589" priority="11606" operator="containsText" text="Atendida">
      <formula>NOT(ISERROR(SEARCH("Atendida",K664)))</formula>
    </cfRule>
  </conditionalFormatting>
  <conditionalFormatting sqref="B665:B667">
    <cfRule type="duplicateValues" dxfId="11588" priority="11597"/>
  </conditionalFormatting>
  <conditionalFormatting sqref="K665">
    <cfRule type="containsText" dxfId="11587" priority="11594" operator="containsText" text="Reasignación">
      <formula>NOT(ISERROR(SEARCH("Reasignación",K665)))</formula>
    </cfRule>
    <cfRule type="containsText" dxfId="11586" priority="11595" operator="containsText" text="RECHAZADA">
      <formula>NOT(ISERROR(SEARCH("RECHAZADA",K665)))</formula>
    </cfRule>
    <cfRule type="containsText" dxfId="11585" priority="11596" operator="containsText" text="Atendida">
      <formula>NOT(ISERROR(SEARCH("Atendida",K665)))</formula>
    </cfRule>
  </conditionalFormatting>
  <conditionalFormatting sqref="K665">
    <cfRule type="containsText" dxfId="11584" priority="11582" operator="containsText" text="Reasignación">
      <formula>NOT(ISERROR(SEARCH("Reasignación",K665)))</formula>
    </cfRule>
    <cfRule type="containsText" dxfId="11583" priority="11583" operator="containsText" text="RECHAZADA">
      <formula>NOT(ISERROR(SEARCH("RECHAZADA",K665)))</formula>
    </cfRule>
    <cfRule type="containsText" dxfId="11582" priority="11584" operator="containsText" text="Atendida">
      <formula>NOT(ISERROR(SEARCH("Atendida",K665)))</formula>
    </cfRule>
  </conditionalFormatting>
  <conditionalFormatting sqref="K665">
    <cfRule type="containsText" dxfId="11581" priority="11585" operator="containsText" text="Reasignación">
      <formula>NOT(ISERROR(SEARCH("Reasignación",K665)))</formula>
    </cfRule>
    <cfRule type="containsText" dxfId="11580" priority="11586" operator="containsText" text="RECHAZADA">
      <formula>NOT(ISERROR(SEARCH("RECHAZADA",K665)))</formula>
    </cfRule>
    <cfRule type="containsText" dxfId="11579" priority="11587" operator="containsText" text="Atendida">
      <formula>NOT(ISERROR(SEARCH("Atendida",K665)))</formula>
    </cfRule>
  </conditionalFormatting>
  <conditionalFormatting sqref="K665">
    <cfRule type="containsText" dxfId="11578" priority="11591" operator="containsText" text="Reasignación">
      <formula>NOT(ISERROR(SEARCH("Reasignación",K665)))</formula>
    </cfRule>
    <cfRule type="containsText" dxfId="11577" priority="11592" operator="containsText" text="RECHAZADA">
      <formula>NOT(ISERROR(SEARCH("RECHAZADA",K665)))</formula>
    </cfRule>
    <cfRule type="containsText" dxfId="11576" priority="11593" operator="containsText" text="Atendida">
      <formula>NOT(ISERROR(SEARCH("Atendida",K665)))</formula>
    </cfRule>
  </conditionalFormatting>
  <conditionalFormatting sqref="K665">
    <cfRule type="containsText" dxfId="11575" priority="11588" operator="containsText" text="Reasignación">
      <formula>NOT(ISERROR(SEARCH("Reasignación",K665)))</formula>
    </cfRule>
    <cfRule type="containsText" dxfId="11574" priority="11589" operator="containsText" text="RECHAZADA">
      <formula>NOT(ISERROR(SEARCH("RECHAZADA",K665)))</formula>
    </cfRule>
    <cfRule type="containsText" dxfId="11573" priority="11590" operator="containsText" text="Atendida">
      <formula>NOT(ISERROR(SEARCH("Atendida",K665)))</formula>
    </cfRule>
  </conditionalFormatting>
  <conditionalFormatting sqref="K666">
    <cfRule type="containsText" dxfId="11572" priority="11579" operator="containsText" text="Reasignación">
      <formula>NOT(ISERROR(SEARCH("Reasignación",K666)))</formula>
    </cfRule>
    <cfRule type="containsText" dxfId="11571" priority="11580" operator="containsText" text="RECHAZADA">
      <formula>NOT(ISERROR(SEARCH("RECHAZADA",K666)))</formula>
    </cfRule>
    <cfRule type="containsText" dxfId="11570" priority="11581" operator="containsText" text="Atendida">
      <formula>NOT(ISERROR(SEARCH("Atendida",K666)))</formula>
    </cfRule>
  </conditionalFormatting>
  <conditionalFormatting sqref="K666">
    <cfRule type="containsText" dxfId="11569" priority="11567" operator="containsText" text="Reasignación">
      <formula>NOT(ISERROR(SEARCH("Reasignación",K666)))</formula>
    </cfRule>
    <cfRule type="containsText" dxfId="11568" priority="11568" operator="containsText" text="RECHAZADA">
      <formula>NOT(ISERROR(SEARCH("RECHAZADA",K666)))</formula>
    </cfRule>
    <cfRule type="containsText" dxfId="11567" priority="11569" operator="containsText" text="Atendida">
      <formula>NOT(ISERROR(SEARCH("Atendida",K666)))</formula>
    </cfRule>
  </conditionalFormatting>
  <conditionalFormatting sqref="K666">
    <cfRule type="containsText" dxfId="11566" priority="11570" operator="containsText" text="Reasignación">
      <formula>NOT(ISERROR(SEARCH("Reasignación",K666)))</formula>
    </cfRule>
    <cfRule type="containsText" dxfId="11565" priority="11571" operator="containsText" text="RECHAZADA">
      <formula>NOT(ISERROR(SEARCH("RECHAZADA",K666)))</formula>
    </cfRule>
    <cfRule type="containsText" dxfId="11564" priority="11572" operator="containsText" text="Atendida">
      <formula>NOT(ISERROR(SEARCH("Atendida",K666)))</formula>
    </cfRule>
  </conditionalFormatting>
  <conditionalFormatting sqref="K666">
    <cfRule type="containsText" dxfId="11563" priority="11576" operator="containsText" text="Reasignación">
      <formula>NOT(ISERROR(SEARCH("Reasignación",K666)))</formula>
    </cfRule>
    <cfRule type="containsText" dxfId="11562" priority="11577" operator="containsText" text="RECHAZADA">
      <formula>NOT(ISERROR(SEARCH("RECHAZADA",K666)))</formula>
    </cfRule>
    <cfRule type="containsText" dxfId="11561" priority="11578" operator="containsText" text="Atendida">
      <formula>NOT(ISERROR(SEARCH("Atendida",K666)))</formula>
    </cfRule>
  </conditionalFormatting>
  <conditionalFormatting sqref="K666">
    <cfRule type="containsText" dxfId="11560" priority="11573" operator="containsText" text="Reasignación">
      <formula>NOT(ISERROR(SEARCH("Reasignación",K666)))</formula>
    </cfRule>
    <cfRule type="containsText" dxfId="11559" priority="11574" operator="containsText" text="RECHAZADA">
      <formula>NOT(ISERROR(SEARCH("RECHAZADA",K666)))</formula>
    </cfRule>
    <cfRule type="containsText" dxfId="11558" priority="11575" operator="containsText" text="Atendida">
      <formula>NOT(ISERROR(SEARCH("Atendida",K666)))</formula>
    </cfRule>
  </conditionalFormatting>
  <conditionalFormatting sqref="K667">
    <cfRule type="containsText" dxfId="11557" priority="11552" operator="containsText" text="Reasignación">
      <formula>NOT(ISERROR(SEARCH("Reasignación",K667)))</formula>
    </cfRule>
    <cfRule type="containsText" dxfId="11556" priority="11553" operator="containsText" text="RECHAZADA">
      <formula>NOT(ISERROR(SEARCH("RECHAZADA",K667)))</formula>
    </cfRule>
    <cfRule type="containsText" dxfId="11555" priority="11554" operator="containsText" text="Atendida">
      <formula>NOT(ISERROR(SEARCH("Atendida",K667)))</formula>
    </cfRule>
  </conditionalFormatting>
  <conditionalFormatting sqref="K667">
    <cfRule type="containsText" dxfId="11554" priority="11555" operator="containsText" text="Reasignación">
      <formula>NOT(ISERROR(SEARCH("Reasignación",K667)))</formula>
    </cfRule>
    <cfRule type="containsText" dxfId="11553" priority="11556" operator="containsText" text="RECHAZADA">
      <formula>NOT(ISERROR(SEARCH("RECHAZADA",K667)))</formula>
    </cfRule>
    <cfRule type="containsText" dxfId="11552" priority="11557" operator="containsText" text="Atendida">
      <formula>NOT(ISERROR(SEARCH("Atendida",K667)))</formula>
    </cfRule>
  </conditionalFormatting>
  <conditionalFormatting sqref="K667">
    <cfRule type="containsText" dxfId="11551" priority="11564" operator="containsText" text="Reasignación">
      <formula>NOT(ISERROR(SEARCH("Reasignación",K667)))</formula>
    </cfRule>
    <cfRule type="containsText" dxfId="11550" priority="11565" operator="containsText" text="RECHAZADA">
      <formula>NOT(ISERROR(SEARCH("RECHAZADA",K667)))</formula>
    </cfRule>
    <cfRule type="containsText" dxfId="11549" priority="11566" operator="containsText" text="Atendida">
      <formula>NOT(ISERROR(SEARCH("Atendida",K667)))</formula>
    </cfRule>
  </conditionalFormatting>
  <conditionalFormatting sqref="K667">
    <cfRule type="containsText" dxfId="11548" priority="11561" operator="containsText" text="Reasignación">
      <formula>NOT(ISERROR(SEARCH("Reasignación",K667)))</formula>
    </cfRule>
    <cfRule type="containsText" dxfId="11547" priority="11562" operator="containsText" text="RECHAZADA">
      <formula>NOT(ISERROR(SEARCH("RECHAZADA",K667)))</formula>
    </cfRule>
    <cfRule type="containsText" dxfId="11546" priority="11563" operator="containsText" text="Atendida">
      <formula>NOT(ISERROR(SEARCH("Atendida",K667)))</formula>
    </cfRule>
  </conditionalFormatting>
  <conditionalFormatting sqref="K667">
    <cfRule type="containsText" dxfId="11545" priority="11558" operator="containsText" text="Reasignación">
      <formula>NOT(ISERROR(SEARCH("Reasignación",K667)))</formula>
    </cfRule>
    <cfRule type="containsText" dxfId="11544" priority="11559" operator="containsText" text="RECHAZADA">
      <formula>NOT(ISERROR(SEARCH("RECHAZADA",K667)))</formula>
    </cfRule>
    <cfRule type="containsText" dxfId="11543" priority="11560" operator="containsText" text="Atendida">
      <formula>NOT(ISERROR(SEARCH("Atendida",K667)))</formula>
    </cfRule>
  </conditionalFormatting>
  <conditionalFormatting sqref="M675:M678 M670:M673 M668">
    <cfRule type="containsText" dxfId="11542" priority="11547" operator="containsText" text="OBSERVADO">
      <formula>NOT(ISERROR(SEARCH("OBSERVADO",M668)))</formula>
    </cfRule>
    <cfRule type="containsText" dxfId="11541" priority="11548" operator="containsText" text="CONFORME">
      <formula>NOT(ISERROR(SEARCH("CONFORME",M668)))</formula>
    </cfRule>
    <cfRule type="containsText" dxfId="11540" priority="11549" operator="containsText" text="RECHAZADA">
      <formula>NOT(ISERROR(SEARCH("RECHAZADA",M668)))</formula>
    </cfRule>
    <cfRule type="containsText" dxfId="11539" priority="11550" operator="containsText" text="Atendida">
      <formula>NOT(ISERROR(SEARCH("Atendida",M668)))</formula>
    </cfRule>
  </conditionalFormatting>
  <conditionalFormatting sqref="B675:B676 B670:B673 B668">
    <cfRule type="duplicateValues" dxfId="11538" priority="11551"/>
  </conditionalFormatting>
  <conditionalFormatting sqref="K668">
    <cfRule type="containsText" dxfId="11537" priority="11532" operator="containsText" text="Reasignación">
      <formula>NOT(ISERROR(SEARCH("Reasignación",K668)))</formula>
    </cfRule>
    <cfRule type="containsText" dxfId="11536" priority="11533" operator="containsText" text="RECHAZADA">
      <formula>NOT(ISERROR(SEARCH("RECHAZADA",K668)))</formula>
    </cfRule>
    <cfRule type="containsText" dxfId="11535" priority="11534" operator="containsText" text="Atendida">
      <formula>NOT(ISERROR(SEARCH("Atendida",K668)))</formula>
    </cfRule>
  </conditionalFormatting>
  <conditionalFormatting sqref="K668">
    <cfRule type="containsText" dxfId="11534" priority="11535" operator="containsText" text="Reasignación">
      <formula>NOT(ISERROR(SEARCH("Reasignación",K668)))</formula>
    </cfRule>
    <cfRule type="containsText" dxfId="11533" priority="11536" operator="containsText" text="RECHAZADA">
      <formula>NOT(ISERROR(SEARCH("RECHAZADA",K668)))</formula>
    </cfRule>
    <cfRule type="containsText" dxfId="11532" priority="11537" operator="containsText" text="Atendida">
      <formula>NOT(ISERROR(SEARCH("Atendida",K668)))</formula>
    </cfRule>
  </conditionalFormatting>
  <conditionalFormatting sqref="K668">
    <cfRule type="containsText" dxfId="11531" priority="11544" operator="containsText" text="Reasignación">
      <formula>NOT(ISERROR(SEARCH("Reasignación",K668)))</formula>
    </cfRule>
    <cfRule type="containsText" dxfId="11530" priority="11545" operator="containsText" text="RECHAZADA">
      <formula>NOT(ISERROR(SEARCH("RECHAZADA",K668)))</formula>
    </cfRule>
    <cfRule type="containsText" dxfId="11529" priority="11546" operator="containsText" text="Atendida">
      <formula>NOT(ISERROR(SEARCH("Atendida",K668)))</formula>
    </cfRule>
  </conditionalFormatting>
  <conditionalFormatting sqref="K668">
    <cfRule type="containsText" dxfId="11528" priority="11541" operator="containsText" text="Reasignación">
      <formula>NOT(ISERROR(SEARCH("Reasignación",K668)))</formula>
    </cfRule>
    <cfRule type="containsText" dxfId="11527" priority="11542" operator="containsText" text="RECHAZADA">
      <formula>NOT(ISERROR(SEARCH("RECHAZADA",K668)))</formula>
    </cfRule>
    <cfRule type="containsText" dxfId="11526" priority="11543" operator="containsText" text="Atendida">
      <formula>NOT(ISERROR(SEARCH("Atendida",K668)))</formula>
    </cfRule>
  </conditionalFormatting>
  <conditionalFormatting sqref="K668">
    <cfRule type="containsText" dxfId="11525" priority="11538" operator="containsText" text="Reasignación">
      <formula>NOT(ISERROR(SEARCH("Reasignación",K668)))</formula>
    </cfRule>
    <cfRule type="containsText" dxfId="11524" priority="11539" operator="containsText" text="RECHAZADA">
      <formula>NOT(ISERROR(SEARCH("RECHAZADA",K668)))</formula>
    </cfRule>
    <cfRule type="containsText" dxfId="11523" priority="11540" operator="containsText" text="Atendida">
      <formula>NOT(ISERROR(SEARCH("Atendida",K668)))</formula>
    </cfRule>
  </conditionalFormatting>
  <conditionalFormatting sqref="M669">
    <cfRule type="containsText" dxfId="11522" priority="11527" operator="containsText" text="OBSERVADO">
      <formula>NOT(ISERROR(SEARCH("OBSERVADO",M669)))</formula>
    </cfRule>
    <cfRule type="containsText" dxfId="11521" priority="11528" operator="containsText" text="CONFORME">
      <formula>NOT(ISERROR(SEARCH("CONFORME",M669)))</formula>
    </cfRule>
    <cfRule type="containsText" dxfId="11520" priority="11529" operator="containsText" text="RECHAZADA">
      <formula>NOT(ISERROR(SEARCH("RECHAZADA",M669)))</formula>
    </cfRule>
    <cfRule type="containsText" dxfId="11519" priority="11530" operator="containsText" text="Atendida">
      <formula>NOT(ISERROR(SEARCH("Atendida",M669)))</formula>
    </cfRule>
  </conditionalFormatting>
  <conditionalFormatting sqref="B669">
    <cfRule type="duplicateValues" dxfId="11518" priority="11531"/>
  </conditionalFormatting>
  <conditionalFormatting sqref="K669">
    <cfRule type="containsText" dxfId="11517" priority="11521" operator="containsText" text="Reasignación">
      <formula>NOT(ISERROR(SEARCH("Reasignación",K669)))</formula>
    </cfRule>
    <cfRule type="containsText" dxfId="11516" priority="11522" operator="containsText" text="RECHAZADA">
      <formula>NOT(ISERROR(SEARCH("RECHAZADA",K669)))</formula>
    </cfRule>
    <cfRule type="containsText" dxfId="11515" priority="11523" operator="containsText" text="Atendida">
      <formula>NOT(ISERROR(SEARCH("Atendida",K669)))</formula>
    </cfRule>
  </conditionalFormatting>
  <conditionalFormatting sqref="K669">
    <cfRule type="containsText" dxfId="11514" priority="11512" operator="containsText" text="Reasignación">
      <formula>NOT(ISERROR(SEARCH("Reasignación",K669)))</formula>
    </cfRule>
    <cfRule type="containsText" dxfId="11513" priority="11513" operator="containsText" text="RECHAZADA">
      <formula>NOT(ISERROR(SEARCH("RECHAZADA",K669)))</formula>
    </cfRule>
    <cfRule type="containsText" dxfId="11512" priority="11514" operator="containsText" text="Atendida">
      <formula>NOT(ISERROR(SEARCH("Atendida",K669)))</formula>
    </cfRule>
  </conditionalFormatting>
  <conditionalFormatting sqref="K669">
    <cfRule type="containsText" dxfId="11511" priority="11518" operator="containsText" text="Reasignación">
      <formula>NOT(ISERROR(SEARCH("Reasignación",K669)))</formula>
    </cfRule>
    <cfRule type="containsText" dxfId="11510" priority="11519" operator="containsText" text="RECHAZADA">
      <formula>NOT(ISERROR(SEARCH("RECHAZADA",K669)))</formula>
    </cfRule>
    <cfRule type="containsText" dxfId="11509" priority="11520" operator="containsText" text="Atendida">
      <formula>NOT(ISERROR(SEARCH("Atendida",K669)))</formula>
    </cfRule>
  </conditionalFormatting>
  <conditionalFormatting sqref="K669">
    <cfRule type="containsText" dxfId="11508" priority="11515" operator="containsText" text="Reasignación">
      <formula>NOT(ISERROR(SEARCH("Reasignación",K669)))</formula>
    </cfRule>
    <cfRule type="containsText" dxfId="11507" priority="11516" operator="containsText" text="RECHAZADA">
      <formula>NOT(ISERROR(SEARCH("RECHAZADA",K669)))</formula>
    </cfRule>
    <cfRule type="containsText" dxfId="11506" priority="11517" operator="containsText" text="Atendida">
      <formula>NOT(ISERROR(SEARCH("Atendida",K669)))</formula>
    </cfRule>
  </conditionalFormatting>
  <conditionalFormatting sqref="K669">
    <cfRule type="containsText" dxfId="11505" priority="11524" operator="containsText" text="Reasignación">
      <formula>NOT(ISERROR(SEARCH("Reasignación",K669)))</formula>
    </cfRule>
    <cfRule type="containsText" dxfId="11504" priority="11525" operator="containsText" text="RECHAZADA">
      <formula>NOT(ISERROR(SEARCH("RECHAZADA",K669)))</formula>
    </cfRule>
    <cfRule type="containsText" dxfId="11503" priority="11526" operator="containsText" text="Atendida">
      <formula>NOT(ISERROR(SEARCH("Atendida",K669)))</formula>
    </cfRule>
  </conditionalFormatting>
  <conditionalFormatting sqref="K670">
    <cfRule type="containsText" dxfId="11502" priority="11497" operator="containsText" text="Reasignación">
      <formula>NOT(ISERROR(SEARCH("Reasignación",K670)))</formula>
    </cfRule>
    <cfRule type="containsText" dxfId="11501" priority="11498" operator="containsText" text="RECHAZADA">
      <formula>NOT(ISERROR(SEARCH("RECHAZADA",K670)))</formula>
    </cfRule>
    <cfRule type="containsText" dxfId="11500" priority="11499" operator="containsText" text="Atendida">
      <formula>NOT(ISERROR(SEARCH("Atendida",K670)))</formula>
    </cfRule>
  </conditionalFormatting>
  <conditionalFormatting sqref="K670">
    <cfRule type="containsText" dxfId="11499" priority="11506" operator="containsText" text="Reasignación">
      <formula>NOT(ISERROR(SEARCH("Reasignación",K670)))</formula>
    </cfRule>
    <cfRule type="containsText" dxfId="11498" priority="11507" operator="containsText" text="RECHAZADA">
      <formula>NOT(ISERROR(SEARCH("RECHAZADA",K670)))</formula>
    </cfRule>
    <cfRule type="containsText" dxfId="11497" priority="11508" operator="containsText" text="Atendida">
      <formula>NOT(ISERROR(SEARCH("Atendida",K670)))</formula>
    </cfRule>
  </conditionalFormatting>
  <conditionalFormatting sqref="K670">
    <cfRule type="containsText" dxfId="11496" priority="11503" operator="containsText" text="Reasignación">
      <formula>NOT(ISERROR(SEARCH("Reasignación",K670)))</formula>
    </cfRule>
    <cfRule type="containsText" dxfId="11495" priority="11504" operator="containsText" text="RECHAZADA">
      <formula>NOT(ISERROR(SEARCH("RECHAZADA",K670)))</formula>
    </cfRule>
    <cfRule type="containsText" dxfId="11494" priority="11505" operator="containsText" text="Atendida">
      <formula>NOT(ISERROR(SEARCH("Atendida",K670)))</formula>
    </cfRule>
  </conditionalFormatting>
  <conditionalFormatting sqref="K670">
    <cfRule type="containsText" dxfId="11493" priority="11500" operator="containsText" text="Reasignación">
      <formula>NOT(ISERROR(SEARCH("Reasignación",K670)))</formula>
    </cfRule>
    <cfRule type="containsText" dxfId="11492" priority="11501" operator="containsText" text="RECHAZADA">
      <formula>NOT(ISERROR(SEARCH("RECHAZADA",K670)))</formula>
    </cfRule>
    <cfRule type="containsText" dxfId="11491" priority="11502" operator="containsText" text="Atendida">
      <formula>NOT(ISERROR(SEARCH("Atendida",K670)))</formula>
    </cfRule>
  </conditionalFormatting>
  <conditionalFormatting sqref="K670">
    <cfRule type="containsText" dxfId="11490" priority="11509" operator="containsText" text="Reasignación">
      <formula>NOT(ISERROR(SEARCH("Reasignación",K670)))</formula>
    </cfRule>
    <cfRule type="containsText" dxfId="11489" priority="11510" operator="containsText" text="RECHAZADA">
      <formula>NOT(ISERROR(SEARCH("RECHAZADA",K670)))</formula>
    </cfRule>
    <cfRule type="containsText" dxfId="11488" priority="11511" operator="containsText" text="Atendida">
      <formula>NOT(ISERROR(SEARCH("Atendida",K670)))</formula>
    </cfRule>
  </conditionalFormatting>
  <conditionalFormatting sqref="K671">
    <cfRule type="containsText" dxfId="11487" priority="11482" operator="containsText" text="Reasignación">
      <formula>NOT(ISERROR(SEARCH("Reasignación",K671)))</formula>
    </cfRule>
    <cfRule type="containsText" dxfId="11486" priority="11483" operator="containsText" text="RECHAZADA">
      <formula>NOT(ISERROR(SEARCH("RECHAZADA",K671)))</formula>
    </cfRule>
    <cfRule type="containsText" dxfId="11485" priority="11484" operator="containsText" text="Atendida">
      <formula>NOT(ISERROR(SEARCH("Atendida",K671)))</formula>
    </cfRule>
  </conditionalFormatting>
  <conditionalFormatting sqref="K671">
    <cfRule type="containsText" dxfId="11484" priority="11491" operator="containsText" text="Reasignación">
      <formula>NOT(ISERROR(SEARCH("Reasignación",K671)))</formula>
    </cfRule>
    <cfRule type="containsText" dxfId="11483" priority="11492" operator="containsText" text="RECHAZADA">
      <formula>NOT(ISERROR(SEARCH("RECHAZADA",K671)))</formula>
    </cfRule>
    <cfRule type="containsText" dxfId="11482" priority="11493" operator="containsText" text="Atendida">
      <formula>NOT(ISERROR(SEARCH("Atendida",K671)))</formula>
    </cfRule>
  </conditionalFormatting>
  <conditionalFormatting sqref="K671">
    <cfRule type="containsText" dxfId="11481" priority="11488" operator="containsText" text="Reasignación">
      <formula>NOT(ISERROR(SEARCH("Reasignación",K671)))</formula>
    </cfRule>
    <cfRule type="containsText" dxfId="11480" priority="11489" operator="containsText" text="RECHAZADA">
      <formula>NOT(ISERROR(SEARCH("RECHAZADA",K671)))</formula>
    </cfRule>
    <cfRule type="containsText" dxfId="11479" priority="11490" operator="containsText" text="Atendida">
      <formula>NOT(ISERROR(SEARCH("Atendida",K671)))</formula>
    </cfRule>
  </conditionalFormatting>
  <conditionalFormatting sqref="K671">
    <cfRule type="containsText" dxfId="11478" priority="11485" operator="containsText" text="Reasignación">
      <formula>NOT(ISERROR(SEARCH("Reasignación",K671)))</formula>
    </cfRule>
    <cfRule type="containsText" dxfId="11477" priority="11486" operator="containsText" text="RECHAZADA">
      <formula>NOT(ISERROR(SEARCH("RECHAZADA",K671)))</formula>
    </cfRule>
    <cfRule type="containsText" dxfId="11476" priority="11487" operator="containsText" text="Atendida">
      <formula>NOT(ISERROR(SEARCH("Atendida",K671)))</formula>
    </cfRule>
  </conditionalFormatting>
  <conditionalFormatting sqref="K671">
    <cfRule type="containsText" dxfId="11475" priority="11494" operator="containsText" text="Reasignación">
      <formula>NOT(ISERROR(SEARCH("Reasignación",K671)))</formula>
    </cfRule>
    <cfRule type="containsText" dxfId="11474" priority="11495" operator="containsText" text="RECHAZADA">
      <formula>NOT(ISERROR(SEARCH("RECHAZADA",K671)))</formula>
    </cfRule>
    <cfRule type="containsText" dxfId="11473" priority="11496" operator="containsText" text="Atendida">
      <formula>NOT(ISERROR(SEARCH("Atendida",K671)))</formula>
    </cfRule>
  </conditionalFormatting>
  <conditionalFormatting sqref="K672">
    <cfRule type="containsText" dxfId="11472" priority="11467" operator="containsText" text="Reasignación">
      <formula>NOT(ISERROR(SEARCH("Reasignación",K672)))</formula>
    </cfRule>
    <cfRule type="containsText" dxfId="11471" priority="11468" operator="containsText" text="RECHAZADA">
      <formula>NOT(ISERROR(SEARCH("RECHAZADA",K672)))</formula>
    </cfRule>
    <cfRule type="containsText" dxfId="11470" priority="11469" operator="containsText" text="Atendida">
      <formula>NOT(ISERROR(SEARCH("Atendida",K672)))</formula>
    </cfRule>
  </conditionalFormatting>
  <conditionalFormatting sqref="K672">
    <cfRule type="containsText" dxfId="11469" priority="11470" operator="containsText" text="Reasignación">
      <formula>NOT(ISERROR(SEARCH("Reasignación",K672)))</formula>
    </cfRule>
    <cfRule type="containsText" dxfId="11468" priority="11471" operator="containsText" text="RECHAZADA">
      <formula>NOT(ISERROR(SEARCH("RECHAZADA",K672)))</formula>
    </cfRule>
    <cfRule type="containsText" dxfId="11467" priority="11472" operator="containsText" text="Atendida">
      <formula>NOT(ISERROR(SEARCH("Atendida",K672)))</formula>
    </cfRule>
  </conditionalFormatting>
  <conditionalFormatting sqref="K672">
    <cfRule type="containsText" dxfId="11466" priority="11476" operator="containsText" text="Reasignación">
      <formula>NOT(ISERROR(SEARCH("Reasignación",K672)))</formula>
    </cfRule>
    <cfRule type="containsText" dxfId="11465" priority="11477" operator="containsText" text="RECHAZADA">
      <formula>NOT(ISERROR(SEARCH("RECHAZADA",K672)))</formula>
    </cfRule>
    <cfRule type="containsText" dxfId="11464" priority="11478" operator="containsText" text="Atendida">
      <formula>NOT(ISERROR(SEARCH("Atendida",K672)))</formula>
    </cfRule>
  </conditionalFormatting>
  <conditionalFormatting sqref="K672">
    <cfRule type="containsText" dxfId="11463" priority="11473" operator="containsText" text="Reasignación">
      <formula>NOT(ISERROR(SEARCH("Reasignación",K672)))</formula>
    </cfRule>
    <cfRule type="containsText" dxfId="11462" priority="11474" operator="containsText" text="RECHAZADA">
      <formula>NOT(ISERROR(SEARCH("RECHAZADA",K672)))</formula>
    </cfRule>
    <cfRule type="containsText" dxfId="11461" priority="11475" operator="containsText" text="Atendida">
      <formula>NOT(ISERROR(SEARCH("Atendida",K672)))</formula>
    </cfRule>
  </conditionalFormatting>
  <conditionalFormatting sqref="K672">
    <cfRule type="containsText" dxfId="11460" priority="11479" operator="containsText" text="Reasignación">
      <formula>NOT(ISERROR(SEARCH("Reasignación",K672)))</formula>
    </cfRule>
    <cfRule type="containsText" dxfId="11459" priority="11480" operator="containsText" text="RECHAZADA">
      <formula>NOT(ISERROR(SEARCH("RECHAZADA",K672)))</formula>
    </cfRule>
    <cfRule type="containsText" dxfId="11458" priority="11481" operator="containsText" text="Atendida">
      <formula>NOT(ISERROR(SEARCH("Atendida",K672)))</formula>
    </cfRule>
  </conditionalFormatting>
  <conditionalFormatting sqref="K673">
    <cfRule type="containsText" dxfId="11457" priority="11452" operator="containsText" text="Reasignación">
      <formula>NOT(ISERROR(SEARCH("Reasignación",K673)))</formula>
    </cfRule>
    <cfRule type="containsText" dxfId="11456" priority="11453" operator="containsText" text="RECHAZADA">
      <formula>NOT(ISERROR(SEARCH("RECHAZADA",K673)))</formula>
    </cfRule>
    <cfRule type="containsText" dxfId="11455" priority="11454" operator="containsText" text="Atendida">
      <formula>NOT(ISERROR(SEARCH("Atendida",K673)))</formula>
    </cfRule>
  </conditionalFormatting>
  <conditionalFormatting sqref="K673">
    <cfRule type="containsText" dxfId="11454" priority="11461" operator="containsText" text="Reasignación">
      <formula>NOT(ISERROR(SEARCH("Reasignación",K673)))</formula>
    </cfRule>
    <cfRule type="containsText" dxfId="11453" priority="11462" operator="containsText" text="RECHAZADA">
      <formula>NOT(ISERROR(SEARCH("RECHAZADA",K673)))</formula>
    </cfRule>
    <cfRule type="containsText" dxfId="11452" priority="11463" operator="containsText" text="Atendida">
      <formula>NOT(ISERROR(SEARCH("Atendida",K673)))</formula>
    </cfRule>
  </conditionalFormatting>
  <conditionalFormatting sqref="K673">
    <cfRule type="containsText" dxfId="11451" priority="11458" operator="containsText" text="Reasignación">
      <formula>NOT(ISERROR(SEARCH("Reasignación",K673)))</formula>
    </cfRule>
    <cfRule type="containsText" dxfId="11450" priority="11459" operator="containsText" text="RECHAZADA">
      <formula>NOT(ISERROR(SEARCH("RECHAZADA",K673)))</formula>
    </cfRule>
    <cfRule type="containsText" dxfId="11449" priority="11460" operator="containsText" text="Atendida">
      <formula>NOT(ISERROR(SEARCH("Atendida",K673)))</formula>
    </cfRule>
  </conditionalFormatting>
  <conditionalFormatting sqref="K673">
    <cfRule type="containsText" dxfId="11448" priority="11455" operator="containsText" text="Reasignación">
      <formula>NOT(ISERROR(SEARCH("Reasignación",K673)))</formula>
    </cfRule>
    <cfRule type="containsText" dxfId="11447" priority="11456" operator="containsText" text="RECHAZADA">
      <formula>NOT(ISERROR(SEARCH("RECHAZADA",K673)))</formula>
    </cfRule>
    <cfRule type="containsText" dxfId="11446" priority="11457" operator="containsText" text="Atendida">
      <formula>NOT(ISERROR(SEARCH("Atendida",K673)))</formula>
    </cfRule>
  </conditionalFormatting>
  <conditionalFormatting sqref="K673">
    <cfRule type="containsText" dxfId="11445" priority="11464" operator="containsText" text="Reasignación">
      <formula>NOT(ISERROR(SEARCH("Reasignación",K673)))</formula>
    </cfRule>
    <cfRule type="containsText" dxfId="11444" priority="11465" operator="containsText" text="RECHAZADA">
      <formula>NOT(ISERROR(SEARCH("RECHAZADA",K673)))</formula>
    </cfRule>
    <cfRule type="containsText" dxfId="11443" priority="11466" operator="containsText" text="Atendida">
      <formula>NOT(ISERROR(SEARCH("Atendida",K673)))</formula>
    </cfRule>
  </conditionalFormatting>
  <conditionalFormatting sqref="M674">
    <cfRule type="containsText" dxfId="11442" priority="11447" operator="containsText" text="OBSERVADO">
      <formula>NOT(ISERROR(SEARCH("OBSERVADO",M674)))</formula>
    </cfRule>
    <cfRule type="containsText" dxfId="11441" priority="11448" operator="containsText" text="CONFORME">
      <formula>NOT(ISERROR(SEARCH("CONFORME",M674)))</formula>
    </cfRule>
    <cfRule type="containsText" dxfId="11440" priority="11449" operator="containsText" text="RECHAZADA">
      <formula>NOT(ISERROR(SEARCH("RECHAZADA",M674)))</formula>
    </cfRule>
    <cfRule type="containsText" dxfId="11439" priority="11450" operator="containsText" text="Atendida">
      <formula>NOT(ISERROR(SEARCH("Atendida",M674)))</formula>
    </cfRule>
  </conditionalFormatting>
  <conditionalFormatting sqref="B674">
    <cfRule type="duplicateValues" dxfId="11438" priority="11451"/>
  </conditionalFormatting>
  <conditionalFormatting sqref="K674">
    <cfRule type="containsText" dxfId="11437" priority="11432" operator="containsText" text="Reasignación">
      <formula>NOT(ISERROR(SEARCH("Reasignación",K674)))</formula>
    </cfRule>
    <cfRule type="containsText" dxfId="11436" priority="11433" operator="containsText" text="RECHAZADA">
      <formula>NOT(ISERROR(SEARCH("RECHAZADA",K674)))</formula>
    </cfRule>
    <cfRule type="containsText" dxfId="11435" priority="11434" operator="containsText" text="Atendida">
      <formula>NOT(ISERROR(SEARCH("Atendida",K674)))</formula>
    </cfRule>
  </conditionalFormatting>
  <conditionalFormatting sqref="K674">
    <cfRule type="containsText" dxfId="11434" priority="11441" operator="containsText" text="Reasignación">
      <formula>NOT(ISERROR(SEARCH("Reasignación",K674)))</formula>
    </cfRule>
    <cfRule type="containsText" dxfId="11433" priority="11442" operator="containsText" text="RECHAZADA">
      <formula>NOT(ISERROR(SEARCH("RECHAZADA",K674)))</formula>
    </cfRule>
    <cfRule type="containsText" dxfId="11432" priority="11443" operator="containsText" text="Atendida">
      <formula>NOT(ISERROR(SEARCH("Atendida",K674)))</formula>
    </cfRule>
  </conditionalFormatting>
  <conditionalFormatting sqref="K674">
    <cfRule type="containsText" dxfId="11431" priority="11438" operator="containsText" text="Reasignación">
      <formula>NOT(ISERROR(SEARCH("Reasignación",K674)))</formula>
    </cfRule>
    <cfRule type="containsText" dxfId="11430" priority="11439" operator="containsText" text="RECHAZADA">
      <formula>NOT(ISERROR(SEARCH("RECHAZADA",K674)))</formula>
    </cfRule>
    <cfRule type="containsText" dxfId="11429" priority="11440" operator="containsText" text="Atendida">
      <formula>NOT(ISERROR(SEARCH("Atendida",K674)))</formula>
    </cfRule>
  </conditionalFormatting>
  <conditionalFormatting sqref="K674">
    <cfRule type="containsText" dxfId="11428" priority="11435" operator="containsText" text="Reasignación">
      <formula>NOT(ISERROR(SEARCH("Reasignación",K674)))</formula>
    </cfRule>
    <cfRule type="containsText" dxfId="11427" priority="11436" operator="containsText" text="RECHAZADA">
      <formula>NOT(ISERROR(SEARCH("RECHAZADA",K674)))</formula>
    </cfRule>
    <cfRule type="containsText" dxfId="11426" priority="11437" operator="containsText" text="Atendida">
      <formula>NOT(ISERROR(SEARCH("Atendida",K674)))</formula>
    </cfRule>
  </conditionalFormatting>
  <conditionalFormatting sqref="K674">
    <cfRule type="containsText" dxfId="11425" priority="11444" operator="containsText" text="Reasignación">
      <formula>NOT(ISERROR(SEARCH("Reasignación",K674)))</formula>
    </cfRule>
    <cfRule type="containsText" dxfId="11424" priority="11445" operator="containsText" text="RECHAZADA">
      <formula>NOT(ISERROR(SEARCH("RECHAZADA",K674)))</formula>
    </cfRule>
    <cfRule type="containsText" dxfId="11423" priority="11446" operator="containsText" text="Atendida">
      <formula>NOT(ISERROR(SEARCH("Atendida",K674)))</formula>
    </cfRule>
  </conditionalFormatting>
  <conditionalFormatting sqref="K675">
    <cfRule type="containsText" dxfId="11422" priority="11426" operator="containsText" text="Reasignación">
      <formula>NOT(ISERROR(SEARCH("Reasignación",K675)))</formula>
    </cfRule>
    <cfRule type="containsText" dxfId="11421" priority="11427" operator="containsText" text="RECHAZADA">
      <formula>NOT(ISERROR(SEARCH("RECHAZADA",K675)))</formula>
    </cfRule>
    <cfRule type="containsText" dxfId="11420" priority="11428" operator="containsText" text="Atendida">
      <formula>NOT(ISERROR(SEARCH("Atendida",K675)))</formula>
    </cfRule>
  </conditionalFormatting>
  <conditionalFormatting sqref="K675">
    <cfRule type="containsText" dxfId="11419" priority="11423" operator="containsText" text="Reasignación">
      <formula>NOT(ISERROR(SEARCH("Reasignación",K675)))</formula>
    </cfRule>
    <cfRule type="containsText" dxfId="11418" priority="11424" operator="containsText" text="RECHAZADA">
      <formula>NOT(ISERROR(SEARCH("RECHAZADA",K675)))</formula>
    </cfRule>
    <cfRule type="containsText" dxfId="11417" priority="11425" operator="containsText" text="Atendida">
      <formula>NOT(ISERROR(SEARCH("Atendida",K675)))</formula>
    </cfRule>
  </conditionalFormatting>
  <conditionalFormatting sqref="K675">
    <cfRule type="containsText" dxfId="11416" priority="11429" operator="containsText" text="Reasignación">
      <formula>NOT(ISERROR(SEARCH("Reasignación",K675)))</formula>
    </cfRule>
    <cfRule type="containsText" dxfId="11415" priority="11430" operator="containsText" text="RECHAZADA">
      <formula>NOT(ISERROR(SEARCH("RECHAZADA",K675)))</formula>
    </cfRule>
    <cfRule type="containsText" dxfId="11414" priority="11431" operator="containsText" text="Atendida">
      <formula>NOT(ISERROR(SEARCH("Atendida",K675)))</formula>
    </cfRule>
  </conditionalFormatting>
  <conditionalFormatting sqref="K675">
    <cfRule type="containsText" dxfId="11413" priority="11420" operator="containsText" text="Reasignación">
      <formula>NOT(ISERROR(SEARCH("Reasignación",K675)))</formula>
    </cfRule>
    <cfRule type="containsText" dxfId="11412" priority="11421" operator="containsText" text="RECHAZADA">
      <formula>NOT(ISERROR(SEARCH("RECHAZADA",K675)))</formula>
    </cfRule>
    <cfRule type="containsText" dxfId="11411" priority="11422" operator="containsText" text="Atendida">
      <formula>NOT(ISERROR(SEARCH("Atendida",K675)))</formula>
    </cfRule>
  </conditionalFormatting>
  <conditionalFormatting sqref="K675">
    <cfRule type="containsText" dxfId="11410" priority="11417" operator="containsText" text="Reasignación">
      <formula>NOT(ISERROR(SEARCH("Reasignación",K675)))</formula>
    </cfRule>
    <cfRule type="containsText" dxfId="11409" priority="11418" operator="containsText" text="RECHAZADA">
      <formula>NOT(ISERROR(SEARCH("RECHAZADA",K675)))</formula>
    </cfRule>
    <cfRule type="containsText" dxfId="11408" priority="11419" operator="containsText" text="Atendida">
      <formula>NOT(ISERROR(SEARCH("Atendida",K675)))</formula>
    </cfRule>
  </conditionalFormatting>
  <conditionalFormatting sqref="K676">
    <cfRule type="containsText" dxfId="11407" priority="11411" operator="containsText" text="Reasignación">
      <formula>NOT(ISERROR(SEARCH("Reasignación",K676)))</formula>
    </cfRule>
    <cfRule type="containsText" dxfId="11406" priority="11412" operator="containsText" text="RECHAZADA">
      <formula>NOT(ISERROR(SEARCH("RECHAZADA",K676)))</formula>
    </cfRule>
    <cfRule type="containsText" dxfId="11405" priority="11413" operator="containsText" text="Atendida">
      <formula>NOT(ISERROR(SEARCH("Atendida",K676)))</formula>
    </cfRule>
  </conditionalFormatting>
  <conditionalFormatting sqref="K676">
    <cfRule type="containsText" dxfId="11404" priority="11408" operator="containsText" text="Reasignación">
      <formula>NOT(ISERROR(SEARCH("Reasignación",K676)))</formula>
    </cfRule>
    <cfRule type="containsText" dxfId="11403" priority="11409" operator="containsText" text="RECHAZADA">
      <formula>NOT(ISERROR(SEARCH("RECHAZADA",K676)))</formula>
    </cfRule>
    <cfRule type="containsText" dxfId="11402" priority="11410" operator="containsText" text="Atendida">
      <formula>NOT(ISERROR(SEARCH("Atendida",K676)))</formula>
    </cfRule>
  </conditionalFormatting>
  <conditionalFormatting sqref="K676">
    <cfRule type="containsText" dxfId="11401" priority="11414" operator="containsText" text="Reasignación">
      <formula>NOT(ISERROR(SEARCH("Reasignación",K676)))</formula>
    </cfRule>
    <cfRule type="containsText" dxfId="11400" priority="11415" operator="containsText" text="RECHAZADA">
      <formula>NOT(ISERROR(SEARCH("RECHAZADA",K676)))</formula>
    </cfRule>
    <cfRule type="containsText" dxfId="11399" priority="11416" operator="containsText" text="Atendida">
      <formula>NOT(ISERROR(SEARCH("Atendida",K676)))</formula>
    </cfRule>
  </conditionalFormatting>
  <conditionalFormatting sqref="K676">
    <cfRule type="containsText" dxfId="11398" priority="11405" operator="containsText" text="Reasignación">
      <formula>NOT(ISERROR(SEARCH("Reasignación",K676)))</formula>
    </cfRule>
    <cfRule type="containsText" dxfId="11397" priority="11406" operator="containsText" text="RECHAZADA">
      <formula>NOT(ISERROR(SEARCH("RECHAZADA",K676)))</formula>
    </cfRule>
    <cfRule type="containsText" dxfId="11396" priority="11407" operator="containsText" text="Atendida">
      <formula>NOT(ISERROR(SEARCH("Atendida",K676)))</formula>
    </cfRule>
  </conditionalFormatting>
  <conditionalFormatting sqref="K676">
    <cfRule type="containsText" dxfId="11395" priority="11402" operator="containsText" text="Reasignación">
      <formula>NOT(ISERROR(SEARCH("Reasignación",K676)))</formula>
    </cfRule>
    <cfRule type="containsText" dxfId="11394" priority="11403" operator="containsText" text="RECHAZADA">
      <formula>NOT(ISERROR(SEARCH("RECHAZADA",K676)))</formula>
    </cfRule>
    <cfRule type="containsText" dxfId="11393" priority="11404" operator="containsText" text="Atendida">
      <formula>NOT(ISERROR(SEARCH("Atendida",K676)))</formula>
    </cfRule>
  </conditionalFormatting>
  <conditionalFormatting sqref="B677:B678">
    <cfRule type="duplicateValues" dxfId="11392" priority="11401"/>
  </conditionalFormatting>
  <conditionalFormatting sqref="K677">
    <cfRule type="containsText" dxfId="11391" priority="11395" operator="containsText" text="Reasignación">
      <formula>NOT(ISERROR(SEARCH("Reasignación",K677)))</formula>
    </cfRule>
    <cfRule type="containsText" dxfId="11390" priority="11396" operator="containsText" text="RECHAZADA">
      <formula>NOT(ISERROR(SEARCH("RECHAZADA",K677)))</formula>
    </cfRule>
    <cfRule type="containsText" dxfId="11389" priority="11397" operator="containsText" text="Atendida">
      <formula>NOT(ISERROR(SEARCH("Atendida",K677)))</formula>
    </cfRule>
  </conditionalFormatting>
  <conditionalFormatting sqref="K677">
    <cfRule type="containsText" dxfId="11388" priority="11392" operator="containsText" text="Reasignación">
      <formula>NOT(ISERROR(SEARCH("Reasignación",K677)))</formula>
    </cfRule>
    <cfRule type="containsText" dxfId="11387" priority="11393" operator="containsText" text="RECHAZADA">
      <formula>NOT(ISERROR(SEARCH("RECHAZADA",K677)))</formula>
    </cfRule>
    <cfRule type="containsText" dxfId="11386" priority="11394" operator="containsText" text="Atendida">
      <formula>NOT(ISERROR(SEARCH("Atendida",K677)))</formula>
    </cfRule>
  </conditionalFormatting>
  <conditionalFormatting sqref="K677">
    <cfRule type="containsText" dxfId="11385" priority="11398" operator="containsText" text="Reasignación">
      <formula>NOT(ISERROR(SEARCH("Reasignación",K677)))</formula>
    </cfRule>
    <cfRule type="containsText" dxfId="11384" priority="11399" operator="containsText" text="RECHAZADA">
      <formula>NOT(ISERROR(SEARCH("RECHAZADA",K677)))</formula>
    </cfRule>
    <cfRule type="containsText" dxfId="11383" priority="11400" operator="containsText" text="Atendida">
      <formula>NOT(ISERROR(SEARCH("Atendida",K677)))</formula>
    </cfRule>
  </conditionalFormatting>
  <conditionalFormatting sqref="K677">
    <cfRule type="containsText" dxfId="11382" priority="11389" operator="containsText" text="Reasignación">
      <formula>NOT(ISERROR(SEARCH("Reasignación",K677)))</formula>
    </cfRule>
    <cfRule type="containsText" dxfId="11381" priority="11390" operator="containsText" text="RECHAZADA">
      <formula>NOT(ISERROR(SEARCH("RECHAZADA",K677)))</formula>
    </cfRule>
    <cfRule type="containsText" dxfId="11380" priority="11391" operator="containsText" text="Atendida">
      <formula>NOT(ISERROR(SEARCH("Atendida",K677)))</formula>
    </cfRule>
  </conditionalFormatting>
  <conditionalFormatting sqref="K677">
    <cfRule type="containsText" dxfId="11379" priority="11386" operator="containsText" text="Reasignación">
      <formula>NOT(ISERROR(SEARCH("Reasignación",K677)))</formula>
    </cfRule>
    <cfRule type="containsText" dxfId="11378" priority="11387" operator="containsText" text="RECHAZADA">
      <formula>NOT(ISERROR(SEARCH("RECHAZADA",K677)))</formula>
    </cfRule>
    <cfRule type="containsText" dxfId="11377" priority="11388" operator="containsText" text="Atendida">
      <formula>NOT(ISERROR(SEARCH("Atendida",K677)))</formula>
    </cfRule>
  </conditionalFormatting>
  <conditionalFormatting sqref="K678">
    <cfRule type="containsText" dxfId="11376" priority="11380" operator="containsText" text="Reasignación">
      <formula>NOT(ISERROR(SEARCH("Reasignación",K678)))</formula>
    </cfRule>
    <cfRule type="containsText" dxfId="11375" priority="11381" operator="containsText" text="RECHAZADA">
      <formula>NOT(ISERROR(SEARCH("RECHAZADA",K678)))</formula>
    </cfRule>
    <cfRule type="containsText" dxfId="11374" priority="11382" operator="containsText" text="Atendida">
      <formula>NOT(ISERROR(SEARCH("Atendida",K678)))</formula>
    </cfRule>
  </conditionalFormatting>
  <conditionalFormatting sqref="K678">
    <cfRule type="containsText" dxfId="11373" priority="11377" operator="containsText" text="Reasignación">
      <formula>NOT(ISERROR(SEARCH("Reasignación",K678)))</formula>
    </cfRule>
    <cfRule type="containsText" dxfId="11372" priority="11378" operator="containsText" text="RECHAZADA">
      <formula>NOT(ISERROR(SEARCH("RECHAZADA",K678)))</formula>
    </cfRule>
    <cfRule type="containsText" dxfId="11371" priority="11379" operator="containsText" text="Atendida">
      <formula>NOT(ISERROR(SEARCH("Atendida",K678)))</formula>
    </cfRule>
  </conditionalFormatting>
  <conditionalFormatting sqref="K678">
    <cfRule type="containsText" dxfId="11370" priority="11383" operator="containsText" text="Reasignación">
      <formula>NOT(ISERROR(SEARCH("Reasignación",K678)))</formula>
    </cfRule>
    <cfRule type="containsText" dxfId="11369" priority="11384" operator="containsText" text="RECHAZADA">
      <formula>NOT(ISERROR(SEARCH("RECHAZADA",K678)))</formula>
    </cfRule>
    <cfRule type="containsText" dxfId="11368" priority="11385" operator="containsText" text="Atendida">
      <formula>NOT(ISERROR(SEARCH("Atendida",K678)))</formula>
    </cfRule>
  </conditionalFormatting>
  <conditionalFormatting sqref="K678">
    <cfRule type="containsText" dxfId="11367" priority="11374" operator="containsText" text="Reasignación">
      <formula>NOT(ISERROR(SEARCH("Reasignación",K678)))</formula>
    </cfRule>
    <cfRule type="containsText" dxfId="11366" priority="11375" operator="containsText" text="RECHAZADA">
      <formula>NOT(ISERROR(SEARCH("RECHAZADA",K678)))</formula>
    </cfRule>
    <cfRule type="containsText" dxfId="11365" priority="11376" operator="containsText" text="Atendida">
      <formula>NOT(ISERROR(SEARCH("Atendida",K678)))</formula>
    </cfRule>
  </conditionalFormatting>
  <conditionalFormatting sqref="K678">
    <cfRule type="containsText" dxfId="11364" priority="11371" operator="containsText" text="Reasignación">
      <formula>NOT(ISERROR(SEARCH("Reasignación",K678)))</formula>
    </cfRule>
    <cfRule type="containsText" dxfId="11363" priority="11372" operator="containsText" text="RECHAZADA">
      <formula>NOT(ISERROR(SEARCH("RECHAZADA",K678)))</formula>
    </cfRule>
    <cfRule type="containsText" dxfId="11362" priority="11373" operator="containsText" text="Atendida">
      <formula>NOT(ISERROR(SEARCH("Atendida",K678)))</formula>
    </cfRule>
  </conditionalFormatting>
  <conditionalFormatting sqref="B679">
    <cfRule type="duplicateValues" dxfId="11361" priority="11370"/>
  </conditionalFormatting>
  <conditionalFormatting sqref="K679:K681">
    <cfRule type="containsText" dxfId="11360" priority="11353" operator="containsText" text="Reasignación">
      <formula>NOT(ISERROR(SEARCH("Reasignación",K679)))</formula>
    </cfRule>
    <cfRule type="containsText" dxfId="11359" priority="11354" operator="containsText" text="RECHAZADA">
      <formula>NOT(ISERROR(SEARCH("RECHAZADA",K679)))</formula>
    </cfRule>
    <cfRule type="containsText" dxfId="11358" priority="11355" operator="containsText" text="Atendida">
      <formula>NOT(ISERROR(SEARCH("Atendida",K679)))</formula>
    </cfRule>
  </conditionalFormatting>
  <conditionalFormatting sqref="K679">
    <cfRule type="containsText" dxfId="11357" priority="11356" operator="containsText" text="Reasignación">
      <formula>NOT(ISERROR(SEARCH("Reasignación",K679)))</formula>
    </cfRule>
    <cfRule type="containsText" dxfId="11356" priority="11357" operator="containsText" text="RECHAZADA">
      <formula>NOT(ISERROR(SEARCH("RECHAZADA",K679)))</formula>
    </cfRule>
    <cfRule type="containsText" dxfId="11355" priority="11358" operator="containsText" text="Atendida">
      <formula>NOT(ISERROR(SEARCH("Atendida",K679)))</formula>
    </cfRule>
    <cfRule type="containsText" dxfId="11354" priority="11359" operator="containsText" text="Reasignación">
      <formula>NOT(ISERROR(SEARCH("Reasignación",K679)))</formula>
    </cfRule>
    <cfRule type="containsText" dxfId="11353" priority="11360" operator="containsText" text="RECHAZADA">
      <formula>NOT(ISERROR(SEARCH("RECHAZADA",K679)))</formula>
    </cfRule>
    <cfRule type="containsText" dxfId="11352" priority="11361" operator="containsText" text="Atendida">
      <formula>NOT(ISERROR(SEARCH("Atendida",K679)))</formula>
    </cfRule>
    <cfRule type="containsText" dxfId="11351" priority="11362" operator="containsText" text="Reasignación">
      <formula>NOT(ISERROR(SEARCH("Reasignación",K679)))</formula>
    </cfRule>
    <cfRule type="containsText" dxfId="11350" priority="11363" operator="containsText" text="RECHAZADA">
      <formula>NOT(ISERROR(SEARCH("RECHAZADA",K679)))</formula>
    </cfRule>
    <cfRule type="containsText" dxfId="11349" priority="11364" operator="containsText" text="Atendida">
      <formula>NOT(ISERROR(SEARCH("Atendida",K679)))</formula>
    </cfRule>
    <cfRule type="containsText" dxfId="11348" priority="11365" operator="containsText" text="Reasignación">
      <formula>NOT(ISERROR(SEARCH("Reasignación",K679)))</formula>
    </cfRule>
    <cfRule type="containsText" dxfId="11347" priority="11366" operator="containsText" text="RECHAZADA">
      <formula>NOT(ISERROR(SEARCH("RECHAZADA",K679)))</formula>
    </cfRule>
    <cfRule type="containsText" dxfId="11346" priority="11367" operator="containsText" text="Atendida">
      <formula>NOT(ISERROR(SEARCH("Atendida",K679)))</formula>
    </cfRule>
  </conditionalFormatting>
  <conditionalFormatting sqref="M679:M686">
    <cfRule type="containsText" dxfId="11345" priority="11351" operator="containsText" text="OBSERVADO">
      <formula>NOT(ISERROR(SEARCH("OBSERVADO",M679)))</formula>
    </cfRule>
    <cfRule type="containsText" dxfId="11344" priority="11352" operator="containsText" text="CONFORME">
      <formula>NOT(ISERROR(SEARCH("CONFORME",M679)))</formula>
    </cfRule>
  </conditionalFormatting>
  <conditionalFormatting sqref="M679">
    <cfRule type="containsText" dxfId="11343" priority="11368" operator="containsText" text="RECHAZADA">
      <formula>NOT(ISERROR(SEARCH("RECHAZADA",M679)))</formula>
    </cfRule>
    <cfRule type="containsText" dxfId="11342" priority="11369" operator="containsText" text="Atendida">
      <formula>NOT(ISERROR(SEARCH("Atendida",M679)))</formula>
    </cfRule>
  </conditionalFormatting>
  <conditionalFormatting sqref="K679">
    <cfRule type="containsText" dxfId="11341" priority="11339" operator="containsText" text="Reasignación">
      <formula>NOT(ISERROR(SEARCH("Reasignación",K679)))</formula>
    </cfRule>
    <cfRule type="containsText" dxfId="11340" priority="11340" operator="containsText" text="RECHAZADA">
      <formula>NOT(ISERROR(SEARCH("RECHAZADA",K679)))</formula>
    </cfRule>
    <cfRule type="containsText" dxfId="11339" priority="11341" operator="containsText" text="Atendida">
      <formula>NOT(ISERROR(SEARCH("Atendida",K679)))</formula>
    </cfRule>
    <cfRule type="containsText" dxfId="11338" priority="11342" operator="containsText" text="Reasignación">
      <formula>NOT(ISERROR(SEARCH("Reasignación",K679)))</formula>
    </cfRule>
    <cfRule type="containsText" dxfId="11337" priority="11343" operator="containsText" text="RECHAZADA">
      <formula>NOT(ISERROR(SEARCH("RECHAZADA",K679)))</formula>
    </cfRule>
    <cfRule type="containsText" dxfId="11336" priority="11344" operator="containsText" text="Atendida">
      <formula>NOT(ISERROR(SEARCH("Atendida",K679)))</formula>
    </cfRule>
    <cfRule type="containsText" dxfId="11335" priority="11345" operator="containsText" text="Reasignación">
      <formula>NOT(ISERROR(SEARCH("Reasignación",K679)))</formula>
    </cfRule>
    <cfRule type="containsText" dxfId="11334" priority="11346" operator="containsText" text="RECHAZADA">
      <formula>NOT(ISERROR(SEARCH("RECHAZADA",K679)))</formula>
    </cfRule>
    <cfRule type="containsText" dxfId="11333" priority="11347" operator="containsText" text="Atendida">
      <formula>NOT(ISERROR(SEARCH("Atendida",K679)))</formula>
    </cfRule>
    <cfRule type="containsText" dxfId="11332" priority="11348" operator="containsText" text="Reasignación">
      <formula>NOT(ISERROR(SEARCH("Reasignación",K679)))</formula>
    </cfRule>
    <cfRule type="containsText" dxfId="11331" priority="11349" operator="containsText" text="RECHAZADA">
      <formula>NOT(ISERROR(SEARCH("RECHAZADA",K679)))</formula>
    </cfRule>
    <cfRule type="containsText" dxfId="11330" priority="11350" operator="containsText" text="Atendida">
      <formula>NOT(ISERROR(SEARCH("Atendida",K679)))</formula>
    </cfRule>
  </conditionalFormatting>
  <conditionalFormatting sqref="B685 B680:B682">
    <cfRule type="duplicateValues" dxfId="11329" priority="11336"/>
  </conditionalFormatting>
  <conditionalFormatting sqref="K680">
    <cfRule type="containsText" dxfId="11328" priority="11312" operator="containsText" text="Reasignación">
      <formula>NOT(ISERROR(SEARCH("Reasignación",K680)))</formula>
    </cfRule>
    <cfRule type="containsText" dxfId="11327" priority="11313" operator="containsText" text="RECHAZADA">
      <formula>NOT(ISERROR(SEARCH("RECHAZADA",K680)))</formula>
    </cfRule>
    <cfRule type="containsText" dxfId="11326" priority="11314" operator="containsText" text="Atendida">
      <formula>NOT(ISERROR(SEARCH("Atendida",K680)))</formula>
    </cfRule>
    <cfRule type="containsText" dxfId="11325" priority="11315" operator="containsText" text="Reasignación">
      <formula>NOT(ISERROR(SEARCH("Reasignación",K680)))</formula>
    </cfRule>
    <cfRule type="containsText" dxfId="11324" priority="11316" operator="containsText" text="RECHAZADA">
      <formula>NOT(ISERROR(SEARCH("RECHAZADA",K680)))</formula>
    </cfRule>
    <cfRule type="containsText" dxfId="11323" priority="11317" operator="containsText" text="Atendida">
      <formula>NOT(ISERROR(SEARCH("Atendida",K680)))</formula>
    </cfRule>
    <cfRule type="containsText" dxfId="11322" priority="11318" operator="containsText" text="Reasignación">
      <formula>NOT(ISERROR(SEARCH("Reasignación",K680)))</formula>
    </cfRule>
    <cfRule type="containsText" dxfId="11321" priority="11319" operator="containsText" text="RECHAZADA">
      <formula>NOT(ISERROR(SEARCH("RECHAZADA",K680)))</formula>
    </cfRule>
    <cfRule type="containsText" dxfId="11320" priority="11320" operator="containsText" text="Atendida">
      <formula>NOT(ISERROR(SEARCH("Atendida",K680)))</formula>
    </cfRule>
    <cfRule type="containsText" dxfId="11319" priority="11321" operator="containsText" text="Reasignación">
      <formula>NOT(ISERROR(SEARCH("Reasignación",K680)))</formula>
    </cfRule>
    <cfRule type="containsText" dxfId="11318" priority="11322" operator="containsText" text="RECHAZADA">
      <formula>NOT(ISERROR(SEARCH("RECHAZADA",K680)))</formula>
    </cfRule>
    <cfRule type="containsText" dxfId="11317" priority="11323" operator="containsText" text="Atendida">
      <formula>NOT(ISERROR(SEARCH("Atendida",K680)))</formula>
    </cfRule>
  </conditionalFormatting>
  <conditionalFormatting sqref="K681">
    <cfRule type="containsText" dxfId="11316" priority="11324" operator="containsText" text="Reasignación">
      <formula>NOT(ISERROR(SEARCH("Reasignación",K681)))</formula>
    </cfRule>
    <cfRule type="containsText" dxfId="11315" priority="11325" operator="containsText" text="RECHAZADA">
      <formula>NOT(ISERROR(SEARCH("RECHAZADA",K681)))</formula>
    </cfRule>
    <cfRule type="containsText" dxfId="11314" priority="11326" operator="containsText" text="Atendida">
      <formula>NOT(ISERROR(SEARCH("Atendida",K681)))</formula>
    </cfRule>
    <cfRule type="containsText" dxfId="11313" priority="11327" operator="containsText" text="Reasignación">
      <formula>NOT(ISERROR(SEARCH("Reasignación",K681)))</formula>
    </cfRule>
    <cfRule type="containsText" dxfId="11312" priority="11328" operator="containsText" text="RECHAZADA">
      <formula>NOT(ISERROR(SEARCH("RECHAZADA",K681)))</formula>
    </cfRule>
    <cfRule type="containsText" dxfId="11311" priority="11329" operator="containsText" text="Atendida">
      <formula>NOT(ISERROR(SEARCH("Atendida",K681)))</formula>
    </cfRule>
    <cfRule type="containsText" dxfId="11310" priority="11330" operator="containsText" text="Reasignación">
      <formula>NOT(ISERROR(SEARCH("Reasignación",K681)))</formula>
    </cfRule>
    <cfRule type="containsText" dxfId="11309" priority="11331" operator="containsText" text="RECHAZADA">
      <formula>NOT(ISERROR(SEARCH("RECHAZADA",K681)))</formula>
    </cfRule>
    <cfRule type="containsText" dxfId="11308" priority="11332" operator="containsText" text="Atendida">
      <formula>NOT(ISERROR(SEARCH("Atendida",K681)))</formula>
    </cfRule>
    <cfRule type="containsText" dxfId="11307" priority="11333" operator="containsText" text="Reasignación">
      <formula>NOT(ISERROR(SEARCH("Reasignación",K681)))</formula>
    </cfRule>
    <cfRule type="containsText" dxfId="11306" priority="11334" operator="containsText" text="RECHAZADA">
      <formula>NOT(ISERROR(SEARCH("RECHAZADA",K681)))</formula>
    </cfRule>
    <cfRule type="containsText" dxfId="11305" priority="11335" operator="containsText" text="Atendida">
      <formula>NOT(ISERROR(SEARCH("Atendida",K681)))</formula>
    </cfRule>
  </conditionalFormatting>
  <conditionalFormatting sqref="M685 M680:M682">
    <cfRule type="containsText" dxfId="11304" priority="11337" operator="containsText" text="RECHAZADA">
      <formula>NOT(ISERROR(SEARCH("RECHAZADA",M680)))</formula>
    </cfRule>
    <cfRule type="containsText" dxfId="11303" priority="11338" operator="containsText" text="Atendida">
      <formula>NOT(ISERROR(SEARCH("Atendida",M680)))</formula>
    </cfRule>
  </conditionalFormatting>
  <conditionalFormatting sqref="K681">
    <cfRule type="containsText" dxfId="11302" priority="11300" operator="containsText" text="Reasignación">
      <formula>NOT(ISERROR(SEARCH("Reasignación",K681)))</formula>
    </cfRule>
    <cfRule type="containsText" dxfId="11301" priority="11301" operator="containsText" text="RECHAZADA">
      <formula>NOT(ISERROR(SEARCH("RECHAZADA",K681)))</formula>
    </cfRule>
    <cfRule type="containsText" dxfId="11300" priority="11302" operator="containsText" text="Atendida">
      <formula>NOT(ISERROR(SEARCH("Atendida",K681)))</formula>
    </cfRule>
    <cfRule type="containsText" dxfId="11299" priority="11303" operator="containsText" text="Reasignación">
      <formula>NOT(ISERROR(SEARCH("Reasignación",K681)))</formula>
    </cfRule>
    <cfRule type="containsText" dxfId="11298" priority="11304" operator="containsText" text="RECHAZADA">
      <formula>NOT(ISERROR(SEARCH("RECHAZADA",K681)))</formula>
    </cfRule>
    <cfRule type="containsText" dxfId="11297" priority="11305" operator="containsText" text="Atendida">
      <formula>NOT(ISERROR(SEARCH("Atendida",K681)))</formula>
    </cfRule>
    <cfRule type="containsText" dxfId="11296" priority="11306" operator="containsText" text="Reasignación">
      <formula>NOT(ISERROR(SEARCH("Reasignación",K681)))</formula>
    </cfRule>
    <cfRule type="containsText" dxfId="11295" priority="11307" operator="containsText" text="RECHAZADA">
      <formula>NOT(ISERROR(SEARCH("RECHAZADA",K681)))</formula>
    </cfRule>
    <cfRule type="containsText" dxfId="11294" priority="11308" operator="containsText" text="Atendida">
      <formula>NOT(ISERROR(SEARCH("Atendida",K681)))</formula>
    </cfRule>
    <cfRule type="containsText" dxfId="11293" priority="11309" operator="containsText" text="Reasignación">
      <formula>NOT(ISERROR(SEARCH("Reasignación",K681)))</formula>
    </cfRule>
    <cfRule type="containsText" dxfId="11292" priority="11310" operator="containsText" text="RECHAZADA">
      <formula>NOT(ISERROR(SEARCH("RECHAZADA",K681)))</formula>
    </cfRule>
    <cfRule type="containsText" dxfId="11291" priority="11311" operator="containsText" text="Atendida">
      <formula>NOT(ISERROR(SEARCH("Atendida",K681)))</formula>
    </cfRule>
  </conditionalFormatting>
  <conditionalFormatting sqref="K682">
    <cfRule type="containsText" dxfId="11290" priority="11285" operator="containsText" text="Reasignación">
      <formula>NOT(ISERROR(SEARCH("Reasignación",K682)))</formula>
    </cfRule>
    <cfRule type="containsText" dxfId="11289" priority="11286" operator="containsText" text="RECHAZADA">
      <formula>NOT(ISERROR(SEARCH("RECHAZADA",K682)))</formula>
    </cfRule>
    <cfRule type="containsText" dxfId="11288" priority="11287" operator="containsText" text="Atendida">
      <formula>NOT(ISERROR(SEARCH("Atendida",K682)))</formula>
    </cfRule>
  </conditionalFormatting>
  <conditionalFormatting sqref="K682">
    <cfRule type="containsText" dxfId="11287" priority="11288" operator="containsText" text="Reasignación">
      <formula>NOT(ISERROR(SEARCH("Reasignación",K682)))</formula>
    </cfRule>
    <cfRule type="containsText" dxfId="11286" priority="11289" operator="containsText" text="RECHAZADA">
      <formula>NOT(ISERROR(SEARCH("RECHAZADA",K682)))</formula>
    </cfRule>
    <cfRule type="containsText" dxfId="11285" priority="11290" operator="containsText" text="Atendida">
      <formula>NOT(ISERROR(SEARCH("Atendida",K682)))</formula>
    </cfRule>
    <cfRule type="containsText" dxfId="11284" priority="11291" operator="containsText" text="Reasignación">
      <formula>NOT(ISERROR(SEARCH("Reasignación",K682)))</formula>
    </cfRule>
    <cfRule type="containsText" dxfId="11283" priority="11292" operator="containsText" text="RECHAZADA">
      <formula>NOT(ISERROR(SEARCH("RECHAZADA",K682)))</formula>
    </cfRule>
    <cfRule type="containsText" dxfId="11282" priority="11293" operator="containsText" text="Atendida">
      <formula>NOT(ISERROR(SEARCH("Atendida",K682)))</formula>
    </cfRule>
    <cfRule type="containsText" dxfId="11281" priority="11294" operator="containsText" text="Reasignación">
      <formula>NOT(ISERROR(SEARCH("Reasignación",K682)))</formula>
    </cfRule>
    <cfRule type="containsText" dxfId="11280" priority="11295" operator="containsText" text="RECHAZADA">
      <formula>NOT(ISERROR(SEARCH("RECHAZADA",K682)))</formula>
    </cfRule>
    <cfRule type="containsText" dxfId="11279" priority="11296" operator="containsText" text="Atendida">
      <formula>NOT(ISERROR(SEARCH("Atendida",K682)))</formula>
    </cfRule>
    <cfRule type="containsText" dxfId="11278" priority="11297" operator="containsText" text="Reasignación">
      <formula>NOT(ISERROR(SEARCH("Reasignación",K682)))</formula>
    </cfRule>
    <cfRule type="containsText" dxfId="11277" priority="11298" operator="containsText" text="RECHAZADA">
      <formula>NOT(ISERROR(SEARCH("RECHAZADA",K682)))</formula>
    </cfRule>
    <cfRule type="containsText" dxfId="11276" priority="11299" operator="containsText" text="Atendida">
      <formula>NOT(ISERROR(SEARCH("Atendida",K682)))</formula>
    </cfRule>
  </conditionalFormatting>
  <conditionalFormatting sqref="B683">
    <cfRule type="duplicateValues" dxfId="11275" priority="11284"/>
  </conditionalFormatting>
  <conditionalFormatting sqref="B684">
    <cfRule type="duplicateValues" dxfId="11274" priority="11269"/>
  </conditionalFormatting>
  <conditionalFormatting sqref="K683">
    <cfRule type="containsText" dxfId="11273" priority="11272" operator="containsText" text="Reasignación">
      <formula>NOT(ISERROR(SEARCH("Reasignación",K683)))</formula>
    </cfRule>
    <cfRule type="containsText" dxfId="11272" priority="11273" operator="containsText" text="RECHAZADA">
      <formula>NOT(ISERROR(SEARCH("RECHAZADA",K683)))</formula>
    </cfRule>
    <cfRule type="containsText" dxfId="11271" priority="11274" operator="containsText" text="Atendida">
      <formula>NOT(ISERROR(SEARCH("Atendida",K683)))</formula>
    </cfRule>
    <cfRule type="containsText" dxfId="11270" priority="11275" operator="containsText" text="Reasignación">
      <formula>NOT(ISERROR(SEARCH("Reasignación",K683)))</formula>
    </cfRule>
    <cfRule type="containsText" dxfId="11269" priority="11276" operator="containsText" text="RECHAZADA">
      <formula>NOT(ISERROR(SEARCH("RECHAZADA",K683)))</formula>
    </cfRule>
    <cfRule type="containsText" dxfId="11268" priority="11277" operator="containsText" text="Atendida">
      <formula>NOT(ISERROR(SEARCH("Atendida",K683)))</formula>
    </cfRule>
    <cfRule type="containsText" dxfId="11267" priority="11278" operator="containsText" text="Reasignación">
      <formula>NOT(ISERROR(SEARCH("Reasignación",K683)))</formula>
    </cfRule>
    <cfRule type="containsText" dxfId="11266" priority="11279" operator="containsText" text="RECHAZADA">
      <formula>NOT(ISERROR(SEARCH("RECHAZADA",K683)))</formula>
    </cfRule>
    <cfRule type="containsText" dxfId="11265" priority="11280" operator="containsText" text="Atendida">
      <formula>NOT(ISERROR(SEARCH("Atendida",K683)))</formula>
    </cfRule>
    <cfRule type="containsText" dxfId="11264" priority="11281" operator="containsText" text="Reasignación">
      <formula>NOT(ISERROR(SEARCH("Reasignación",K683)))</formula>
    </cfRule>
    <cfRule type="containsText" dxfId="11263" priority="11282" operator="containsText" text="RECHAZADA">
      <formula>NOT(ISERROR(SEARCH("RECHAZADA",K683)))</formula>
    </cfRule>
    <cfRule type="containsText" dxfId="11262" priority="11283" operator="containsText" text="Atendida">
      <formula>NOT(ISERROR(SEARCH("Atendida",K683)))</formula>
    </cfRule>
  </conditionalFormatting>
  <conditionalFormatting sqref="K683:K684">
    <cfRule type="containsText" dxfId="11261" priority="11266" operator="containsText" text="Reasignación">
      <formula>NOT(ISERROR(SEARCH("Reasignación",K683)))</formula>
    </cfRule>
    <cfRule type="containsText" dxfId="11260" priority="11267" operator="containsText" text="RECHAZADA">
      <formula>NOT(ISERROR(SEARCH("RECHAZADA",K683)))</formula>
    </cfRule>
    <cfRule type="containsText" dxfId="11259" priority="11268" operator="containsText" text="Atendida">
      <formula>NOT(ISERROR(SEARCH("Atendida",K683)))</formula>
    </cfRule>
  </conditionalFormatting>
  <conditionalFormatting sqref="K684">
    <cfRule type="containsText" dxfId="11258" priority="11257" operator="containsText" text="Reasignación">
      <formula>NOT(ISERROR(SEARCH("Reasignación",K684)))</formula>
    </cfRule>
    <cfRule type="containsText" dxfId="11257" priority="11258" operator="containsText" text="RECHAZADA">
      <formula>NOT(ISERROR(SEARCH("RECHAZADA",K684)))</formula>
    </cfRule>
    <cfRule type="containsText" dxfId="11256" priority="11259" operator="containsText" text="Atendida">
      <formula>NOT(ISERROR(SEARCH("Atendida",K684)))</formula>
    </cfRule>
    <cfRule type="containsText" dxfId="11255" priority="11260" operator="containsText" text="Reasignación">
      <formula>NOT(ISERROR(SEARCH("Reasignación",K684)))</formula>
    </cfRule>
    <cfRule type="containsText" dxfId="11254" priority="11261" operator="containsText" text="RECHAZADA">
      <formula>NOT(ISERROR(SEARCH("RECHAZADA",K684)))</formula>
    </cfRule>
    <cfRule type="containsText" dxfId="11253" priority="11262" operator="containsText" text="Atendida">
      <formula>NOT(ISERROR(SEARCH("Atendida",K684)))</formula>
    </cfRule>
    <cfRule type="containsText" dxfId="11252" priority="11263" operator="containsText" text="Reasignación">
      <formula>NOT(ISERROR(SEARCH("Reasignación",K684)))</formula>
    </cfRule>
    <cfRule type="containsText" dxfId="11251" priority="11264" operator="containsText" text="RECHAZADA">
      <formula>NOT(ISERROR(SEARCH("RECHAZADA",K684)))</formula>
    </cfRule>
    <cfRule type="containsText" dxfId="11250" priority="11265" operator="containsText" text="Atendida">
      <formula>NOT(ISERROR(SEARCH("Atendida",K684)))</formula>
    </cfRule>
  </conditionalFormatting>
  <conditionalFormatting sqref="K684">
    <cfRule type="containsText" dxfId="11249" priority="11254" operator="containsText" text="Reasignación">
      <formula>NOT(ISERROR(SEARCH("Reasignación",K684)))</formula>
    </cfRule>
    <cfRule type="containsText" dxfId="11248" priority="11255" operator="containsText" text="RECHAZADA">
      <formula>NOT(ISERROR(SEARCH("RECHAZADA",K684)))</formula>
    </cfRule>
    <cfRule type="containsText" dxfId="11247" priority="11256" operator="containsText" text="Atendida">
      <formula>NOT(ISERROR(SEARCH("Atendida",K684)))</formula>
    </cfRule>
  </conditionalFormatting>
  <conditionalFormatting sqref="M683:M684">
    <cfRule type="containsText" dxfId="11246" priority="11270" operator="containsText" text="RECHAZADA">
      <formula>NOT(ISERROR(SEARCH("RECHAZADA",M683)))</formula>
    </cfRule>
    <cfRule type="containsText" dxfId="11245" priority="11271" operator="containsText" text="Atendida">
      <formula>NOT(ISERROR(SEARCH("Atendida",M683)))</formula>
    </cfRule>
  </conditionalFormatting>
  <conditionalFormatting sqref="K683">
    <cfRule type="containsText" dxfId="11244" priority="11245" operator="containsText" text="Reasignación">
      <formula>NOT(ISERROR(SEARCH("Reasignación",K683)))</formula>
    </cfRule>
    <cfRule type="containsText" dxfId="11243" priority="11246" operator="containsText" text="RECHAZADA">
      <formula>NOT(ISERROR(SEARCH("RECHAZADA",K683)))</formula>
    </cfRule>
    <cfRule type="containsText" dxfId="11242" priority="11247" operator="containsText" text="Atendida">
      <formula>NOT(ISERROR(SEARCH("Atendida",K683)))</formula>
    </cfRule>
    <cfRule type="containsText" dxfId="11241" priority="11248" operator="containsText" text="Reasignación">
      <formula>NOT(ISERROR(SEARCH("Reasignación",K683)))</formula>
    </cfRule>
    <cfRule type="containsText" dxfId="11240" priority="11249" operator="containsText" text="RECHAZADA">
      <formula>NOT(ISERROR(SEARCH("RECHAZADA",K683)))</formula>
    </cfRule>
    <cfRule type="containsText" dxfId="11239" priority="11250" operator="containsText" text="Atendida">
      <formula>NOT(ISERROR(SEARCH("Atendida",K683)))</formula>
    </cfRule>
    <cfRule type="containsText" dxfId="11238" priority="11251" operator="containsText" text="Reasignación">
      <formula>NOT(ISERROR(SEARCH("Reasignación",K683)))</formula>
    </cfRule>
    <cfRule type="containsText" dxfId="11237" priority="11252" operator="containsText" text="RECHAZADA">
      <formula>NOT(ISERROR(SEARCH("RECHAZADA",K683)))</formula>
    </cfRule>
    <cfRule type="containsText" dxfId="11236" priority="11253" operator="containsText" text="Atendida">
      <formula>NOT(ISERROR(SEARCH("Atendida",K683)))</formula>
    </cfRule>
  </conditionalFormatting>
  <conditionalFormatting sqref="K683">
    <cfRule type="containsText" dxfId="11235" priority="11242" operator="containsText" text="Reasignación">
      <formula>NOT(ISERROR(SEARCH("Reasignación",K683)))</formula>
    </cfRule>
    <cfRule type="containsText" dxfId="11234" priority="11243" operator="containsText" text="RECHAZADA">
      <formula>NOT(ISERROR(SEARCH("RECHAZADA",K683)))</formula>
    </cfRule>
    <cfRule type="containsText" dxfId="11233" priority="11244" operator="containsText" text="Atendida">
      <formula>NOT(ISERROR(SEARCH("Atendida",K683)))</formula>
    </cfRule>
  </conditionalFormatting>
  <conditionalFormatting sqref="K685">
    <cfRule type="containsText" dxfId="11232" priority="11239" operator="containsText" text="Reasignación">
      <formula>NOT(ISERROR(SEARCH("Reasignación",K685)))</formula>
    </cfRule>
    <cfRule type="containsText" dxfId="11231" priority="11240" operator="containsText" text="RECHAZADA">
      <formula>NOT(ISERROR(SEARCH("RECHAZADA",K685)))</formula>
    </cfRule>
    <cfRule type="containsText" dxfId="11230" priority="11241" operator="containsText" text="Atendida">
      <formula>NOT(ISERROR(SEARCH("Atendida",K685)))</formula>
    </cfRule>
  </conditionalFormatting>
  <conditionalFormatting sqref="K685">
    <cfRule type="containsText" dxfId="11229" priority="11227" operator="containsText" text="Reasignación">
      <formula>NOT(ISERROR(SEARCH("Reasignación",K685)))</formula>
    </cfRule>
    <cfRule type="containsText" dxfId="11228" priority="11228" operator="containsText" text="RECHAZADA">
      <formula>NOT(ISERROR(SEARCH("RECHAZADA",K685)))</formula>
    </cfRule>
    <cfRule type="containsText" dxfId="11227" priority="11229" operator="containsText" text="Atendida">
      <formula>NOT(ISERROR(SEARCH("Atendida",K685)))</formula>
    </cfRule>
    <cfRule type="containsText" dxfId="11226" priority="11230" operator="containsText" text="Reasignación">
      <formula>NOT(ISERROR(SEARCH("Reasignación",K685)))</formula>
    </cfRule>
    <cfRule type="containsText" dxfId="11225" priority="11231" operator="containsText" text="RECHAZADA">
      <formula>NOT(ISERROR(SEARCH("RECHAZADA",K685)))</formula>
    </cfRule>
    <cfRule type="containsText" dxfId="11224" priority="11232" operator="containsText" text="Atendida">
      <formula>NOT(ISERROR(SEARCH("Atendida",K685)))</formula>
    </cfRule>
    <cfRule type="containsText" dxfId="11223" priority="11233" operator="containsText" text="Reasignación">
      <formula>NOT(ISERROR(SEARCH("Reasignación",K685)))</formula>
    </cfRule>
    <cfRule type="containsText" dxfId="11222" priority="11234" operator="containsText" text="RECHAZADA">
      <formula>NOT(ISERROR(SEARCH("RECHAZADA",K685)))</formula>
    </cfRule>
    <cfRule type="containsText" dxfId="11221" priority="11235" operator="containsText" text="Atendida">
      <formula>NOT(ISERROR(SEARCH("Atendida",K685)))</formula>
    </cfRule>
    <cfRule type="containsText" dxfId="11220" priority="11236" operator="containsText" text="Reasignación">
      <formula>NOT(ISERROR(SEARCH("Reasignación",K685)))</formula>
    </cfRule>
    <cfRule type="containsText" dxfId="11219" priority="11237" operator="containsText" text="RECHAZADA">
      <formula>NOT(ISERROR(SEARCH("RECHAZADA",K685)))</formula>
    </cfRule>
    <cfRule type="containsText" dxfId="11218" priority="11238" operator="containsText" text="Atendida">
      <formula>NOT(ISERROR(SEARCH("Atendida",K685)))</formula>
    </cfRule>
  </conditionalFormatting>
  <conditionalFormatting sqref="B686">
    <cfRule type="duplicateValues" dxfId="11217" priority="11224"/>
  </conditionalFormatting>
  <conditionalFormatting sqref="K686">
    <cfRule type="containsText" dxfId="11216" priority="11221" operator="containsText" text="Reasignación">
      <formula>NOT(ISERROR(SEARCH("Reasignación",K686)))</formula>
    </cfRule>
    <cfRule type="containsText" dxfId="11215" priority="11222" operator="containsText" text="RECHAZADA">
      <formula>NOT(ISERROR(SEARCH("RECHAZADA",K686)))</formula>
    </cfRule>
    <cfRule type="containsText" dxfId="11214" priority="11223" operator="containsText" text="Atendida">
      <formula>NOT(ISERROR(SEARCH("Atendida",K686)))</formula>
    </cfRule>
  </conditionalFormatting>
  <conditionalFormatting sqref="K686">
    <cfRule type="containsText" dxfId="11213" priority="11209" operator="containsText" text="Reasignación">
      <formula>NOT(ISERROR(SEARCH("Reasignación",K686)))</formula>
    </cfRule>
    <cfRule type="containsText" dxfId="11212" priority="11210" operator="containsText" text="RECHAZADA">
      <formula>NOT(ISERROR(SEARCH("RECHAZADA",K686)))</formula>
    </cfRule>
    <cfRule type="containsText" dxfId="11211" priority="11211" operator="containsText" text="Atendida">
      <formula>NOT(ISERROR(SEARCH("Atendida",K686)))</formula>
    </cfRule>
    <cfRule type="containsText" dxfId="11210" priority="11212" operator="containsText" text="Reasignación">
      <formula>NOT(ISERROR(SEARCH("Reasignación",K686)))</formula>
    </cfRule>
    <cfRule type="containsText" dxfId="11209" priority="11213" operator="containsText" text="RECHAZADA">
      <formula>NOT(ISERROR(SEARCH("RECHAZADA",K686)))</formula>
    </cfRule>
    <cfRule type="containsText" dxfId="11208" priority="11214" operator="containsText" text="Atendida">
      <formula>NOT(ISERROR(SEARCH("Atendida",K686)))</formula>
    </cfRule>
    <cfRule type="containsText" dxfId="11207" priority="11215" operator="containsText" text="Reasignación">
      <formula>NOT(ISERROR(SEARCH("Reasignación",K686)))</formula>
    </cfRule>
    <cfRule type="containsText" dxfId="11206" priority="11216" operator="containsText" text="RECHAZADA">
      <formula>NOT(ISERROR(SEARCH("RECHAZADA",K686)))</formula>
    </cfRule>
    <cfRule type="containsText" dxfId="11205" priority="11217" operator="containsText" text="Atendida">
      <formula>NOT(ISERROR(SEARCH("Atendida",K686)))</formula>
    </cfRule>
    <cfRule type="containsText" dxfId="11204" priority="11218" operator="containsText" text="Reasignación">
      <formula>NOT(ISERROR(SEARCH("Reasignación",K686)))</formula>
    </cfRule>
    <cfRule type="containsText" dxfId="11203" priority="11219" operator="containsText" text="RECHAZADA">
      <formula>NOT(ISERROR(SEARCH("RECHAZADA",K686)))</formula>
    </cfRule>
    <cfRule type="containsText" dxfId="11202" priority="11220" operator="containsText" text="Atendida">
      <formula>NOT(ISERROR(SEARCH("Atendida",K686)))</formula>
    </cfRule>
  </conditionalFormatting>
  <conditionalFormatting sqref="M686">
    <cfRule type="containsText" dxfId="11201" priority="11225" operator="containsText" text="RECHAZADA">
      <formula>NOT(ISERROR(SEARCH("RECHAZADA",M686)))</formula>
    </cfRule>
    <cfRule type="containsText" dxfId="11200" priority="11226" operator="containsText" text="Atendida">
      <formula>NOT(ISERROR(SEARCH("Atendida",M686)))</formula>
    </cfRule>
  </conditionalFormatting>
  <conditionalFormatting sqref="B687">
    <cfRule type="duplicateValues" dxfId="11199" priority="11208"/>
  </conditionalFormatting>
  <conditionalFormatting sqref="K687">
    <cfRule type="containsText" dxfId="11198" priority="11191" operator="containsText" text="Reasignación">
      <formula>NOT(ISERROR(SEARCH("Reasignación",K687)))</formula>
    </cfRule>
    <cfRule type="containsText" dxfId="11197" priority="11192" operator="containsText" text="RECHAZADA">
      <formula>NOT(ISERROR(SEARCH("RECHAZADA",K687)))</formula>
    </cfRule>
    <cfRule type="containsText" dxfId="11196" priority="11193" operator="containsText" text="Atendida">
      <formula>NOT(ISERROR(SEARCH("Atendida",K687)))</formula>
    </cfRule>
  </conditionalFormatting>
  <conditionalFormatting sqref="K687">
    <cfRule type="containsText" dxfId="11195" priority="11194" operator="containsText" text="Reasignación">
      <formula>NOT(ISERROR(SEARCH("Reasignación",K687)))</formula>
    </cfRule>
    <cfRule type="containsText" dxfId="11194" priority="11195" operator="containsText" text="RECHAZADA">
      <formula>NOT(ISERROR(SEARCH("RECHAZADA",K687)))</formula>
    </cfRule>
    <cfRule type="containsText" dxfId="11193" priority="11196" operator="containsText" text="Atendida">
      <formula>NOT(ISERROR(SEARCH("Atendida",K687)))</formula>
    </cfRule>
    <cfRule type="containsText" dxfId="11192" priority="11197" operator="containsText" text="Reasignación">
      <formula>NOT(ISERROR(SEARCH("Reasignación",K687)))</formula>
    </cfRule>
    <cfRule type="containsText" dxfId="11191" priority="11198" operator="containsText" text="RECHAZADA">
      <formula>NOT(ISERROR(SEARCH("RECHAZADA",K687)))</formula>
    </cfRule>
    <cfRule type="containsText" dxfId="11190" priority="11199" operator="containsText" text="Atendida">
      <formula>NOT(ISERROR(SEARCH("Atendida",K687)))</formula>
    </cfRule>
    <cfRule type="containsText" dxfId="11189" priority="11200" operator="containsText" text="Reasignación">
      <formula>NOT(ISERROR(SEARCH("Reasignación",K687)))</formula>
    </cfRule>
    <cfRule type="containsText" dxfId="11188" priority="11201" operator="containsText" text="RECHAZADA">
      <formula>NOT(ISERROR(SEARCH("RECHAZADA",K687)))</formula>
    </cfRule>
    <cfRule type="containsText" dxfId="11187" priority="11202" operator="containsText" text="Atendida">
      <formula>NOT(ISERROR(SEARCH("Atendida",K687)))</formula>
    </cfRule>
    <cfRule type="containsText" dxfId="11186" priority="11203" operator="containsText" text="Reasignación">
      <formula>NOT(ISERROR(SEARCH("Reasignación",K687)))</formula>
    </cfRule>
    <cfRule type="containsText" dxfId="11185" priority="11204" operator="containsText" text="RECHAZADA">
      <formula>NOT(ISERROR(SEARCH("RECHAZADA",K687)))</formula>
    </cfRule>
    <cfRule type="containsText" dxfId="11184" priority="11205" operator="containsText" text="Atendida">
      <formula>NOT(ISERROR(SEARCH("Atendida",K687)))</formula>
    </cfRule>
  </conditionalFormatting>
  <conditionalFormatting sqref="M687:M691">
    <cfRule type="containsText" dxfId="11183" priority="11206" operator="containsText" text="RECHAZADA">
      <formula>NOT(ISERROR(SEARCH("RECHAZADA",M687)))</formula>
    </cfRule>
    <cfRule type="containsText" dxfId="11182" priority="11207" operator="containsText" text="Atendida">
      <formula>NOT(ISERROR(SEARCH("Atendida",M687)))</formula>
    </cfRule>
  </conditionalFormatting>
  <conditionalFormatting sqref="M687:M691">
    <cfRule type="containsText" dxfId="11181" priority="11189" operator="containsText" text="OBSERVADO">
      <formula>NOT(ISERROR(SEARCH("OBSERVADO",M687)))</formula>
    </cfRule>
    <cfRule type="containsText" dxfId="11180" priority="11190" operator="containsText" text="CONFORME">
      <formula>NOT(ISERROR(SEARCH("CONFORME",M687)))</formula>
    </cfRule>
  </conditionalFormatting>
  <conditionalFormatting sqref="B688:B691">
    <cfRule type="duplicateValues" dxfId="11179" priority="11188"/>
  </conditionalFormatting>
  <conditionalFormatting sqref="K688">
    <cfRule type="containsText" dxfId="11178" priority="11176" operator="containsText" text="Reasignación">
      <formula>NOT(ISERROR(SEARCH("Reasignación",K688)))</formula>
    </cfRule>
    <cfRule type="containsText" dxfId="11177" priority="11177" operator="containsText" text="RECHAZADA">
      <formula>NOT(ISERROR(SEARCH("RECHAZADA",K688)))</formula>
    </cfRule>
    <cfRule type="containsText" dxfId="11176" priority="11178" operator="containsText" text="Atendida">
      <formula>NOT(ISERROR(SEARCH("Atendida",K688)))</formula>
    </cfRule>
    <cfRule type="containsText" dxfId="11175" priority="11179" operator="containsText" text="Reasignación">
      <formula>NOT(ISERROR(SEARCH("Reasignación",K688)))</formula>
    </cfRule>
    <cfRule type="containsText" dxfId="11174" priority="11180" operator="containsText" text="RECHAZADA">
      <formula>NOT(ISERROR(SEARCH("RECHAZADA",K688)))</formula>
    </cfRule>
    <cfRule type="containsText" dxfId="11173" priority="11181" operator="containsText" text="Atendida">
      <formula>NOT(ISERROR(SEARCH("Atendida",K688)))</formula>
    </cfRule>
    <cfRule type="containsText" dxfId="11172" priority="11182" operator="containsText" text="Reasignación">
      <formula>NOT(ISERROR(SEARCH("Reasignación",K688)))</formula>
    </cfRule>
    <cfRule type="containsText" dxfId="11171" priority="11183" operator="containsText" text="RECHAZADA">
      <formula>NOT(ISERROR(SEARCH("RECHAZADA",K688)))</formula>
    </cfRule>
    <cfRule type="containsText" dxfId="11170" priority="11184" operator="containsText" text="Atendida">
      <formula>NOT(ISERROR(SEARCH("Atendida",K688)))</formula>
    </cfRule>
    <cfRule type="containsText" dxfId="11169" priority="11185" operator="containsText" text="Reasignación">
      <formula>NOT(ISERROR(SEARCH("Reasignación",K688)))</formula>
    </cfRule>
    <cfRule type="containsText" dxfId="11168" priority="11186" operator="containsText" text="RECHAZADA">
      <formula>NOT(ISERROR(SEARCH("RECHAZADA",K688)))</formula>
    </cfRule>
    <cfRule type="containsText" dxfId="11167" priority="11187" operator="containsText" text="Atendida">
      <formula>NOT(ISERROR(SEARCH("Atendida",K688)))</formula>
    </cfRule>
  </conditionalFormatting>
  <conditionalFormatting sqref="K688">
    <cfRule type="containsText" dxfId="11166" priority="11173" operator="containsText" text="Reasignación">
      <formula>NOT(ISERROR(SEARCH("Reasignación",K688)))</formula>
    </cfRule>
    <cfRule type="containsText" dxfId="11165" priority="11174" operator="containsText" text="RECHAZADA">
      <formula>NOT(ISERROR(SEARCH("RECHAZADA",K688)))</formula>
    </cfRule>
    <cfRule type="containsText" dxfId="11164" priority="11175" operator="containsText" text="Atendida">
      <formula>NOT(ISERROR(SEARCH("Atendida",K688)))</formula>
    </cfRule>
  </conditionalFormatting>
  <conditionalFormatting sqref="K689">
    <cfRule type="containsText" dxfId="11163" priority="11161" operator="containsText" text="Reasignación">
      <formula>NOT(ISERROR(SEARCH("Reasignación",K689)))</formula>
    </cfRule>
    <cfRule type="containsText" dxfId="11162" priority="11162" operator="containsText" text="RECHAZADA">
      <formula>NOT(ISERROR(SEARCH("RECHAZADA",K689)))</formula>
    </cfRule>
    <cfRule type="containsText" dxfId="11161" priority="11163" operator="containsText" text="Atendida">
      <formula>NOT(ISERROR(SEARCH("Atendida",K689)))</formula>
    </cfRule>
    <cfRule type="containsText" dxfId="11160" priority="11164" operator="containsText" text="Reasignación">
      <formula>NOT(ISERROR(SEARCH("Reasignación",K689)))</formula>
    </cfRule>
    <cfRule type="containsText" dxfId="11159" priority="11165" operator="containsText" text="RECHAZADA">
      <formula>NOT(ISERROR(SEARCH("RECHAZADA",K689)))</formula>
    </cfRule>
    <cfRule type="containsText" dxfId="11158" priority="11166" operator="containsText" text="Atendida">
      <formula>NOT(ISERROR(SEARCH("Atendida",K689)))</formula>
    </cfRule>
    <cfRule type="containsText" dxfId="11157" priority="11167" operator="containsText" text="Reasignación">
      <formula>NOT(ISERROR(SEARCH("Reasignación",K689)))</formula>
    </cfRule>
    <cfRule type="containsText" dxfId="11156" priority="11168" operator="containsText" text="RECHAZADA">
      <formula>NOT(ISERROR(SEARCH("RECHAZADA",K689)))</formula>
    </cfRule>
    <cfRule type="containsText" dxfId="11155" priority="11169" operator="containsText" text="Atendida">
      <formula>NOT(ISERROR(SEARCH("Atendida",K689)))</formula>
    </cfRule>
    <cfRule type="containsText" dxfId="11154" priority="11170" operator="containsText" text="Reasignación">
      <formula>NOT(ISERROR(SEARCH("Reasignación",K689)))</formula>
    </cfRule>
    <cfRule type="containsText" dxfId="11153" priority="11171" operator="containsText" text="RECHAZADA">
      <formula>NOT(ISERROR(SEARCH("RECHAZADA",K689)))</formula>
    </cfRule>
    <cfRule type="containsText" dxfId="11152" priority="11172" operator="containsText" text="Atendida">
      <formula>NOT(ISERROR(SEARCH("Atendida",K689)))</formula>
    </cfRule>
  </conditionalFormatting>
  <conditionalFormatting sqref="K689">
    <cfRule type="containsText" dxfId="11151" priority="11158" operator="containsText" text="Reasignación">
      <formula>NOT(ISERROR(SEARCH("Reasignación",K689)))</formula>
    </cfRule>
    <cfRule type="containsText" dxfId="11150" priority="11159" operator="containsText" text="RECHAZADA">
      <formula>NOT(ISERROR(SEARCH("RECHAZADA",K689)))</formula>
    </cfRule>
    <cfRule type="containsText" dxfId="11149" priority="11160" operator="containsText" text="Atendida">
      <formula>NOT(ISERROR(SEARCH("Atendida",K689)))</formula>
    </cfRule>
  </conditionalFormatting>
  <conditionalFormatting sqref="K690">
    <cfRule type="containsText" dxfId="11148" priority="11146" operator="containsText" text="Reasignación">
      <formula>NOT(ISERROR(SEARCH("Reasignación",K690)))</formula>
    </cfRule>
    <cfRule type="containsText" dxfId="11147" priority="11147" operator="containsText" text="RECHAZADA">
      <formula>NOT(ISERROR(SEARCH("RECHAZADA",K690)))</formula>
    </cfRule>
    <cfRule type="containsText" dxfId="11146" priority="11148" operator="containsText" text="Atendida">
      <formula>NOT(ISERROR(SEARCH("Atendida",K690)))</formula>
    </cfRule>
    <cfRule type="containsText" dxfId="11145" priority="11149" operator="containsText" text="Reasignación">
      <formula>NOT(ISERROR(SEARCH("Reasignación",K690)))</formula>
    </cfRule>
    <cfRule type="containsText" dxfId="11144" priority="11150" operator="containsText" text="RECHAZADA">
      <formula>NOT(ISERROR(SEARCH("RECHAZADA",K690)))</formula>
    </cfRule>
    <cfRule type="containsText" dxfId="11143" priority="11151" operator="containsText" text="Atendida">
      <formula>NOT(ISERROR(SEARCH("Atendida",K690)))</formula>
    </cfRule>
    <cfRule type="containsText" dxfId="11142" priority="11152" operator="containsText" text="Reasignación">
      <formula>NOT(ISERROR(SEARCH("Reasignación",K690)))</formula>
    </cfRule>
    <cfRule type="containsText" dxfId="11141" priority="11153" operator="containsText" text="RECHAZADA">
      <formula>NOT(ISERROR(SEARCH("RECHAZADA",K690)))</formula>
    </cfRule>
    <cfRule type="containsText" dxfId="11140" priority="11154" operator="containsText" text="Atendida">
      <formula>NOT(ISERROR(SEARCH("Atendida",K690)))</formula>
    </cfRule>
    <cfRule type="containsText" dxfId="11139" priority="11155" operator="containsText" text="Reasignación">
      <formula>NOT(ISERROR(SEARCH("Reasignación",K690)))</formula>
    </cfRule>
    <cfRule type="containsText" dxfId="11138" priority="11156" operator="containsText" text="RECHAZADA">
      <formula>NOT(ISERROR(SEARCH("RECHAZADA",K690)))</formula>
    </cfRule>
    <cfRule type="containsText" dxfId="11137" priority="11157" operator="containsText" text="Atendida">
      <formula>NOT(ISERROR(SEARCH("Atendida",K690)))</formula>
    </cfRule>
  </conditionalFormatting>
  <conditionalFormatting sqref="K690">
    <cfRule type="containsText" dxfId="11136" priority="11143" operator="containsText" text="Reasignación">
      <formula>NOT(ISERROR(SEARCH("Reasignación",K690)))</formula>
    </cfRule>
    <cfRule type="containsText" dxfId="11135" priority="11144" operator="containsText" text="RECHAZADA">
      <formula>NOT(ISERROR(SEARCH("RECHAZADA",K690)))</formula>
    </cfRule>
    <cfRule type="containsText" dxfId="11134" priority="11145" operator="containsText" text="Atendida">
      <formula>NOT(ISERROR(SEARCH("Atendida",K690)))</formula>
    </cfRule>
  </conditionalFormatting>
  <conditionalFormatting sqref="K691">
    <cfRule type="containsText" dxfId="11133" priority="11131" operator="containsText" text="Reasignación">
      <formula>NOT(ISERROR(SEARCH("Reasignación",K691)))</formula>
    </cfRule>
    <cfRule type="containsText" dxfId="11132" priority="11132" operator="containsText" text="RECHAZADA">
      <formula>NOT(ISERROR(SEARCH("RECHAZADA",K691)))</formula>
    </cfRule>
    <cfRule type="containsText" dxfId="11131" priority="11133" operator="containsText" text="Atendida">
      <formula>NOT(ISERROR(SEARCH("Atendida",K691)))</formula>
    </cfRule>
    <cfRule type="containsText" dxfId="11130" priority="11134" operator="containsText" text="Reasignación">
      <formula>NOT(ISERROR(SEARCH("Reasignación",K691)))</formula>
    </cfRule>
    <cfRule type="containsText" dxfId="11129" priority="11135" operator="containsText" text="RECHAZADA">
      <formula>NOT(ISERROR(SEARCH("RECHAZADA",K691)))</formula>
    </cfRule>
    <cfRule type="containsText" dxfId="11128" priority="11136" operator="containsText" text="Atendida">
      <formula>NOT(ISERROR(SEARCH("Atendida",K691)))</formula>
    </cfRule>
    <cfRule type="containsText" dxfId="11127" priority="11137" operator="containsText" text="Reasignación">
      <formula>NOT(ISERROR(SEARCH("Reasignación",K691)))</formula>
    </cfRule>
    <cfRule type="containsText" dxfId="11126" priority="11138" operator="containsText" text="RECHAZADA">
      <formula>NOT(ISERROR(SEARCH("RECHAZADA",K691)))</formula>
    </cfRule>
    <cfRule type="containsText" dxfId="11125" priority="11139" operator="containsText" text="Atendida">
      <formula>NOT(ISERROR(SEARCH("Atendida",K691)))</formula>
    </cfRule>
    <cfRule type="containsText" dxfId="11124" priority="11140" operator="containsText" text="Reasignación">
      <formula>NOT(ISERROR(SEARCH("Reasignación",K691)))</formula>
    </cfRule>
    <cfRule type="containsText" dxfId="11123" priority="11141" operator="containsText" text="RECHAZADA">
      <formula>NOT(ISERROR(SEARCH("RECHAZADA",K691)))</formula>
    </cfRule>
    <cfRule type="containsText" dxfId="11122" priority="11142" operator="containsText" text="Atendida">
      <formula>NOT(ISERROR(SEARCH("Atendida",K691)))</formula>
    </cfRule>
  </conditionalFormatting>
  <conditionalFormatting sqref="K691">
    <cfRule type="containsText" dxfId="11121" priority="11128" operator="containsText" text="Reasignación">
      <formula>NOT(ISERROR(SEARCH("Reasignación",K691)))</formula>
    </cfRule>
    <cfRule type="containsText" dxfId="11120" priority="11129" operator="containsText" text="RECHAZADA">
      <formula>NOT(ISERROR(SEARCH("RECHAZADA",K691)))</formula>
    </cfRule>
    <cfRule type="containsText" dxfId="11119" priority="11130" operator="containsText" text="Atendida">
      <formula>NOT(ISERROR(SEARCH("Atendida",K691)))</formula>
    </cfRule>
  </conditionalFormatting>
  <conditionalFormatting sqref="M697:M698 M692:M695">
    <cfRule type="containsText" dxfId="11118" priority="11125" operator="containsText" text="RECHAZADA">
      <formula>NOT(ISERROR(SEARCH("RECHAZADA",M692)))</formula>
    </cfRule>
    <cfRule type="containsText" dxfId="11117" priority="11126" operator="containsText" text="Atendida">
      <formula>NOT(ISERROR(SEARCH("Atendida",M692)))</formula>
    </cfRule>
  </conditionalFormatting>
  <conditionalFormatting sqref="M697:M698 M692:M695">
    <cfRule type="containsText" dxfId="11116" priority="11123" operator="containsText" text="OBSERVADO">
      <formula>NOT(ISERROR(SEARCH("OBSERVADO",M692)))</formula>
    </cfRule>
    <cfRule type="containsText" dxfId="11115" priority="11124" operator="containsText" text="CONFORME">
      <formula>NOT(ISERROR(SEARCH("CONFORME",M692)))</formula>
    </cfRule>
  </conditionalFormatting>
  <conditionalFormatting sqref="K692">
    <cfRule type="containsText" dxfId="11114" priority="11111" operator="containsText" text="Reasignación">
      <formula>NOT(ISERROR(SEARCH("Reasignación",K692)))</formula>
    </cfRule>
    <cfRule type="containsText" dxfId="11113" priority="11112" operator="containsText" text="RECHAZADA">
      <formula>NOT(ISERROR(SEARCH("RECHAZADA",K692)))</formula>
    </cfRule>
    <cfRule type="containsText" dxfId="11112" priority="11113" operator="containsText" text="Atendida">
      <formula>NOT(ISERROR(SEARCH("Atendida",K692)))</formula>
    </cfRule>
    <cfRule type="containsText" dxfId="11111" priority="11114" operator="containsText" text="Reasignación">
      <formula>NOT(ISERROR(SEARCH("Reasignación",K692)))</formula>
    </cfRule>
    <cfRule type="containsText" dxfId="11110" priority="11115" operator="containsText" text="RECHAZADA">
      <formula>NOT(ISERROR(SEARCH("RECHAZADA",K692)))</formula>
    </cfRule>
    <cfRule type="containsText" dxfId="11109" priority="11116" operator="containsText" text="Atendida">
      <formula>NOT(ISERROR(SEARCH("Atendida",K692)))</formula>
    </cfRule>
    <cfRule type="containsText" dxfId="11108" priority="11117" operator="containsText" text="Reasignación">
      <formula>NOT(ISERROR(SEARCH("Reasignación",K692)))</formula>
    </cfRule>
    <cfRule type="containsText" dxfId="11107" priority="11118" operator="containsText" text="RECHAZADA">
      <formula>NOT(ISERROR(SEARCH("RECHAZADA",K692)))</formula>
    </cfRule>
    <cfRule type="containsText" dxfId="11106" priority="11119" operator="containsText" text="Atendida">
      <formula>NOT(ISERROR(SEARCH("Atendida",K692)))</formula>
    </cfRule>
    <cfRule type="containsText" dxfId="11105" priority="11120" operator="containsText" text="Reasignación">
      <formula>NOT(ISERROR(SEARCH("Reasignación",K692)))</formula>
    </cfRule>
    <cfRule type="containsText" dxfId="11104" priority="11121" operator="containsText" text="RECHAZADA">
      <formula>NOT(ISERROR(SEARCH("RECHAZADA",K692)))</formula>
    </cfRule>
    <cfRule type="containsText" dxfId="11103" priority="11122" operator="containsText" text="Atendida">
      <formula>NOT(ISERROR(SEARCH("Atendida",K692)))</formula>
    </cfRule>
  </conditionalFormatting>
  <conditionalFormatting sqref="K692">
    <cfRule type="containsText" dxfId="11102" priority="11108" operator="containsText" text="Reasignación">
      <formula>NOT(ISERROR(SEARCH("Reasignación",K692)))</formula>
    </cfRule>
    <cfRule type="containsText" dxfId="11101" priority="11109" operator="containsText" text="RECHAZADA">
      <formula>NOT(ISERROR(SEARCH("RECHAZADA",K692)))</formula>
    </cfRule>
    <cfRule type="containsText" dxfId="11100" priority="11110" operator="containsText" text="Atendida">
      <formula>NOT(ISERROR(SEARCH("Atendida",K692)))</formula>
    </cfRule>
  </conditionalFormatting>
  <conditionalFormatting sqref="B692:B694">
    <cfRule type="duplicateValues" dxfId="11099" priority="11127"/>
  </conditionalFormatting>
  <conditionalFormatting sqref="K693">
    <cfRule type="containsText" dxfId="11098" priority="11096" operator="containsText" text="Reasignación">
      <formula>NOT(ISERROR(SEARCH("Reasignación",K693)))</formula>
    </cfRule>
    <cfRule type="containsText" dxfId="11097" priority="11097" operator="containsText" text="RECHAZADA">
      <formula>NOT(ISERROR(SEARCH("RECHAZADA",K693)))</formula>
    </cfRule>
    <cfRule type="containsText" dxfId="11096" priority="11098" operator="containsText" text="Atendida">
      <formula>NOT(ISERROR(SEARCH("Atendida",K693)))</formula>
    </cfRule>
    <cfRule type="containsText" dxfId="11095" priority="11099" operator="containsText" text="Reasignación">
      <formula>NOT(ISERROR(SEARCH("Reasignación",K693)))</formula>
    </cfRule>
    <cfRule type="containsText" dxfId="11094" priority="11100" operator="containsText" text="RECHAZADA">
      <formula>NOT(ISERROR(SEARCH("RECHAZADA",K693)))</formula>
    </cfRule>
    <cfRule type="containsText" dxfId="11093" priority="11101" operator="containsText" text="Atendida">
      <formula>NOT(ISERROR(SEARCH("Atendida",K693)))</formula>
    </cfRule>
    <cfRule type="containsText" dxfId="11092" priority="11102" operator="containsText" text="Reasignación">
      <formula>NOT(ISERROR(SEARCH("Reasignación",K693)))</formula>
    </cfRule>
    <cfRule type="containsText" dxfId="11091" priority="11103" operator="containsText" text="RECHAZADA">
      <formula>NOT(ISERROR(SEARCH("RECHAZADA",K693)))</formula>
    </cfRule>
    <cfRule type="containsText" dxfId="11090" priority="11104" operator="containsText" text="Atendida">
      <formula>NOT(ISERROR(SEARCH("Atendida",K693)))</formula>
    </cfRule>
    <cfRule type="containsText" dxfId="11089" priority="11105" operator="containsText" text="Reasignación">
      <formula>NOT(ISERROR(SEARCH("Reasignación",K693)))</formula>
    </cfRule>
    <cfRule type="containsText" dxfId="11088" priority="11106" operator="containsText" text="RECHAZADA">
      <formula>NOT(ISERROR(SEARCH("RECHAZADA",K693)))</formula>
    </cfRule>
    <cfRule type="containsText" dxfId="11087" priority="11107" operator="containsText" text="Atendida">
      <formula>NOT(ISERROR(SEARCH("Atendida",K693)))</formula>
    </cfRule>
  </conditionalFormatting>
  <conditionalFormatting sqref="K693">
    <cfRule type="containsText" dxfId="11086" priority="11093" operator="containsText" text="Reasignación">
      <formula>NOT(ISERROR(SEARCH("Reasignación",K693)))</formula>
    </cfRule>
    <cfRule type="containsText" dxfId="11085" priority="11094" operator="containsText" text="RECHAZADA">
      <formula>NOT(ISERROR(SEARCH("RECHAZADA",K693)))</formula>
    </cfRule>
    <cfRule type="containsText" dxfId="11084" priority="11095" operator="containsText" text="Atendida">
      <formula>NOT(ISERROR(SEARCH("Atendida",K693)))</formula>
    </cfRule>
  </conditionalFormatting>
  <conditionalFormatting sqref="K694">
    <cfRule type="containsText" dxfId="11083" priority="11081" operator="containsText" text="Reasignación">
      <formula>NOT(ISERROR(SEARCH("Reasignación",K694)))</formula>
    </cfRule>
    <cfRule type="containsText" dxfId="11082" priority="11082" operator="containsText" text="RECHAZADA">
      <formula>NOT(ISERROR(SEARCH("RECHAZADA",K694)))</formula>
    </cfRule>
    <cfRule type="containsText" dxfId="11081" priority="11083" operator="containsText" text="Atendida">
      <formula>NOT(ISERROR(SEARCH("Atendida",K694)))</formula>
    </cfRule>
    <cfRule type="containsText" dxfId="11080" priority="11084" operator="containsText" text="Reasignación">
      <formula>NOT(ISERROR(SEARCH("Reasignación",K694)))</formula>
    </cfRule>
    <cfRule type="containsText" dxfId="11079" priority="11085" operator="containsText" text="RECHAZADA">
      <formula>NOT(ISERROR(SEARCH("RECHAZADA",K694)))</formula>
    </cfRule>
    <cfRule type="containsText" dxfId="11078" priority="11086" operator="containsText" text="Atendida">
      <formula>NOT(ISERROR(SEARCH("Atendida",K694)))</formula>
    </cfRule>
    <cfRule type="containsText" dxfId="11077" priority="11087" operator="containsText" text="Reasignación">
      <formula>NOT(ISERROR(SEARCH("Reasignación",K694)))</formula>
    </cfRule>
    <cfRule type="containsText" dxfId="11076" priority="11088" operator="containsText" text="RECHAZADA">
      <formula>NOT(ISERROR(SEARCH("RECHAZADA",K694)))</formula>
    </cfRule>
    <cfRule type="containsText" dxfId="11075" priority="11089" operator="containsText" text="Atendida">
      <formula>NOT(ISERROR(SEARCH("Atendida",K694)))</formula>
    </cfRule>
    <cfRule type="containsText" dxfId="11074" priority="11090" operator="containsText" text="Reasignación">
      <formula>NOT(ISERROR(SEARCH("Reasignación",K694)))</formula>
    </cfRule>
    <cfRule type="containsText" dxfId="11073" priority="11091" operator="containsText" text="RECHAZADA">
      <formula>NOT(ISERROR(SEARCH("RECHAZADA",K694)))</formula>
    </cfRule>
    <cfRule type="containsText" dxfId="11072" priority="11092" operator="containsText" text="Atendida">
      <formula>NOT(ISERROR(SEARCH("Atendida",K694)))</formula>
    </cfRule>
  </conditionalFormatting>
  <conditionalFormatting sqref="K694">
    <cfRule type="containsText" dxfId="11071" priority="11078" operator="containsText" text="Reasignación">
      <formula>NOT(ISERROR(SEARCH("Reasignación",K694)))</formula>
    </cfRule>
    <cfRule type="containsText" dxfId="11070" priority="11079" operator="containsText" text="RECHAZADA">
      <formula>NOT(ISERROR(SEARCH("RECHAZADA",K694)))</formula>
    </cfRule>
    <cfRule type="containsText" dxfId="11069" priority="11080" operator="containsText" text="Atendida">
      <formula>NOT(ISERROR(SEARCH("Atendida",K694)))</formula>
    </cfRule>
  </conditionalFormatting>
  <conditionalFormatting sqref="B697:B698 B695">
    <cfRule type="duplicateValues" dxfId="11068" priority="11077"/>
  </conditionalFormatting>
  <conditionalFormatting sqref="K695">
    <cfRule type="containsText" dxfId="11067" priority="11065" operator="containsText" text="Reasignación">
      <formula>NOT(ISERROR(SEARCH("Reasignación",K695)))</formula>
    </cfRule>
    <cfRule type="containsText" dxfId="11066" priority="11066" operator="containsText" text="RECHAZADA">
      <formula>NOT(ISERROR(SEARCH("RECHAZADA",K695)))</formula>
    </cfRule>
    <cfRule type="containsText" dxfId="11065" priority="11067" operator="containsText" text="Atendida">
      <formula>NOT(ISERROR(SEARCH("Atendida",K695)))</formula>
    </cfRule>
    <cfRule type="containsText" dxfId="11064" priority="11068" operator="containsText" text="Reasignación">
      <formula>NOT(ISERROR(SEARCH("Reasignación",K695)))</formula>
    </cfRule>
    <cfRule type="containsText" dxfId="11063" priority="11069" operator="containsText" text="RECHAZADA">
      <formula>NOT(ISERROR(SEARCH("RECHAZADA",K695)))</formula>
    </cfRule>
    <cfRule type="containsText" dxfId="11062" priority="11070" operator="containsText" text="Atendida">
      <formula>NOT(ISERROR(SEARCH("Atendida",K695)))</formula>
    </cfRule>
    <cfRule type="containsText" dxfId="11061" priority="11071" operator="containsText" text="Reasignación">
      <formula>NOT(ISERROR(SEARCH("Reasignación",K695)))</formula>
    </cfRule>
    <cfRule type="containsText" dxfId="11060" priority="11072" operator="containsText" text="RECHAZADA">
      <formula>NOT(ISERROR(SEARCH("RECHAZADA",K695)))</formula>
    </cfRule>
    <cfRule type="containsText" dxfId="11059" priority="11073" operator="containsText" text="Atendida">
      <formula>NOT(ISERROR(SEARCH("Atendida",K695)))</formula>
    </cfRule>
    <cfRule type="containsText" dxfId="11058" priority="11074" operator="containsText" text="Reasignación">
      <formula>NOT(ISERROR(SEARCH("Reasignación",K695)))</formula>
    </cfRule>
    <cfRule type="containsText" dxfId="11057" priority="11075" operator="containsText" text="RECHAZADA">
      <formula>NOT(ISERROR(SEARCH("RECHAZADA",K695)))</formula>
    </cfRule>
    <cfRule type="containsText" dxfId="11056" priority="11076" operator="containsText" text="Atendida">
      <formula>NOT(ISERROR(SEARCH("Atendida",K695)))</formula>
    </cfRule>
  </conditionalFormatting>
  <conditionalFormatting sqref="K695">
    <cfRule type="containsText" dxfId="11055" priority="11062" operator="containsText" text="Reasignación">
      <formula>NOT(ISERROR(SEARCH("Reasignación",K695)))</formula>
    </cfRule>
    <cfRule type="containsText" dxfId="11054" priority="11063" operator="containsText" text="RECHAZADA">
      <formula>NOT(ISERROR(SEARCH("RECHAZADA",K695)))</formula>
    </cfRule>
    <cfRule type="containsText" dxfId="11053" priority="11064" operator="containsText" text="Atendida">
      <formula>NOT(ISERROR(SEARCH("Atendida",K695)))</formula>
    </cfRule>
  </conditionalFormatting>
  <conditionalFormatting sqref="M696">
    <cfRule type="containsText" dxfId="11052" priority="11059" operator="containsText" text="RECHAZADA">
      <formula>NOT(ISERROR(SEARCH("RECHAZADA",M696)))</formula>
    </cfRule>
    <cfRule type="containsText" dxfId="11051" priority="11060" operator="containsText" text="Atendida">
      <formula>NOT(ISERROR(SEARCH("Atendida",M696)))</formula>
    </cfRule>
  </conditionalFormatting>
  <conditionalFormatting sqref="M696">
    <cfRule type="containsText" dxfId="11050" priority="11057" operator="containsText" text="OBSERVADO">
      <formula>NOT(ISERROR(SEARCH("OBSERVADO",M696)))</formula>
    </cfRule>
    <cfRule type="containsText" dxfId="11049" priority="11058" operator="containsText" text="CONFORME">
      <formula>NOT(ISERROR(SEARCH("CONFORME",M696)))</formula>
    </cfRule>
  </conditionalFormatting>
  <conditionalFormatting sqref="B696">
    <cfRule type="duplicateValues" dxfId="11048" priority="11061"/>
  </conditionalFormatting>
  <conditionalFormatting sqref="K696">
    <cfRule type="containsText" dxfId="11047" priority="11045" operator="containsText" text="Reasignación">
      <formula>NOT(ISERROR(SEARCH("Reasignación",K696)))</formula>
    </cfRule>
    <cfRule type="containsText" dxfId="11046" priority="11046" operator="containsText" text="RECHAZADA">
      <formula>NOT(ISERROR(SEARCH("RECHAZADA",K696)))</formula>
    </cfRule>
    <cfRule type="containsText" dxfId="11045" priority="11047" operator="containsText" text="Atendida">
      <formula>NOT(ISERROR(SEARCH("Atendida",K696)))</formula>
    </cfRule>
    <cfRule type="containsText" dxfId="11044" priority="11048" operator="containsText" text="Reasignación">
      <formula>NOT(ISERROR(SEARCH("Reasignación",K696)))</formula>
    </cfRule>
    <cfRule type="containsText" dxfId="11043" priority="11049" operator="containsText" text="RECHAZADA">
      <formula>NOT(ISERROR(SEARCH("RECHAZADA",K696)))</formula>
    </cfRule>
    <cfRule type="containsText" dxfId="11042" priority="11050" operator="containsText" text="Atendida">
      <formula>NOT(ISERROR(SEARCH("Atendida",K696)))</formula>
    </cfRule>
    <cfRule type="containsText" dxfId="11041" priority="11051" operator="containsText" text="Reasignación">
      <formula>NOT(ISERROR(SEARCH("Reasignación",K696)))</formula>
    </cfRule>
    <cfRule type="containsText" dxfId="11040" priority="11052" operator="containsText" text="RECHAZADA">
      <formula>NOT(ISERROR(SEARCH("RECHAZADA",K696)))</formula>
    </cfRule>
    <cfRule type="containsText" dxfId="11039" priority="11053" operator="containsText" text="Atendida">
      <formula>NOT(ISERROR(SEARCH("Atendida",K696)))</formula>
    </cfRule>
    <cfRule type="containsText" dxfId="11038" priority="11054" operator="containsText" text="Reasignación">
      <formula>NOT(ISERROR(SEARCH("Reasignación",K696)))</formula>
    </cfRule>
    <cfRule type="containsText" dxfId="11037" priority="11055" operator="containsText" text="RECHAZADA">
      <formula>NOT(ISERROR(SEARCH("RECHAZADA",K696)))</formula>
    </cfRule>
    <cfRule type="containsText" dxfId="11036" priority="11056" operator="containsText" text="Atendida">
      <formula>NOT(ISERROR(SEARCH("Atendida",K696)))</formula>
    </cfRule>
  </conditionalFormatting>
  <conditionalFormatting sqref="K696">
    <cfRule type="containsText" dxfId="11035" priority="11042" operator="containsText" text="Reasignación">
      <formula>NOT(ISERROR(SEARCH("Reasignación",K696)))</formula>
    </cfRule>
    <cfRule type="containsText" dxfId="11034" priority="11043" operator="containsText" text="RECHAZADA">
      <formula>NOT(ISERROR(SEARCH("RECHAZADA",K696)))</formula>
    </cfRule>
    <cfRule type="containsText" dxfId="11033" priority="11044" operator="containsText" text="Atendida">
      <formula>NOT(ISERROR(SEARCH("Atendida",K696)))</formula>
    </cfRule>
  </conditionalFormatting>
  <conditionalFormatting sqref="K697">
    <cfRule type="containsText" dxfId="11032" priority="11030" operator="containsText" text="Reasignación">
      <formula>NOT(ISERROR(SEARCH("Reasignación",K697)))</formula>
    </cfRule>
    <cfRule type="containsText" dxfId="11031" priority="11031" operator="containsText" text="RECHAZADA">
      <formula>NOT(ISERROR(SEARCH("RECHAZADA",K697)))</formula>
    </cfRule>
    <cfRule type="containsText" dxfId="11030" priority="11032" operator="containsText" text="Atendida">
      <formula>NOT(ISERROR(SEARCH("Atendida",K697)))</formula>
    </cfRule>
    <cfRule type="containsText" dxfId="11029" priority="11033" operator="containsText" text="Reasignación">
      <formula>NOT(ISERROR(SEARCH("Reasignación",K697)))</formula>
    </cfRule>
    <cfRule type="containsText" dxfId="11028" priority="11034" operator="containsText" text="RECHAZADA">
      <formula>NOT(ISERROR(SEARCH("RECHAZADA",K697)))</formula>
    </cfRule>
    <cfRule type="containsText" dxfId="11027" priority="11035" operator="containsText" text="Atendida">
      <formula>NOT(ISERROR(SEARCH("Atendida",K697)))</formula>
    </cfRule>
    <cfRule type="containsText" dxfId="11026" priority="11036" operator="containsText" text="Reasignación">
      <formula>NOT(ISERROR(SEARCH("Reasignación",K697)))</formula>
    </cfRule>
    <cfRule type="containsText" dxfId="11025" priority="11037" operator="containsText" text="RECHAZADA">
      <formula>NOT(ISERROR(SEARCH("RECHAZADA",K697)))</formula>
    </cfRule>
    <cfRule type="containsText" dxfId="11024" priority="11038" operator="containsText" text="Atendida">
      <formula>NOT(ISERROR(SEARCH("Atendida",K697)))</formula>
    </cfRule>
    <cfRule type="containsText" dxfId="11023" priority="11039" operator="containsText" text="Reasignación">
      <formula>NOT(ISERROR(SEARCH("Reasignación",K697)))</formula>
    </cfRule>
    <cfRule type="containsText" dxfId="11022" priority="11040" operator="containsText" text="RECHAZADA">
      <formula>NOT(ISERROR(SEARCH("RECHAZADA",K697)))</formula>
    </cfRule>
    <cfRule type="containsText" dxfId="11021" priority="11041" operator="containsText" text="Atendida">
      <formula>NOT(ISERROR(SEARCH("Atendida",K697)))</formula>
    </cfRule>
  </conditionalFormatting>
  <conditionalFormatting sqref="K697">
    <cfRule type="containsText" dxfId="11020" priority="11027" operator="containsText" text="Reasignación">
      <formula>NOT(ISERROR(SEARCH("Reasignación",K697)))</formula>
    </cfRule>
    <cfRule type="containsText" dxfId="11019" priority="11028" operator="containsText" text="RECHAZADA">
      <formula>NOT(ISERROR(SEARCH("RECHAZADA",K697)))</formula>
    </cfRule>
    <cfRule type="containsText" dxfId="11018" priority="11029" operator="containsText" text="Atendida">
      <formula>NOT(ISERROR(SEARCH("Atendida",K697)))</formula>
    </cfRule>
  </conditionalFormatting>
  <conditionalFormatting sqref="K698">
    <cfRule type="containsText" dxfId="11017" priority="11015" operator="containsText" text="Reasignación">
      <formula>NOT(ISERROR(SEARCH("Reasignación",K698)))</formula>
    </cfRule>
    <cfRule type="containsText" dxfId="11016" priority="11016" operator="containsText" text="RECHAZADA">
      <formula>NOT(ISERROR(SEARCH("RECHAZADA",K698)))</formula>
    </cfRule>
    <cfRule type="containsText" dxfId="11015" priority="11017" operator="containsText" text="Atendida">
      <formula>NOT(ISERROR(SEARCH("Atendida",K698)))</formula>
    </cfRule>
    <cfRule type="containsText" dxfId="11014" priority="11018" operator="containsText" text="Reasignación">
      <formula>NOT(ISERROR(SEARCH("Reasignación",K698)))</formula>
    </cfRule>
    <cfRule type="containsText" dxfId="11013" priority="11019" operator="containsText" text="RECHAZADA">
      <formula>NOT(ISERROR(SEARCH("RECHAZADA",K698)))</formula>
    </cfRule>
    <cfRule type="containsText" dxfId="11012" priority="11020" operator="containsText" text="Atendida">
      <formula>NOT(ISERROR(SEARCH("Atendida",K698)))</formula>
    </cfRule>
    <cfRule type="containsText" dxfId="11011" priority="11021" operator="containsText" text="Reasignación">
      <formula>NOT(ISERROR(SEARCH("Reasignación",K698)))</formula>
    </cfRule>
    <cfRule type="containsText" dxfId="11010" priority="11022" operator="containsText" text="RECHAZADA">
      <formula>NOT(ISERROR(SEARCH("RECHAZADA",K698)))</formula>
    </cfRule>
    <cfRule type="containsText" dxfId="11009" priority="11023" operator="containsText" text="Atendida">
      <formula>NOT(ISERROR(SEARCH("Atendida",K698)))</formula>
    </cfRule>
    <cfRule type="containsText" dxfId="11008" priority="11024" operator="containsText" text="Reasignación">
      <formula>NOT(ISERROR(SEARCH("Reasignación",K698)))</formula>
    </cfRule>
    <cfRule type="containsText" dxfId="11007" priority="11025" operator="containsText" text="RECHAZADA">
      <formula>NOT(ISERROR(SEARCH("RECHAZADA",K698)))</formula>
    </cfRule>
    <cfRule type="containsText" dxfId="11006" priority="11026" operator="containsText" text="Atendida">
      <formula>NOT(ISERROR(SEARCH("Atendida",K698)))</formula>
    </cfRule>
  </conditionalFormatting>
  <conditionalFormatting sqref="K698">
    <cfRule type="containsText" dxfId="11005" priority="11012" operator="containsText" text="Reasignación">
      <formula>NOT(ISERROR(SEARCH("Reasignación",K698)))</formula>
    </cfRule>
    <cfRule type="containsText" dxfId="11004" priority="11013" operator="containsText" text="RECHAZADA">
      <formula>NOT(ISERROR(SEARCH("RECHAZADA",K698)))</formula>
    </cfRule>
    <cfRule type="containsText" dxfId="11003" priority="11014" operator="containsText" text="Atendida">
      <formula>NOT(ISERROR(SEARCH("Atendida",K698)))</formula>
    </cfRule>
  </conditionalFormatting>
  <conditionalFormatting sqref="B699:B700">
    <cfRule type="duplicateValues" dxfId="11002" priority="11011"/>
  </conditionalFormatting>
  <conditionalFormatting sqref="K699:K700">
    <cfRule type="containsText" dxfId="11001" priority="10992" operator="containsText" text="Reasignación">
      <formula>NOT(ISERROR(SEARCH("Reasignación",K699)))</formula>
    </cfRule>
    <cfRule type="containsText" dxfId="11000" priority="10993" operator="containsText" text="RECHAZADA">
      <formula>NOT(ISERROR(SEARCH("RECHAZADA",K699)))</formula>
    </cfRule>
    <cfRule type="containsText" dxfId="10999" priority="10994" operator="containsText" text="Atendida">
      <formula>NOT(ISERROR(SEARCH("Atendida",K699)))</formula>
    </cfRule>
  </conditionalFormatting>
  <conditionalFormatting sqref="K699">
    <cfRule type="containsText" dxfId="10998" priority="10995" operator="containsText" text="Reasignación">
      <formula>NOT(ISERROR(SEARCH("Reasignación",K699)))</formula>
    </cfRule>
    <cfRule type="containsText" dxfId="10997" priority="10996" operator="containsText" text="RECHAZADA">
      <formula>NOT(ISERROR(SEARCH("RECHAZADA",K699)))</formula>
    </cfRule>
    <cfRule type="containsText" dxfId="10996" priority="10997" operator="containsText" text="Atendida">
      <formula>NOT(ISERROR(SEARCH("Atendida",K699)))</formula>
    </cfRule>
    <cfRule type="containsText" dxfId="10995" priority="10998" operator="containsText" text="Reasignación">
      <formula>NOT(ISERROR(SEARCH("Reasignación",K699)))</formula>
    </cfRule>
    <cfRule type="containsText" dxfId="10994" priority="10999" operator="containsText" text="RECHAZADA">
      <formula>NOT(ISERROR(SEARCH("RECHAZADA",K699)))</formula>
    </cfRule>
    <cfRule type="containsText" dxfId="10993" priority="11000" operator="containsText" text="Atendida">
      <formula>NOT(ISERROR(SEARCH("Atendida",K699)))</formula>
    </cfRule>
    <cfRule type="containsText" dxfId="10992" priority="11001" operator="containsText" text="Reasignación">
      <formula>NOT(ISERROR(SEARCH("Reasignación",K699)))</formula>
    </cfRule>
    <cfRule type="containsText" dxfId="10991" priority="11002" operator="containsText" text="RECHAZADA">
      <formula>NOT(ISERROR(SEARCH("RECHAZADA",K699)))</formula>
    </cfRule>
    <cfRule type="containsText" dxfId="10990" priority="11003" operator="containsText" text="Atendida">
      <formula>NOT(ISERROR(SEARCH("Atendida",K699)))</formula>
    </cfRule>
    <cfRule type="containsText" dxfId="10989" priority="11004" operator="containsText" text="Reasignación">
      <formula>NOT(ISERROR(SEARCH("Reasignación",K699)))</formula>
    </cfRule>
    <cfRule type="containsText" dxfId="10988" priority="11005" operator="containsText" text="RECHAZADA">
      <formula>NOT(ISERROR(SEARCH("RECHAZADA",K699)))</formula>
    </cfRule>
    <cfRule type="containsText" dxfId="10987" priority="11006" operator="containsText" text="Atendida">
      <formula>NOT(ISERROR(SEARCH("Atendida",K699)))</formula>
    </cfRule>
  </conditionalFormatting>
  <conditionalFormatting sqref="M699:M703">
    <cfRule type="containsText" dxfId="10986" priority="11007" operator="containsText" text="OBSERVADO">
      <formula>NOT(ISERROR(SEARCH("OBSERVADO",M699)))</formula>
    </cfRule>
    <cfRule type="containsText" dxfId="10985" priority="11008" operator="containsText" text="CONFORME">
      <formula>NOT(ISERROR(SEARCH("CONFORME",M699)))</formula>
    </cfRule>
    <cfRule type="containsText" dxfId="10984" priority="11009" operator="containsText" text="RECHAZADA">
      <formula>NOT(ISERROR(SEARCH("RECHAZADA",M699)))</formula>
    </cfRule>
    <cfRule type="containsText" dxfId="10983" priority="11010" operator="containsText" text="Atendida">
      <formula>NOT(ISERROR(SEARCH("Atendida",M699)))</formula>
    </cfRule>
  </conditionalFormatting>
  <conditionalFormatting sqref="K699">
    <cfRule type="containsText" dxfId="10982" priority="10980" operator="containsText" text="Reasignación">
      <formula>NOT(ISERROR(SEARCH("Reasignación",K699)))</formula>
    </cfRule>
    <cfRule type="containsText" dxfId="10981" priority="10981" operator="containsText" text="RECHAZADA">
      <formula>NOT(ISERROR(SEARCH("RECHAZADA",K699)))</formula>
    </cfRule>
    <cfRule type="containsText" dxfId="10980" priority="10982" operator="containsText" text="Atendida">
      <formula>NOT(ISERROR(SEARCH("Atendida",K699)))</formula>
    </cfRule>
    <cfRule type="containsText" dxfId="10979" priority="10983" operator="containsText" text="Reasignación">
      <formula>NOT(ISERROR(SEARCH("Reasignación",K699)))</formula>
    </cfRule>
    <cfRule type="containsText" dxfId="10978" priority="10984" operator="containsText" text="RECHAZADA">
      <formula>NOT(ISERROR(SEARCH("RECHAZADA",K699)))</formula>
    </cfRule>
    <cfRule type="containsText" dxfId="10977" priority="10985" operator="containsText" text="Atendida">
      <formula>NOT(ISERROR(SEARCH("Atendida",K699)))</formula>
    </cfRule>
    <cfRule type="containsText" dxfId="10976" priority="10986" operator="containsText" text="Reasignación">
      <formula>NOT(ISERROR(SEARCH("Reasignación",K699)))</formula>
    </cfRule>
    <cfRule type="containsText" dxfId="10975" priority="10987" operator="containsText" text="RECHAZADA">
      <formula>NOT(ISERROR(SEARCH("RECHAZADA",K699)))</formula>
    </cfRule>
    <cfRule type="containsText" dxfId="10974" priority="10988" operator="containsText" text="Atendida">
      <formula>NOT(ISERROR(SEARCH("Atendida",K699)))</formula>
    </cfRule>
    <cfRule type="containsText" dxfId="10973" priority="10989" operator="containsText" text="Reasignación">
      <formula>NOT(ISERROR(SEARCH("Reasignación",K699)))</formula>
    </cfRule>
    <cfRule type="containsText" dxfId="10972" priority="10990" operator="containsText" text="RECHAZADA">
      <formula>NOT(ISERROR(SEARCH("RECHAZADA",K699)))</formula>
    </cfRule>
    <cfRule type="containsText" dxfId="10971" priority="10991" operator="containsText" text="Atendida">
      <formula>NOT(ISERROR(SEARCH("Atendida",K699)))</formula>
    </cfRule>
  </conditionalFormatting>
  <conditionalFormatting sqref="K700">
    <cfRule type="containsText" dxfId="10970" priority="10968" operator="containsText" text="Reasignación">
      <formula>NOT(ISERROR(SEARCH("Reasignación",K700)))</formula>
    </cfRule>
    <cfRule type="containsText" dxfId="10969" priority="10969" operator="containsText" text="RECHAZADA">
      <formula>NOT(ISERROR(SEARCH("RECHAZADA",K700)))</formula>
    </cfRule>
    <cfRule type="containsText" dxfId="10968" priority="10970" operator="containsText" text="Atendida">
      <formula>NOT(ISERROR(SEARCH("Atendida",K700)))</formula>
    </cfRule>
    <cfRule type="containsText" dxfId="10967" priority="10971" operator="containsText" text="Reasignación">
      <formula>NOT(ISERROR(SEARCH("Reasignación",K700)))</formula>
    </cfRule>
    <cfRule type="containsText" dxfId="10966" priority="10972" operator="containsText" text="RECHAZADA">
      <formula>NOT(ISERROR(SEARCH("RECHAZADA",K700)))</formula>
    </cfRule>
    <cfRule type="containsText" dxfId="10965" priority="10973" operator="containsText" text="Atendida">
      <formula>NOT(ISERROR(SEARCH("Atendida",K700)))</formula>
    </cfRule>
    <cfRule type="containsText" dxfId="10964" priority="10974" operator="containsText" text="Reasignación">
      <formula>NOT(ISERROR(SEARCH("Reasignación",K700)))</formula>
    </cfRule>
    <cfRule type="containsText" dxfId="10963" priority="10975" operator="containsText" text="RECHAZADA">
      <formula>NOT(ISERROR(SEARCH("RECHAZADA",K700)))</formula>
    </cfRule>
    <cfRule type="containsText" dxfId="10962" priority="10976" operator="containsText" text="Atendida">
      <formula>NOT(ISERROR(SEARCH("Atendida",K700)))</formula>
    </cfRule>
    <cfRule type="containsText" dxfId="10961" priority="10977" operator="containsText" text="Reasignación">
      <formula>NOT(ISERROR(SEARCH("Reasignación",K700)))</formula>
    </cfRule>
    <cfRule type="containsText" dxfId="10960" priority="10978" operator="containsText" text="RECHAZADA">
      <formula>NOT(ISERROR(SEARCH("RECHAZADA",K700)))</formula>
    </cfRule>
    <cfRule type="containsText" dxfId="10959" priority="10979" operator="containsText" text="Atendida">
      <formula>NOT(ISERROR(SEARCH("Atendida",K700)))</formula>
    </cfRule>
  </conditionalFormatting>
  <conditionalFormatting sqref="B705 B701:B703">
    <cfRule type="duplicateValues" dxfId="10958" priority="10967"/>
  </conditionalFormatting>
  <conditionalFormatting sqref="K701">
    <cfRule type="containsText" dxfId="10957" priority="10964" operator="containsText" text="Reasignación">
      <formula>NOT(ISERROR(SEARCH("Reasignación",K701)))</formula>
    </cfRule>
    <cfRule type="containsText" dxfId="10956" priority="10965" operator="containsText" text="RECHAZADA">
      <formula>NOT(ISERROR(SEARCH("RECHAZADA",K701)))</formula>
    </cfRule>
    <cfRule type="containsText" dxfId="10955" priority="10966" operator="containsText" text="Atendida">
      <formula>NOT(ISERROR(SEARCH("Atendida",K701)))</formula>
    </cfRule>
  </conditionalFormatting>
  <conditionalFormatting sqref="K701">
    <cfRule type="containsText" dxfId="10954" priority="10955" operator="containsText" text="Reasignación">
      <formula>NOT(ISERROR(SEARCH("Reasignación",K701)))</formula>
    </cfRule>
    <cfRule type="containsText" dxfId="10953" priority="10956" operator="containsText" text="RECHAZADA">
      <formula>NOT(ISERROR(SEARCH("RECHAZADA",K701)))</formula>
    </cfRule>
    <cfRule type="containsText" dxfId="10952" priority="10957" operator="containsText" text="Atendida">
      <formula>NOT(ISERROR(SEARCH("Atendida",K701)))</formula>
    </cfRule>
    <cfRule type="containsText" dxfId="10951" priority="10958" operator="containsText" text="Reasignación">
      <formula>NOT(ISERROR(SEARCH("Reasignación",K701)))</formula>
    </cfRule>
    <cfRule type="containsText" dxfId="10950" priority="10959" operator="containsText" text="RECHAZADA">
      <formula>NOT(ISERROR(SEARCH("RECHAZADA",K701)))</formula>
    </cfRule>
    <cfRule type="containsText" dxfId="10949" priority="10960" operator="containsText" text="Atendida">
      <formula>NOT(ISERROR(SEARCH("Atendida",K701)))</formula>
    </cfRule>
    <cfRule type="containsText" dxfId="10948" priority="10961" operator="containsText" text="Reasignación">
      <formula>NOT(ISERROR(SEARCH("Reasignación",K701)))</formula>
    </cfRule>
    <cfRule type="containsText" dxfId="10947" priority="10962" operator="containsText" text="RECHAZADA">
      <formula>NOT(ISERROR(SEARCH("RECHAZADA",K701)))</formula>
    </cfRule>
    <cfRule type="containsText" dxfId="10946" priority="10963" operator="containsText" text="Atendida">
      <formula>NOT(ISERROR(SEARCH("Atendida",K701)))</formula>
    </cfRule>
  </conditionalFormatting>
  <conditionalFormatting sqref="K701">
    <cfRule type="containsText" dxfId="10945" priority="10952" operator="containsText" text="Reasignación">
      <formula>NOT(ISERROR(SEARCH("Reasignación",K701)))</formula>
    </cfRule>
    <cfRule type="containsText" dxfId="10944" priority="10953" operator="containsText" text="RECHAZADA">
      <formula>NOT(ISERROR(SEARCH("RECHAZADA",K701)))</formula>
    </cfRule>
    <cfRule type="containsText" dxfId="10943" priority="10954" operator="containsText" text="Atendida">
      <formula>NOT(ISERROR(SEARCH("Atendida",K701)))</formula>
    </cfRule>
  </conditionalFormatting>
  <conditionalFormatting sqref="B704">
    <cfRule type="duplicateValues" dxfId="10942" priority="10939"/>
  </conditionalFormatting>
  <conditionalFormatting sqref="K703">
    <cfRule type="containsText" dxfId="10941" priority="10949" operator="containsText" text="Reasignación">
      <formula>NOT(ISERROR(SEARCH("Reasignación",K703)))</formula>
    </cfRule>
    <cfRule type="containsText" dxfId="10940" priority="10950" operator="containsText" text="RECHAZADA">
      <formula>NOT(ISERROR(SEARCH("RECHAZADA",K703)))</formula>
    </cfRule>
    <cfRule type="containsText" dxfId="10939" priority="10951" operator="containsText" text="Atendida">
      <formula>NOT(ISERROR(SEARCH("Atendida",K703)))</formula>
    </cfRule>
  </conditionalFormatting>
  <conditionalFormatting sqref="K703">
    <cfRule type="containsText" dxfId="10938" priority="10940" operator="containsText" text="Reasignación">
      <formula>NOT(ISERROR(SEARCH("Reasignación",K703)))</formula>
    </cfRule>
    <cfRule type="containsText" dxfId="10937" priority="10941" operator="containsText" text="RECHAZADA">
      <formula>NOT(ISERROR(SEARCH("RECHAZADA",K703)))</formula>
    </cfRule>
    <cfRule type="containsText" dxfId="10936" priority="10942" operator="containsText" text="Atendida">
      <formula>NOT(ISERROR(SEARCH("Atendida",K703)))</formula>
    </cfRule>
    <cfRule type="containsText" dxfId="10935" priority="10943" operator="containsText" text="Reasignación">
      <formula>NOT(ISERROR(SEARCH("Reasignación",K703)))</formula>
    </cfRule>
    <cfRule type="containsText" dxfId="10934" priority="10944" operator="containsText" text="RECHAZADA">
      <formula>NOT(ISERROR(SEARCH("RECHAZADA",K703)))</formula>
    </cfRule>
    <cfRule type="containsText" dxfId="10933" priority="10945" operator="containsText" text="Atendida">
      <formula>NOT(ISERROR(SEARCH("Atendida",K703)))</formula>
    </cfRule>
    <cfRule type="containsText" dxfId="10932" priority="10946" operator="containsText" text="Reasignación">
      <formula>NOT(ISERROR(SEARCH("Reasignación",K703)))</formula>
    </cfRule>
    <cfRule type="containsText" dxfId="10931" priority="10947" operator="containsText" text="RECHAZADA">
      <formula>NOT(ISERROR(SEARCH("RECHAZADA",K703)))</formula>
    </cfRule>
    <cfRule type="containsText" dxfId="10930" priority="10948" operator="containsText" text="Atendida">
      <formula>NOT(ISERROR(SEARCH("Atendida",K703)))</formula>
    </cfRule>
  </conditionalFormatting>
  <conditionalFormatting sqref="K703:K704">
    <cfRule type="containsText" dxfId="10929" priority="10932" operator="containsText" text="Reasignación">
      <formula>NOT(ISERROR(SEARCH("Reasignación",K703)))</formula>
    </cfRule>
    <cfRule type="containsText" dxfId="10928" priority="10933" operator="containsText" text="RECHAZADA">
      <formula>NOT(ISERROR(SEARCH("RECHAZADA",K703)))</formula>
    </cfRule>
    <cfRule type="containsText" dxfId="10927" priority="10934" operator="containsText" text="Atendida">
      <formula>NOT(ISERROR(SEARCH("Atendida",K703)))</formula>
    </cfRule>
  </conditionalFormatting>
  <conditionalFormatting sqref="K704">
    <cfRule type="containsText" dxfId="10926" priority="10923" operator="containsText" text="Reasignación">
      <formula>NOT(ISERROR(SEARCH("Reasignación",K704)))</formula>
    </cfRule>
    <cfRule type="containsText" dxfId="10925" priority="10924" operator="containsText" text="RECHAZADA">
      <formula>NOT(ISERROR(SEARCH("RECHAZADA",K704)))</formula>
    </cfRule>
    <cfRule type="containsText" dxfId="10924" priority="10925" operator="containsText" text="Atendida">
      <formula>NOT(ISERROR(SEARCH("Atendida",K704)))</formula>
    </cfRule>
    <cfRule type="containsText" dxfId="10923" priority="10926" operator="containsText" text="Reasignación">
      <formula>NOT(ISERROR(SEARCH("Reasignación",K704)))</formula>
    </cfRule>
    <cfRule type="containsText" dxfId="10922" priority="10927" operator="containsText" text="RECHAZADA">
      <formula>NOT(ISERROR(SEARCH("RECHAZADA",K704)))</formula>
    </cfRule>
    <cfRule type="containsText" dxfId="10921" priority="10928" operator="containsText" text="Atendida">
      <formula>NOT(ISERROR(SEARCH("Atendida",K704)))</formula>
    </cfRule>
    <cfRule type="containsText" dxfId="10920" priority="10929" operator="containsText" text="Reasignación">
      <formula>NOT(ISERROR(SEARCH("Reasignación",K704)))</formula>
    </cfRule>
    <cfRule type="containsText" dxfId="10919" priority="10930" operator="containsText" text="RECHAZADA">
      <formula>NOT(ISERROR(SEARCH("RECHAZADA",K704)))</formula>
    </cfRule>
    <cfRule type="containsText" dxfId="10918" priority="10931" operator="containsText" text="Atendida">
      <formula>NOT(ISERROR(SEARCH("Atendida",K704)))</formula>
    </cfRule>
  </conditionalFormatting>
  <conditionalFormatting sqref="K704">
    <cfRule type="containsText" dxfId="10917" priority="10920" operator="containsText" text="Reasignación">
      <formula>NOT(ISERROR(SEARCH("Reasignación",K704)))</formula>
    </cfRule>
    <cfRule type="containsText" dxfId="10916" priority="10921" operator="containsText" text="RECHAZADA">
      <formula>NOT(ISERROR(SEARCH("RECHAZADA",K704)))</formula>
    </cfRule>
    <cfRule type="containsText" dxfId="10915" priority="10922" operator="containsText" text="Atendida">
      <formula>NOT(ISERROR(SEARCH("Atendida",K704)))</formula>
    </cfRule>
  </conditionalFormatting>
  <conditionalFormatting sqref="M704">
    <cfRule type="containsText" dxfId="10914" priority="10938" operator="containsText" text="Atendida">
      <formula>NOT(ISERROR(SEARCH("Atendida",M704)))</formula>
    </cfRule>
  </conditionalFormatting>
  <conditionalFormatting sqref="M704:M705">
    <cfRule type="containsText" dxfId="10913" priority="10935" operator="containsText" text="OBSERVADO">
      <formula>NOT(ISERROR(SEARCH("OBSERVADO",M704)))</formula>
    </cfRule>
    <cfRule type="containsText" dxfId="10912" priority="10936" operator="containsText" text="CONFORME">
      <formula>NOT(ISERROR(SEARCH("CONFORME",M704)))</formula>
    </cfRule>
    <cfRule type="containsText" dxfId="10911" priority="10937" operator="containsText" text="RECHAZADA">
      <formula>NOT(ISERROR(SEARCH("RECHAZADA",M704)))</formula>
    </cfRule>
  </conditionalFormatting>
  <conditionalFormatting sqref="K702">
    <cfRule type="containsText" dxfId="10910" priority="10917" operator="containsText" text="Reasignación">
      <formula>NOT(ISERROR(SEARCH("Reasignación",K702)))</formula>
    </cfRule>
    <cfRule type="containsText" dxfId="10909" priority="10918" operator="containsText" text="RECHAZADA">
      <formula>NOT(ISERROR(SEARCH("RECHAZADA",K702)))</formula>
    </cfRule>
    <cfRule type="containsText" dxfId="10908" priority="10919" operator="containsText" text="Atendida">
      <formula>NOT(ISERROR(SEARCH("Atendida",K702)))</formula>
    </cfRule>
  </conditionalFormatting>
  <conditionalFormatting sqref="K702">
    <cfRule type="containsText" dxfId="10907" priority="10908" operator="containsText" text="Reasignación">
      <formula>NOT(ISERROR(SEARCH("Reasignación",K702)))</formula>
    </cfRule>
    <cfRule type="containsText" dxfId="10906" priority="10909" operator="containsText" text="RECHAZADA">
      <formula>NOT(ISERROR(SEARCH("RECHAZADA",K702)))</formula>
    </cfRule>
    <cfRule type="containsText" dxfId="10905" priority="10910" operator="containsText" text="Atendida">
      <formula>NOT(ISERROR(SEARCH("Atendida",K702)))</formula>
    </cfRule>
    <cfRule type="containsText" dxfId="10904" priority="10911" operator="containsText" text="Reasignación">
      <formula>NOT(ISERROR(SEARCH("Reasignación",K702)))</formula>
    </cfRule>
    <cfRule type="containsText" dxfId="10903" priority="10912" operator="containsText" text="RECHAZADA">
      <formula>NOT(ISERROR(SEARCH("RECHAZADA",K702)))</formula>
    </cfRule>
    <cfRule type="containsText" dxfId="10902" priority="10913" operator="containsText" text="Atendida">
      <formula>NOT(ISERROR(SEARCH("Atendida",K702)))</formula>
    </cfRule>
    <cfRule type="containsText" dxfId="10901" priority="10914" operator="containsText" text="Reasignación">
      <formula>NOT(ISERROR(SEARCH("Reasignación",K702)))</formula>
    </cfRule>
    <cfRule type="containsText" dxfId="10900" priority="10915" operator="containsText" text="RECHAZADA">
      <formula>NOT(ISERROR(SEARCH("RECHAZADA",K702)))</formula>
    </cfRule>
    <cfRule type="containsText" dxfId="10899" priority="10916" operator="containsText" text="Atendida">
      <formula>NOT(ISERROR(SEARCH("Atendida",K702)))</formula>
    </cfRule>
  </conditionalFormatting>
  <conditionalFormatting sqref="K702">
    <cfRule type="containsText" dxfId="10898" priority="10905" operator="containsText" text="Reasignación">
      <formula>NOT(ISERROR(SEARCH("Reasignación",K702)))</formula>
    </cfRule>
    <cfRule type="containsText" dxfId="10897" priority="10906" operator="containsText" text="RECHAZADA">
      <formula>NOT(ISERROR(SEARCH("RECHAZADA",K702)))</formula>
    </cfRule>
    <cfRule type="containsText" dxfId="10896" priority="10907" operator="containsText" text="Atendida">
      <formula>NOT(ISERROR(SEARCH("Atendida",K702)))</formula>
    </cfRule>
  </conditionalFormatting>
  <conditionalFormatting sqref="K703">
    <cfRule type="containsText" dxfId="10895" priority="10896" operator="containsText" text="Reasignación">
      <formula>NOT(ISERROR(SEARCH("Reasignación",K703)))</formula>
    </cfRule>
    <cfRule type="containsText" dxfId="10894" priority="10897" operator="containsText" text="RECHAZADA">
      <formula>NOT(ISERROR(SEARCH("RECHAZADA",K703)))</formula>
    </cfRule>
    <cfRule type="containsText" dxfId="10893" priority="10898" operator="containsText" text="Atendida">
      <formula>NOT(ISERROR(SEARCH("Atendida",K703)))</formula>
    </cfRule>
    <cfRule type="containsText" dxfId="10892" priority="10899" operator="containsText" text="Reasignación">
      <formula>NOT(ISERROR(SEARCH("Reasignación",K703)))</formula>
    </cfRule>
    <cfRule type="containsText" dxfId="10891" priority="10900" operator="containsText" text="RECHAZADA">
      <formula>NOT(ISERROR(SEARCH("RECHAZADA",K703)))</formula>
    </cfRule>
    <cfRule type="containsText" dxfId="10890" priority="10901" operator="containsText" text="Atendida">
      <formula>NOT(ISERROR(SEARCH("Atendida",K703)))</formula>
    </cfRule>
    <cfRule type="containsText" dxfId="10889" priority="10902" operator="containsText" text="Reasignación">
      <formula>NOT(ISERROR(SEARCH("Reasignación",K703)))</formula>
    </cfRule>
    <cfRule type="containsText" dxfId="10888" priority="10903" operator="containsText" text="RECHAZADA">
      <formula>NOT(ISERROR(SEARCH("RECHAZADA",K703)))</formula>
    </cfRule>
    <cfRule type="containsText" dxfId="10887" priority="10904" operator="containsText" text="Atendida">
      <formula>NOT(ISERROR(SEARCH("Atendida",K703)))</formula>
    </cfRule>
  </conditionalFormatting>
  <conditionalFormatting sqref="K703">
    <cfRule type="containsText" dxfId="10886" priority="10893" operator="containsText" text="Reasignación">
      <formula>NOT(ISERROR(SEARCH("Reasignación",K703)))</formula>
    </cfRule>
    <cfRule type="containsText" dxfId="10885" priority="10894" operator="containsText" text="RECHAZADA">
      <formula>NOT(ISERROR(SEARCH("RECHAZADA",K703)))</formula>
    </cfRule>
    <cfRule type="containsText" dxfId="10884" priority="10895" operator="containsText" text="Atendida">
      <formula>NOT(ISERROR(SEARCH("Atendida",K703)))</formula>
    </cfRule>
  </conditionalFormatting>
  <conditionalFormatting sqref="M705">
    <cfRule type="containsText" dxfId="10883" priority="10892" operator="containsText" text="Atendida">
      <formula>NOT(ISERROR(SEARCH("Atendida",M705)))</formula>
    </cfRule>
  </conditionalFormatting>
  <conditionalFormatting sqref="K705">
    <cfRule type="containsText" dxfId="10882" priority="10889" operator="containsText" text="Reasignación">
      <formula>NOT(ISERROR(SEARCH("Reasignación",K705)))</formula>
    </cfRule>
    <cfRule type="containsText" dxfId="10881" priority="10890" operator="containsText" text="RECHAZADA">
      <formula>NOT(ISERROR(SEARCH("RECHAZADA",K705)))</formula>
    </cfRule>
    <cfRule type="containsText" dxfId="10880" priority="10891" operator="containsText" text="Atendida">
      <formula>NOT(ISERROR(SEARCH("Atendida",K705)))</formula>
    </cfRule>
  </conditionalFormatting>
  <conditionalFormatting sqref="K705">
    <cfRule type="containsText" dxfId="10879" priority="10880" operator="containsText" text="Reasignación">
      <formula>NOT(ISERROR(SEARCH("Reasignación",K705)))</formula>
    </cfRule>
    <cfRule type="containsText" dxfId="10878" priority="10881" operator="containsText" text="RECHAZADA">
      <formula>NOT(ISERROR(SEARCH("RECHAZADA",K705)))</formula>
    </cfRule>
    <cfRule type="containsText" dxfId="10877" priority="10882" operator="containsText" text="Atendida">
      <formula>NOT(ISERROR(SEARCH("Atendida",K705)))</formula>
    </cfRule>
    <cfRule type="containsText" dxfId="10876" priority="10883" operator="containsText" text="Reasignación">
      <formula>NOT(ISERROR(SEARCH("Reasignación",K705)))</formula>
    </cfRule>
    <cfRule type="containsText" dxfId="10875" priority="10884" operator="containsText" text="RECHAZADA">
      <formula>NOT(ISERROR(SEARCH("RECHAZADA",K705)))</formula>
    </cfRule>
    <cfRule type="containsText" dxfId="10874" priority="10885" operator="containsText" text="Atendida">
      <formula>NOT(ISERROR(SEARCH("Atendida",K705)))</formula>
    </cfRule>
    <cfRule type="containsText" dxfId="10873" priority="10886" operator="containsText" text="Reasignación">
      <formula>NOT(ISERROR(SEARCH("Reasignación",K705)))</formula>
    </cfRule>
    <cfRule type="containsText" dxfId="10872" priority="10887" operator="containsText" text="RECHAZADA">
      <formula>NOT(ISERROR(SEARCH("RECHAZADA",K705)))</formula>
    </cfRule>
    <cfRule type="containsText" dxfId="10871" priority="10888" operator="containsText" text="Atendida">
      <formula>NOT(ISERROR(SEARCH("Atendida",K705)))</formula>
    </cfRule>
  </conditionalFormatting>
  <conditionalFormatting sqref="K705">
    <cfRule type="containsText" dxfId="10870" priority="10877" operator="containsText" text="Reasignación">
      <formula>NOT(ISERROR(SEARCH("Reasignación",K705)))</formula>
    </cfRule>
    <cfRule type="containsText" dxfId="10869" priority="10878" operator="containsText" text="RECHAZADA">
      <formula>NOT(ISERROR(SEARCH("RECHAZADA",K705)))</formula>
    </cfRule>
    <cfRule type="containsText" dxfId="10868" priority="10879" operator="containsText" text="Atendida">
      <formula>NOT(ISERROR(SEARCH("Atendida",K705)))</formula>
    </cfRule>
  </conditionalFormatting>
  <conditionalFormatting sqref="B706:B707">
    <cfRule type="duplicateValues" dxfId="10867" priority="10876"/>
  </conditionalFormatting>
  <conditionalFormatting sqref="M718 M711:M716 M706:M709">
    <cfRule type="containsText" dxfId="10866" priority="10872" operator="containsText" text="OBSERVADO">
      <formula>NOT(ISERROR(SEARCH("OBSERVADO",M706)))</formula>
    </cfRule>
    <cfRule type="containsText" dxfId="10865" priority="10873" operator="containsText" text="CONFORME">
      <formula>NOT(ISERROR(SEARCH("CONFORME",M706)))</formula>
    </cfRule>
    <cfRule type="containsText" dxfId="10864" priority="10874" operator="containsText" text="RECHAZADA">
      <formula>NOT(ISERROR(SEARCH("RECHAZADA",M706)))</formula>
    </cfRule>
  </conditionalFormatting>
  <conditionalFormatting sqref="M718 M711:M716 M706:M709">
    <cfRule type="containsText" dxfId="10863" priority="10875" operator="containsText" text="Atendida">
      <formula>NOT(ISERROR(SEARCH("Atendida",M706)))</formula>
    </cfRule>
  </conditionalFormatting>
  <conditionalFormatting sqref="K707">
    <cfRule type="containsText" dxfId="10862" priority="10869" operator="containsText" text="Reasignación">
      <formula>NOT(ISERROR(SEARCH("Reasignación",K707)))</formula>
    </cfRule>
    <cfRule type="containsText" dxfId="10861" priority="10870" operator="containsText" text="RECHAZADA">
      <formula>NOT(ISERROR(SEARCH("RECHAZADA",K707)))</formula>
    </cfRule>
    <cfRule type="containsText" dxfId="10860" priority="10871" operator="containsText" text="Atendida">
      <formula>NOT(ISERROR(SEARCH("Atendida",K707)))</formula>
    </cfRule>
  </conditionalFormatting>
  <conditionalFormatting sqref="K707">
    <cfRule type="containsText" dxfId="10859" priority="10857" operator="containsText" text="Reasignación">
      <formula>NOT(ISERROR(SEARCH("Reasignación",K707)))</formula>
    </cfRule>
    <cfRule type="containsText" dxfId="10858" priority="10858" operator="containsText" text="RECHAZADA">
      <formula>NOT(ISERROR(SEARCH("RECHAZADA",K707)))</formula>
    </cfRule>
    <cfRule type="containsText" dxfId="10857" priority="10859" operator="containsText" text="Atendida">
      <formula>NOT(ISERROR(SEARCH("Atendida",K707)))</formula>
    </cfRule>
    <cfRule type="containsText" dxfId="10856" priority="10860" operator="containsText" text="Reasignación">
      <formula>NOT(ISERROR(SEARCH("Reasignación",K707)))</formula>
    </cfRule>
    <cfRule type="containsText" dxfId="10855" priority="10861" operator="containsText" text="RECHAZADA">
      <formula>NOT(ISERROR(SEARCH("RECHAZADA",K707)))</formula>
    </cfRule>
    <cfRule type="containsText" dxfId="10854" priority="10862" operator="containsText" text="Atendida">
      <formula>NOT(ISERROR(SEARCH("Atendida",K707)))</formula>
    </cfRule>
    <cfRule type="containsText" dxfId="10853" priority="10863" operator="containsText" text="Reasignación">
      <formula>NOT(ISERROR(SEARCH("Reasignación",K707)))</formula>
    </cfRule>
    <cfRule type="containsText" dxfId="10852" priority="10864" operator="containsText" text="RECHAZADA">
      <formula>NOT(ISERROR(SEARCH("RECHAZADA",K707)))</formula>
    </cfRule>
    <cfRule type="containsText" dxfId="10851" priority="10865" operator="containsText" text="Atendida">
      <formula>NOT(ISERROR(SEARCH("Atendida",K707)))</formula>
    </cfRule>
    <cfRule type="containsText" dxfId="10850" priority="10866" operator="containsText" text="Reasignación">
      <formula>NOT(ISERROR(SEARCH("Reasignación",K707)))</formula>
    </cfRule>
    <cfRule type="containsText" dxfId="10849" priority="10867" operator="containsText" text="RECHAZADA">
      <formula>NOT(ISERROR(SEARCH("RECHAZADA",K707)))</formula>
    </cfRule>
    <cfRule type="containsText" dxfId="10848" priority="10868" operator="containsText" text="Atendida">
      <formula>NOT(ISERROR(SEARCH("Atendida",K707)))</formula>
    </cfRule>
  </conditionalFormatting>
  <conditionalFormatting sqref="K706">
    <cfRule type="containsText" dxfId="10847" priority="10854" operator="containsText" text="Reasignación">
      <formula>NOT(ISERROR(SEARCH("Reasignación",K706)))</formula>
    </cfRule>
    <cfRule type="containsText" dxfId="10846" priority="10855" operator="containsText" text="RECHAZADA">
      <formula>NOT(ISERROR(SEARCH("RECHAZADA",K706)))</formula>
    </cfRule>
    <cfRule type="containsText" dxfId="10845" priority="10856" operator="containsText" text="Atendida">
      <formula>NOT(ISERROR(SEARCH("Atendida",K706)))</formula>
    </cfRule>
  </conditionalFormatting>
  <conditionalFormatting sqref="K706">
    <cfRule type="containsText" dxfId="10844" priority="10842" operator="containsText" text="Reasignación">
      <formula>NOT(ISERROR(SEARCH("Reasignación",K706)))</formula>
    </cfRule>
    <cfRule type="containsText" dxfId="10843" priority="10843" operator="containsText" text="RECHAZADA">
      <formula>NOT(ISERROR(SEARCH("RECHAZADA",K706)))</formula>
    </cfRule>
    <cfRule type="containsText" dxfId="10842" priority="10844" operator="containsText" text="Atendida">
      <formula>NOT(ISERROR(SEARCH("Atendida",K706)))</formula>
    </cfRule>
    <cfRule type="containsText" dxfId="10841" priority="10845" operator="containsText" text="Reasignación">
      <formula>NOT(ISERROR(SEARCH("Reasignación",K706)))</formula>
    </cfRule>
    <cfRule type="containsText" dxfId="10840" priority="10846" operator="containsText" text="RECHAZADA">
      <formula>NOT(ISERROR(SEARCH("RECHAZADA",K706)))</formula>
    </cfRule>
    <cfRule type="containsText" dxfId="10839" priority="10847" operator="containsText" text="Atendida">
      <formula>NOT(ISERROR(SEARCH("Atendida",K706)))</formula>
    </cfRule>
    <cfRule type="containsText" dxfId="10838" priority="10848" operator="containsText" text="Reasignación">
      <formula>NOT(ISERROR(SEARCH("Reasignación",K706)))</formula>
    </cfRule>
    <cfRule type="containsText" dxfId="10837" priority="10849" operator="containsText" text="RECHAZADA">
      <formula>NOT(ISERROR(SEARCH("RECHAZADA",K706)))</formula>
    </cfRule>
    <cfRule type="containsText" dxfId="10836" priority="10850" operator="containsText" text="Atendida">
      <formula>NOT(ISERROR(SEARCH("Atendida",K706)))</formula>
    </cfRule>
    <cfRule type="containsText" dxfId="10835" priority="10851" operator="containsText" text="Reasignación">
      <formula>NOT(ISERROR(SEARCH("Reasignación",K706)))</formula>
    </cfRule>
    <cfRule type="containsText" dxfId="10834" priority="10852" operator="containsText" text="RECHAZADA">
      <formula>NOT(ISERROR(SEARCH("RECHAZADA",K706)))</formula>
    </cfRule>
    <cfRule type="containsText" dxfId="10833" priority="10853" operator="containsText" text="Atendida">
      <formula>NOT(ISERROR(SEARCH("Atendida",K706)))</formula>
    </cfRule>
  </conditionalFormatting>
  <conditionalFormatting sqref="B718 B711:B716 B708:B709">
    <cfRule type="duplicateValues" dxfId="10832" priority="10841"/>
  </conditionalFormatting>
  <conditionalFormatting sqref="K708">
    <cfRule type="containsText" dxfId="10831" priority="10838" operator="containsText" text="Reasignación">
      <formula>NOT(ISERROR(SEARCH("Reasignación",K708)))</formula>
    </cfRule>
    <cfRule type="containsText" dxfId="10830" priority="10839" operator="containsText" text="RECHAZADA">
      <formula>NOT(ISERROR(SEARCH("RECHAZADA",K708)))</formula>
    </cfRule>
    <cfRule type="containsText" dxfId="10829" priority="10840" operator="containsText" text="Atendida">
      <formula>NOT(ISERROR(SEARCH("Atendida",K708)))</formula>
    </cfRule>
  </conditionalFormatting>
  <conditionalFormatting sqref="K708">
    <cfRule type="containsText" dxfId="10828" priority="10826" operator="containsText" text="Reasignación">
      <formula>NOT(ISERROR(SEARCH("Reasignación",K708)))</formula>
    </cfRule>
    <cfRule type="containsText" dxfId="10827" priority="10827" operator="containsText" text="RECHAZADA">
      <formula>NOT(ISERROR(SEARCH("RECHAZADA",K708)))</formula>
    </cfRule>
    <cfRule type="containsText" dxfId="10826" priority="10828" operator="containsText" text="Atendida">
      <formula>NOT(ISERROR(SEARCH("Atendida",K708)))</formula>
    </cfRule>
    <cfRule type="containsText" dxfId="10825" priority="10829" operator="containsText" text="Reasignación">
      <formula>NOT(ISERROR(SEARCH("Reasignación",K708)))</formula>
    </cfRule>
    <cfRule type="containsText" dxfId="10824" priority="10830" operator="containsText" text="RECHAZADA">
      <formula>NOT(ISERROR(SEARCH("RECHAZADA",K708)))</formula>
    </cfRule>
    <cfRule type="containsText" dxfId="10823" priority="10831" operator="containsText" text="Atendida">
      <formula>NOT(ISERROR(SEARCH("Atendida",K708)))</formula>
    </cfRule>
    <cfRule type="containsText" dxfId="10822" priority="10832" operator="containsText" text="Reasignación">
      <formula>NOT(ISERROR(SEARCH("Reasignación",K708)))</formula>
    </cfRule>
    <cfRule type="containsText" dxfId="10821" priority="10833" operator="containsText" text="RECHAZADA">
      <formula>NOT(ISERROR(SEARCH("RECHAZADA",K708)))</formula>
    </cfRule>
    <cfRule type="containsText" dxfId="10820" priority="10834" operator="containsText" text="Atendida">
      <formula>NOT(ISERROR(SEARCH("Atendida",K708)))</formula>
    </cfRule>
    <cfRule type="containsText" dxfId="10819" priority="10835" operator="containsText" text="Reasignación">
      <formula>NOT(ISERROR(SEARCH("Reasignación",K708)))</formula>
    </cfRule>
    <cfRule type="containsText" dxfId="10818" priority="10836" operator="containsText" text="RECHAZADA">
      <formula>NOT(ISERROR(SEARCH("RECHAZADA",K708)))</formula>
    </cfRule>
    <cfRule type="containsText" dxfId="10817" priority="10837" operator="containsText" text="Atendida">
      <formula>NOT(ISERROR(SEARCH("Atendida",K708)))</formula>
    </cfRule>
  </conditionalFormatting>
  <conditionalFormatting sqref="B710">
    <cfRule type="duplicateValues" dxfId="10816" priority="10825"/>
  </conditionalFormatting>
  <conditionalFormatting sqref="M710">
    <cfRule type="containsText" dxfId="10815" priority="10821" operator="containsText" text="OBSERVADO">
      <formula>NOT(ISERROR(SEARCH("OBSERVADO",M710)))</formula>
    </cfRule>
    <cfRule type="containsText" dxfId="10814" priority="10822" operator="containsText" text="CONFORME">
      <formula>NOT(ISERROR(SEARCH("CONFORME",M710)))</formula>
    </cfRule>
    <cfRule type="containsText" dxfId="10813" priority="10823" operator="containsText" text="RECHAZADA">
      <formula>NOT(ISERROR(SEARCH("RECHAZADA",M710)))</formula>
    </cfRule>
  </conditionalFormatting>
  <conditionalFormatting sqref="M710">
    <cfRule type="containsText" dxfId="10812" priority="10824" operator="containsText" text="Atendida">
      <formula>NOT(ISERROR(SEARCH("Atendida",M710)))</formula>
    </cfRule>
  </conditionalFormatting>
  <conditionalFormatting sqref="K709">
    <cfRule type="containsText" dxfId="10811" priority="10818" operator="containsText" text="Reasignación">
      <formula>NOT(ISERROR(SEARCH("Reasignación",K709)))</formula>
    </cfRule>
    <cfRule type="containsText" dxfId="10810" priority="10819" operator="containsText" text="RECHAZADA">
      <formula>NOT(ISERROR(SEARCH("RECHAZADA",K709)))</formula>
    </cfRule>
    <cfRule type="containsText" dxfId="10809" priority="10820" operator="containsText" text="Atendida">
      <formula>NOT(ISERROR(SEARCH("Atendida",K709)))</formula>
    </cfRule>
  </conditionalFormatting>
  <conditionalFormatting sqref="K709">
    <cfRule type="containsText" dxfId="10808" priority="10806" operator="containsText" text="Reasignación">
      <formula>NOT(ISERROR(SEARCH("Reasignación",K709)))</formula>
    </cfRule>
    <cfRule type="containsText" dxfId="10807" priority="10807" operator="containsText" text="RECHAZADA">
      <formula>NOT(ISERROR(SEARCH("RECHAZADA",K709)))</formula>
    </cfRule>
    <cfRule type="containsText" dxfId="10806" priority="10808" operator="containsText" text="Atendida">
      <formula>NOT(ISERROR(SEARCH("Atendida",K709)))</formula>
    </cfRule>
    <cfRule type="containsText" dxfId="10805" priority="10809" operator="containsText" text="Reasignación">
      <formula>NOT(ISERROR(SEARCH("Reasignación",K709)))</formula>
    </cfRule>
    <cfRule type="containsText" dxfId="10804" priority="10810" operator="containsText" text="RECHAZADA">
      <formula>NOT(ISERROR(SEARCH("RECHAZADA",K709)))</formula>
    </cfRule>
    <cfRule type="containsText" dxfId="10803" priority="10811" operator="containsText" text="Atendida">
      <formula>NOT(ISERROR(SEARCH("Atendida",K709)))</formula>
    </cfRule>
    <cfRule type="containsText" dxfId="10802" priority="10812" operator="containsText" text="Reasignación">
      <formula>NOT(ISERROR(SEARCH("Reasignación",K709)))</formula>
    </cfRule>
    <cfRule type="containsText" dxfId="10801" priority="10813" operator="containsText" text="RECHAZADA">
      <formula>NOT(ISERROR(SEARCH("RECHAZADA",K709)))</formula>
    </cfRule>
    <cfRule type="containsText" dxfId="10800" priority="10814" operator="containsText" text="Atendida">
      <formula>NOT(ISERROR(SEARCH("Atendida",K709)))</formula>
    </cfRule>
    <cfRule type="containsText" dxfId="10799" priority="10815" operator="containsText" text="Reasignación">
      <formula>NOT(ISERROR(SEARCH("Reasignación",K709)))</formula>
    </cfRule>
    <cfRule type="containsText" dxfId="10798" priority="10816" operator="containsText" text="RECHAZADA">
      <formula>NOT(ISERROR(SEARCH("RECHAZADA",K709)))</formula>
    </cfRule>
    <cfRule type="containsText" dxfId="10797" priority="10817" operator="containsText" text="Atendida">
      <formula>NOT(ISERROR(SEARCH("Atendida",K709)))</formula>
    </cfRule>
  </conditionalFormatting>
  <conditionalFormatting sqref="K710">
    <cfRule type="containsText" dxfId="10796" priority="10803" operator="containsText" text="Reasignación">
      <formula>NOT(ISERROR(SEARCH("Reasignación",K710)))</formula>
    </cfRule>
    <cfRule type="containsText" dxfId="10795" priority="10804" operator="containsText" text="RECHAZADA">
      <formula>NOT(ISERROR(SEARCH("RECHAZADA",K710)))</formula>
    </cfRule>
    <cfRule type="containsText" dxfId="10794" priority="10805" operator="containsText" text="Atendida">
      <formula>NOT(ISERROR(SEARCH("Atendida",K710)))</formula>
    </cfRule>
  </conditionalFormatting>
  <conditionalFormatting sqref="K710">
    <cfRule type="containsText" dxfId="10793" priority="10791" operator="containsText" text="Reasignación">
      <formula>NOT(ISERROR(SEARCH("Reasignación",K710)))</formula>
    </cfRule>
    <cfRule type="containsText" dxfId="10792" priority="10792" operator="containsText" text="RECHAZADA">
      <formula>NOT(ISERROR(SEARCH("RECHAZADA",K710)))</formula>
    </cfRule>
    <cfRule type="containsText" dxfId="10791" priority="10793" operator="containsText" text="Atendida">
      <formula>NOT(ISERROR(SEARCH("Atendida",K710)))</formula>
    </cfRule>
    <cfRule type="containsText" dxfId="10790" priority="10794" operator="containsText" text="Reasignación">
      <formula>NOT(ISERROR(SEARCH("Reasignación",K710)))</formula>
    </cfRule>
    <cfRule type="containsText" dxfId="10789" priority="10795" operator="containsText" text="RECHAZADA">
      <formula>NOT(ISERROR(SEARCH("RECHAZADA",K710)))</formula>
    </cfRule>
    <cfRule type="containsText" dxfId="10788" priority="10796" operator="containsText" text="Atendida">
      <formula>NOT(ISERROR(SEARCH("Atendida",K710)))</formula>
    </cfRule>
    <cfRule type="containsText" dxfId="10787" priority="10797" operator="containsText" text="Reasignación">
      <formula>NOT(ISERROR(SEARCH("Reasignación",K710)))</formula>
    </cfRule>
    <cfRule type="containsText" dxfId="10786" priority="10798" operator="containsText" text="RECHAZADA">
      <formula>NOT(ISERROR(SEARCH("RECHAZADA",K710)))</formula>
    </cfRule>
    <cfRule type="containsText" dxfId="10785" priority="10799" operator="containsText" text="Atendida">
      <formula>NOT(ISERROR(SEARCH("Atendida",K710)))</formula>
    </cfRule>
    <cfRule type="containsText" dxfId="10784" priority="10800" operator="containsText" text="Reasignación">
      <formula>NOT(ISERROR(SEARCH("Reasignación",K710)))</formula>
    </cfRule>
    <cfRule type="containsText" dxfId="10783" priority="10801" operator="containsText" text="RECHAZADA">
      <formula>NOT(ISERROR(SEARCH("RECHAZADA",K710)))</formula>
    </cfRule>
    <cfRule type="containsText" dxfId="10782" priority="10802" operator="containsText" text="Atendida">
      <formula>NOT(ISERROR(SEARCH("Atendida",K710)))</formula>
    </cfRule>
  </conditionalFormatting>
  <conditionalFormatting sqref="K711">
    <cfRule type="containsText" dxfId="10781" priority="10788" operator="containsText" text="Reasignación">
      <formula>NOT(ISERROR(SEARCH("Reasignación",K711)))</formula>
    </cfRule>
    <cfRule type="containsText" dxfId="10780" priority="10789" operator="containsText" text="RECHAZADA">
      <formula>NOT(ISERROR(SEARCH("RECHAZADA",K711)))</formula>
    </cfRule>
    <cfRule type="containsText" dxfId="10779" priority="10790" operator="containsText" text="Atendida">
      <formula>NOT(ISERROR(SEARCH("Atendida",K711)))</formula>
    </cfRule>
  </conditionalFormatting>
  <conditionalFormatting sqref="K711">
    <cfRule type="containsText" dxfId="10778" priority="10776" operator="containsText" text="Reasignación">
      <formula>NOT(ISERROR(SEARCH("Reasignación",K711)))</formula>
    </cfRule>
    <cfRule type="containsText" dxfId="10777" priority="10777" operator="containsText" text="RECHAZADA">
      <formula>NOT(ISERROR(SEARCH("RECHAZADA",K711)))</formula>
    </cfRule>
    <cfRule type="containsText" dxfId="10776" priority="10778" operator="containsText" text="Atendida">
      <formula>NOT(ISERROR(SEARCH("Atendida",K711)))</formula>
    </cfRule>
    <cfRule type="containsText" dxfId="10775" priority="10779" operator="containsText" text="Reasignación">
      <formula>NOT(ISERROR(SEARCH("Reasignación",K711)))</formula>
    </cfRule>
    <cfRule type="containsText" dxfId="10774" priority="10780" operator="containsText" text="RECHAZADA">
      <formula>NOT(ISERROR(SEARCH("RECHAZADA",K711)))</formula>
    </cfRule>
    <cfRule type="containsText" dxfId="10773" priority="10781" operator="containsText" text="Atendida">
      <formula>NOT(ISERROR(SEARCH("Atendida",K711)))</formula>
    </cfRule>
    <cfRule type="containsText" dxfId="10772" priority="10782" operator="containsText" text="Reasignación">
      <formula>NOT(ISERROR(SEARCH("Reasignación",K711)))</formula>
    </cfRule>
    <cfRule type="containsText" dxfId="10771" priority="10783" operator="containsText" text="RECHAZADA">
      <formula>NOT(ISERROR(SEARCH("RECHAZADA",K711)))</formula>
    </cfRule>
    <cfRule type="containsText" dxfId="10770" priority="10784" operator="containsText" text="Atendida">
      <formula>NOT(ISERROR(SEARCH("Atendida",K711)))</formula>
    </cfRule>
    <cfRule type="containsText" dxfId="10769" priority="10785" operator="containsText" text="Reasignación">
      <formula>NOT(ISERROR(SEARCH("Reasignación",K711)))</formula>
    </cfRule>
    <cfRule type="containsText" dxfId="10768" priority="10786" operator="containsText" text="RECHAZADA">
      <formula>NOT(ISERROR(SEARCH("RECHAZADA",K711)))</formula>
    </cfRule>
    <cfRule type="containsText" dxfId="10767" priority="10787" operator="containsText" text="Atendida">
      <formula>NOT(ISERROR(SEARCH("Atendida",K711)))</formula>
    </cfRule>
  </conditionalFormatting>
  <conditionalFormatting sqref="K712">
    <cfRule type="containsText" dxfId="10766" priority="10773" operator="containsText" text="Reasignación">
      <formula>NOT(ISERROR(SEARCH("Reasignación",K712)))</formula>
    </cfRule>
    <cfRule type="containsText" dxfId="10765" priority="10774" operator="containsText" text="RECHAZADA">
      <formula>NOT(ISERROR(SEARCH("RECHAZADA",K712)))</formula>
    </cfRule>
    <cfRule type="containsText" dxfId="10764" priority="10775" operator="containsText" text="Atendida">
      <formula>NOT(ISERROR(SEARCH("Atendida",K712)))</formula>
    </cfRule>
  </conditionalFormatting>
  <conditionalFormatting sqref="K712">
    <cfRule type="containsText" dxfId="10763" priority="10761" operator="containsText" text="Reasignación">
      <formula>NOT(ISERROR(SEARCH("Reasignación",K712)))</formula>
    </cfRule>
    <cfRule type="containsText" dxfId="10762" priority="10762" operator="containsText" text="RECHAZADA">
      <formula>NOT(ISERROR(SEARCH("RECHAZADA",K712)))</formula>
    </cfRule>
    <cfRule type="containsText" dxfId="10761" priority="10763" operator="containsText" text="Atendida">
      <formula>NOT(ISERROR(SEARCH("Atendida",K712)))</formula>
    </cfRule>
    <cfRule type="containsText" dxfId="10760" priority="10764" operator="containsText" text="Reasignación">
      <formula>NOT(ISERROR(SEARCH("Reasignación",K712)))</formula>
    </cfRule>
    <cfRule type="containsText" dxfId="10759" priority="10765" operator="containsText" text="RECHAZADA">
      <formula>NOT(ISERROR(SEARCH("RECHAZADA",K712)))</formula>
    </cfRule>
    <cfRule type="containsText" dxfId="10758" priority="10766" operator="containsText" text="Atendida">
      <formula>NOT(ISERROR(SEARCH("Atendida",K712)))</formula>
    </cfRule>
    <cfRule type="containsText" dxfId="10757" priority="10767" operator="containsText" text="Reasignación">
      <formula>NOT(ISERROR(SEARCH("Reasignación",K712)))</formula>
    </cfRule>
    <cfRule type="containsText" dxfId="10756" priority="10768" operator="containsText" text="RECHAZADA">
      <formula>NOT(ISERROR(SEARCH("RECHAZADA",K712)))</formula>
    </cfRule>
    <cfRule type="containsText" dxfId="10755" priority="10769" operator="containsText" text="Atendida">
      <formula>NOT(ISERROR(SEARCH("Atendida",K712)))</formula>
    </cfRule>
    <cfRule type="containsText" dxfId="10754" priority="10770" operator="containsText" text="Reasignación">
      <formula>NOT(ISERROR(SEARCH("Reasignación",K712)))</formula>
    </cfRule>
    <cfRule type="containsText" dxfId="10753" priority="10771" operator="containsText" text="RECHAZADA">
      <formula>NOT(ISERROR(SEARCH("RECHAZADA",K712)))</formula>
    </cfRule>
    <cfRule type="containsText" dxfId="10752" priority="10772" operator="containsText" text="Atendida">
      <formula>NOT(ISERROR(SEARCH("Atendida",K712)))</formula>
    </cfRule>
  </conditionalFormatting>
  <conditionalFormatting sqref="K713">
    <cfRule type="containsText" dxfId="10751" priority="10758" operator="containsText" text="Reasignación">
      <formula>NOT(ISERROR(SEARCH("Reasignación",K713)))</formula>
    </cfRule>
    <cfRule type="containsText" dxfId="10750" priority="10759" operator="containsText" text="RECHAZADA">
      <formula>NOT(ISERROR(SEARCH("RECHAZADA",K713)))</formula>
    </cfRule>
    <cfRule type="containsText" dxfId="10749" priority="10760" operator="containsText" text="Atendida">
      <formula>NOT(ISERROR(SEARCH("Atendida",K713)))</formula>
    </cfRule>
  </conditionalFormatting>
  <conditionalFormatting sqref="K713">
    <cfRule type="containsText" dxfId="10748" priority="10746" operator="containsText" text="Reasignación">
      <formula>NOT(ISERROR(SEARCH("Reasignación",K713)))</formula>
    </cfRule>
    <cfRule type="containsText" dxfId="10747" priority="10747" operator="containsText" text="RECHAZADA">
      <formula>NOT(ISERROR(SEARCH("RECHAZADA",K713)))</formula>
    </cfRule>
    <cfRule type="containsText" dxfId="10746" priority="10748" operator="containsText" text="Atendida">
      <formula>NOT(ISERROR(SEARCH("Atendida",K713)))</formula>
    </cfRule>
    <cfRule type="containsText" dxfId="10745" priority="10749" operator="containsText" text="Reasignación">
      <formula>NOT(ISERROR(SEARCH("Reasignación",K713)))</formula>
    </cfRule>
    <cfRule type="containsText" dxfId="10744" priority="10750" operator="containsText" text="RECHAZADA">
      <formula>NOT(ISERROR(SEARCH("RECHAZADA",K713)))</formula>
    </cfRule>
    <cfRule type="containsText" dxfId="10743" priority="10751" operator="containsText" text="Atendida">
      <formula>NOT(ISERROR(SEARCH("Atendida",K713)))</formula>
    </cfRule>
    <cfRule type="containsText" dxfId="10742" priority="10752" operator="containsText" text="Reasignación">
      <formula>NOT(ISERROR(SEARCH("Reasignación",K713)))</formula>
    </cfRule>
    <cfRule type="containsText" dxfId="10741" priority="10753" operator="containsText" text="RECHAZADA">
      <formula>NOT(ISERROR(SEARCH("RECHAZADA",K713)))</formula>
    </cfRule>
    <cfRule type="containsText" dxfId="10740" priority="10754" operator="containsText" text="Atendida">
      <formula>NOT(ISERROR(SEARCH("Atendida",K713)))</formula>
    </cfRule>
    <cfRule type="containsText" dxfId="10739" priority="10755" operator="containsText" text="Reasignación">
      <formula>NOT(ISERROR(SEARCH("Reasignación",K713)))</formula>
    </cfRule>
    <cfRule type="containsText" dxfId="10738" priority="10756" operator="containsText" text="RECHAZADA">
      <formula>NOT(ISERROR(SEARCH("RECHAZADA",K713)))</formula>
    </cfRule>
    <cfRule type="containsText" dxfId="10737" priority="10757" operator="containsText" text="Atendida">
      <formula>NOT(ISERROR(SEARCH("Atendida",K713)))</formula>
    </cfRule>
  </conditionalFormatting>
  <conditionalFormatting sqref="K714">
    <cfRule type="containsText" dxfId="10736" priority="10743" operator="containsText" text="Reasignación">
      <formula>NOT(ISERROR(SEARCH("Reasignación",K714)))</formula>
    </cfRule>
    <cfRule type="containsText" dxfId="10735" priority="10744" operator="containsText" text="RECHAZADA">
      <formula>NOT(ISERROR(SEARCH("RECHAZADA",K714)))</formula>
    </cfRule>
    <cfRule type="containsText" dxfId="10734" priority="10745" operator="containsText" text="Atendida">
      <formula>NOT(ISERROR(SEARCH("Atendida",K714)))</formula>
    </cfRule>
  </conditionalFormatting>
  <conditionalFormatting sqref="K714">
    <cfRule type="containsText" dxfId="10733" priority="10731" operator="containsText" text="Reasignación">
      <formula>NOT(ISERROR(SEARCH("Reasignación",K714)))</formula>
    </cfRule>
    <cfRule type="containsText" dxfId="10732" priority="10732" operator="containsText" text="RECHAZADA">
      <formula>NOT(ISERROR(SEARCH("RECHAZADA",K714)))</formula>
    </cfRule>
    <cfRule type="containsText" dxfId="10731" priority="10733" operator="containsText" text="Atendida">
      <formula>NOT(ISERROR(SEARCH("Atendida",K714)))</formula>
    </cfRule>
    <cfRule type="containsText" dxfId="10730" priority="10734" operator="containsText" text="Reasignación">
      <formula>NOT(ISERROR(SEARCH("Reasignación",K714)))</formula>
    </cfRule>
    <cfRule type="containsText" dxfId="10729" priority="10735" operator="containsText" text="RECHAZADA">
      <formula>NOT(ISERROR(SEARCH("RECHAZADA",K714)))</formula>
    </cfRule>
    <cfRule type="containsText" dxfId="10728" priority="10736" operator="containsText" text="Atendida">
      <formula>NOT(ISERROR(SEARCH("Atendida",K714)))</formula>
    </cfRule>
    <cfRule type="containsText" dxfId="10727" priority="10737" operator="containsText" text="Reasignación">
      <formula>NOT(ISERROR(SEARCH("Reasignación",K714)))</formula>
    </cfRule>
    <cfRule type="containsText" dxfId="10726" priority="10738" operator="containsText" text="RECHAZADA">
      <formula>NOT(ISERROR(SEARCH("RECHAZADA",K714)))</formula>
    </cfRule>
    <cfRule type="containsText" dxfId="10725" priority="10739" operator="containsText" text="Atendida">
      <formula>NOT(ISERROR(SEARCH("Atendida",K714)))</formula>
    </cfRule>
    <cfRule type="containsText" dxfId="10724" priority="10740" operator="containsText" text="Reasignación">
      <formula>NOT(ISERROR(SEARCH("Reasignación",K714)))</formula>
    </cfRule>
    <cfRule type="containsText" dxfId="10723" priority="10741" operator="containsText" text="RECHAZADA">
      <formula>NOT(ISERROR(SEARCH("RECHAZADA",K714)))</formula>
    </cfRule>
    <cfRule type="containsText" dxfId="10722" priority="10742" operator="containsText" text="Atendida">
      <formula>NOT(ISERROR(SEARCH("Atendida",K714)))</formula>
    </cfRule>
  </conditionalFormatting>
  <conditionalFormatting sqref="B717">
    <cfRule type="duplicateValues" dxfId="10721" priority="10730"/>
  </conditionalFormatting>
  <conditionalFormatting sqref="M717">
    <cfRule type="containsText" dxfId="10720" priority="10726" operator="containsText" text="OBSERVADO">
      <formula>NOT(ISERROR(SEARCH("OBSERVADO",M717)))</formula>
    </cfRule>
    <cfRule type="containsText" dxfId="10719" priority="10727" operator="containsText" text="CONFORME">
      <formula>NOT(ISERROR(SEARCH("CONFORME",M717)))</formula>
    </cfRule>
    <cfRule type="containsText" dxfId="10718" priority="10728" operator="containsText" text="RECHAZADA">
      <formula>NOT(ISERROR(SEARCH("RECHAZADA",M717)))</formula>
    </cfRule>
  </conditionalFormatting>
  <conditionalFormatting sqref="M717">
    <cfRule type="containsText" dxfId="10717" priority="10729" operator="containsText" text="Atendida">
      <formula>NOT(ISERROR(SEARCH("Atendida",M717)))</formula>
    </cfRule>
  </conditionalFormatting>
  <conditionalFormatting sqref="K717">
    <cfRule type="containsText" dxfId="10716" priority="10723" operator="containsText" text="Reasignación">
      <formula>NOT(ISERROR(SEARCH("Reasignación",K717)))</formula>
    </cfRule>
    <cfRule type="containsText" dxfId="10715" priority="10724" operator="containsText" text="RECHAZADA">
      <formula>NOT(ISERROR(SEARCH("RECHAZADA",K717)))</formula>
    </cfRule>
    <cfRule type="containsText" dxfId="10714" priority="10725" operator="containsText" text="Atendida">
      <formula>NOT(ISERROR(SEARCH("Atendida",K717)))</formula>
    </cfRule>
  </conditionalFormatting>
  <conditionalFormatting sqref="K717">
    <cfRule type="containsText" dxfId="10713" priority="10711" operator="containsText" text="Reasignación">
      <formula>NOT(ISERROR(SEARCH("Reasignación",K717)))</formula>
    </cfRule>
    <cfRule type="containsText" dxfId="10712" priority="10712" operator="containsText" text="RECHAZADA">
      <formula>NOT(ISERROR(SEARCH("RECHAZADA",K717)))</formula>
    </cfRule>
    <cfRule type="containsText" dxfId="10711" priority="10713" operator="containsText" text="Atendida">
      <formula>NOT(ISERROR(SEARCH("Atendida",K717)))</formula>
    </cfRule>
    <cfRule type="containsText" dxfId="10710" priority="10714" operator="containsText" text="Reasignación">
      <formula>NOT(ISERROR(SEARCH("Reasignación",K717)))</formula>
    </cfRule>
    <cfRule type="containsText" dxfId="10709" priority="10715" operator="containsText" text="RECHAZADA">
      <formula>NOT(ISERROR(SEARCH("RECHAZADA",K717)))</formula>
    </cfRule>
    <cfRule type="containsText" dxfId="10708" priority="10716" operator="containsText" text="Atendida">
      <formula>NOT(ISERROR(SEARCH("Atendida",K717)))</formula>
    </cfRule>
    <cfRule type="containsText" dxfId="10707" priority="10717" operator="containsText" text="Reasignación">
      <formula>NOT(ISERROR(SEARCH("Reasignación",K717)))</formula>
    </cfRule>
    <cfRule type="containsText" dxfId="10706" priority="10718" operator="containsText" text="RECHAZADA">
      <formula>NOT(ISERROR(SEARCH("RECHAZADA",K717)))</formula>
    </cfRule>
    <cfRule type="containsText" dxfId="10705" priority="10719" operator="containsText" text="Atendida">
      <formula>NOT(ISERROR(SEARCH("Atendida",K717)))</formula>
    </cfRule>
    <cfRule type="containsText" dxfId="10704" priority="10720" operator="containsText" text="Reasignación">
      <formula>NOT(ISERROR(SEARCH("Reasignación",K717)))</formula>
    </cfRule>
    <cfRule type="containsText" dxfId="10703" priority="10721" operator="containsText" text="RECHAZADA">
      <formula>NOT(ISERROR(SEARCH("RECHAZADA",K717)))</formula>
    </cfRule>
    <cfRule type="containsText" dxfId="10702" priority="10722" operator="containsText" text="Atendida">
      <formula>NOT(ISERROR(SEARCH("Atendida",K717)))</formula>
    </cfRule>
  </conditionalFormatting>
  <conditionalFormatting sqref="K715">
    <cfRule type="containsText" dxfId="10701" priority="10708" operator="containsText" text="Reasignación">
      <formula>NOT(ISERROR(SEARCH("Reasignación",K715)))</formula>
    </cfRule>
    <cfRule type="containsText" dxfId="10700" priority="10709" operator="containsText" text="RECHAZADA">
      <formula>NOT(ISERROR(SEARCH("RECHAZADA",K715)))</formula>
    </cfRule>
    <cfRule type="containsText" dxfId="10699" priority="10710" operator="containsText" text="Atendida">
      <formula>NOT(ISERROR(SEARCH("Atendida",K715)))</formula>
    </cfRule>
  </conditionalFormatting>
  <conditionalFormatting sqref="K715">
    <cfRule type="containsText" dxfId="10698" priority="10696" operator="containsText" text="Reasignación">
      <formula>NOT(ISERROR(SEARCH("Reasignación",K715)))</formula>
    </cfRule>
    <cfRule type="containsText" dxfId="10697" priority="10697" operator="containsText" text="RECHAZADA">
      <formula>NOT(ISERROR(SEARCH("RECHAZADA",K715)))</formula>
    </cfRule>
    <cfRule type="containsText" dxfId="10696" priority="10698" operator="containsText" text="Atendida">
      <formula>NOT(ISERROR(SEARCH("Atendida",K715)))</formula>
    </cfRule>
    <cfRule type="containsText" dxfId="10695" priority="10699" operator="containsText" text="Reasignación">
      <formula>NOT(ISERROR(SEARCH("Reasignación",K715)))</formula>
    </cfRule>
    <cfRule type="containsText" dxfId="10694" priority="10700" operator="containsText" text="RECHAZADA">
      <formula>NOT(ISERROR(SEARCH("RECHAZADA",K715)))</formula>
    </cfRule>
    <cfRule type="containsText" dxfId="10693" priority="10701" operator="containsText" text="Atendida">
      <formula>NOT(ISERROR(SEARCH("Atendida",K715)))</formula>
    </cfRule>
    <cfRule type="containsText" dxfId="10692" priority="10702" operator="containsText" text="Reasignación">
      <formula>NOT(ISERROR(SEARCH("Reasignación",K715)))</formula>
    </cfRule>
    <cfRule type="containsText" dxfId="10691" priority="10703" operator="containsText" text="RECHAZADA">
      <formula>NOT(ISERROR(SEARCH("RECHAZADA",K715)))</formula>
    </cfRule>
    <cfRule type="containsText" dxfId="10690" priority="10704" operator="containsText" text="Atendida">
      <formula>NOT(ISERROR(SEARCH("Atendida",K715)))</formula>
    </cfRule>
    <cfRule type="containsText" dxfId="10689" priority="10705" operator="containsText" text="Reasignación">
      <formula>NOT(ISERROR(SEARCH("Reasignación",K715)))</formula>
    </cfRule>
    <cfRule type="containsText" dxfId="10688" priority="10706" operator="containsText" text="RECHAZADA">
      <formula>NOT(ISERROR(SEARCH("RECHAZADA",K715)))</formula>
    </cfRule>
    <cfRule type="containsText" dxfId="10687" priority="10707" operator="containsText" text="Atendida">
      <formula>NOT(ISERROR(SEARCH("Atendida",K715)))</formula>
    </cfRule>
  </conditionalFormatting>
  <conditionalFormatting sqref="K716">
    <cfRule type="containsText" dxfId="10686" priority="10693" operator="containsText" text="Reasignación">
      <formula>NOT(ISERROR(SEARCH("Reasignación",K716)))</formula>
    </cfRule>
    <cfRule type="containsText" dxfId="10685" priority="10694" operator="containsText" text="RECHAZADA">
      <formula>NOT(ISERROR(SEARCH("RECHAZADA",K716)))</formula>
    </cfRule>
    <cfRule type="containsText" dxfId="10684" priority="10695" operator="containsText" text="Atendida">
      <formula>NOT(ISERROR(SEARCH("Atendida",K716)))</formula>
    </cfRule>
  </conditionalFormatting>
  <conditionalFormatting sqref="K716">
    <cfRule type="containsText" dxfId="10683" priority="10681" operator="containsText" text="Reasignación">
      <formula>NOT(ISERROR(SEARCH("Reasignación",K716)))</formula>
    </cfRule>
    <cfRule type="containsText" dxfId="10682" priority="10682" operator="containsText" text="RECHAZADA">
      <formula>NOT(ISERROR(SEARCH("RECHAZADA",K716)))</formula>
    </cfRule>
    <cfRule type="containsText" dxfId="10681" priority="10683" operator="containsText" text="Atendida">
      <formula>NOT(ISERROR(SEARCH("Atendida",K716)))</formula>
    </cfRule>
    <cfRule type="containsText" dxfId="10680" priority="10684" operator="containsText" text="Reasignación">
      <formula>NOT(ISERROR(SEARCH("Reasignación",K716)))</formula>
    </cfRule>
    <cfRule type="containsText" dxfId="10679" priority="10685" operator="containsText" text="RECHAZADA">
      <formula>NOT(ISERROR(SEARCH("RECHAZADA",K716)))</formula>
    </cfRule>
    <cfRule type="containsText" dxfId="10678" priority="10686" operator="containsText" text="Atendida">
      <formula>NOT(ISERROR(SEARCH("Atendida",K716)))</formula>
    </cfRule>
    <cfRule type="containsText" dxfId="10677" priority="10687" operator="containsText" text="Reasignación">
      <formula>NOT(ISERROR(SEARCH("Reasignación",K716)))</formula>
    </cfRule>
    <cfRule type="containsText" dxfId="10676" priority="10688" operator="containsText" text="RECHAZADA">
      <formula>NOT(ISERROR(SEARCH("RECHAZADA",K716)))</formula>
    </cfRule>
    <cfRule type="containsText" dxfId="10675" priority="10689" operator="containsText" text="Atendida">
      <formula>NOT(ISERROR(SEARCH("Atendida",K716)))</formula>
    </cfRule>
    <cfRule type="containsText" dxfId="10674" priority="10690" operator="containsText" text="Reasignación">
      <formula>NOT(ISERROR(SEARCH("Reasignación",K716)))</formula>
    </cfRule>
    <cfRule type="containsText" dxfId="10673" priority="10691" operator="containsText" text="RECHAZADA">
      <formula>NOT(ISERROR(SEARCH("RECHAZADA",K716)))</formula>
    </cfRule>
    <cfRule type="containsText" dxfId="10672" priority="10692" operator="containsText" text="Atendida">
      <formula>NOT(ISERROR(SEARCH("Atendida",K716)))</formula>
    </cfRule>
  </conditionalFormatting>
  <conditionalFormatting sqref="K718">
    <cfRule type="containsText" dxfId="10671" priority="10678" operator="containsText" text="Reasignación">
      <formula>NOT(ISERROR(SEARCH("Reasignación",K718)))</formula>
    </cfRule>
    <cfRule type="containsText" dxfId="10670" priority="10679" operator="containsText" text="RECHAZADA">
      <formula>NOT(ISERROR(SEARCH("RECHAZADA",K718)))</formula>
    </cfRule>
    <cfRule type="containsText" dxfId="10669" priority="10680" operator="containsText" text="Atendida">
      <formula>NOT(ISERROR(SEARCH("Atendida",K718)))</formula>
    </cfRule>
  </conditionalFormatting>
  <conditionalFormatting sqref="K718">
    <cfRule type="containsText" dxfId="10668" priority="10666" operator="containsText" text="Reasignación">
      <formula>NOT(ISERROR(SEARCH("Reasignación",K718)))</formula>
    </cfRule>
    <cfRule type="containsText" dxfId="10667" priority="10667" operator="containsText" text="RECHAZADA">
      <formula>NOT(ISERROR(SEARCH("RECHAZADA",K718)))</formula>
    </cfRule>
    <cfRule type="containsText" dxfId="10666" priority="10668" operator="containsText" text="Atendida">
      <formula>NOT(ISERROR(SEARCH("Atendida",K718)))</formula>
    </cfRule>
    <cfRule type="containsText" dxfId="10665" priority="10669" operator="containsText" text="Reasignación">
      <formula>NOT(ISERROR(SEARCH("Reasignación",K718)))</formula>
    </cfRule>
    <cfRule type="containsText" dxfId="10664" priority="10670" operator="containsText" text="RECHAZADA">
      <formula>NOT(ISERROR(SEARCH("RECHAZADA",K718)))</formula>
    </cfRule>
    <cfRule type="containsText" dxfId="10663" priority="10671" operator="containsText" text="Atendida">
      <formula>NOT(ISERROR(SEARCH("Atendida",K718)))</formula>
    </cfRule>
    <cfRule type="containsText" dxfId="10662" priority="10672" operator="containsText" text="Reasignación">
      <formula>NOT(ISERROR(SEARCH("Reasignación",K718)))</formula>
    </cfRule>
    <cfRule type="containsText" dxfId="10661" priority="10673" operator="containsText" text="RECHAZADA">
      <formula>NOT(ISERROR(SEARCH("RECHAZADA",K718)))</formula>
    </cfRule>
    <cfRule type="containsText" dxfId="10660" priority="10674" operator="containsText" text="Atendida">
      <formula>NOT(ISERROR(SEARCH("Atendida",K718)))</formula>
    </cfRule>
    <cfRule type="containsText" dxfId="10659" priority="10675" operator="containsText" text="Reasignación">
      <formula>NOT(ISERROR(SEARCH("Reasignación",K718)))</formula>
    </cfRule>
    <cfRule type="containsText" dxfId="10658" priority="10676" operator="containsText" text="RECHAZADA">
      <formula>NOT(ISERROR(SEARCH("RECHAZADA",K718)))</formula>
    </cfRule>
    <cfRule type="containsText" dxfId="10657" priority="10677" operator="containsText" text="Atendida">
      <formula>NOT(ISERROR(SEARCH("Atendida",K718)))</formula>
    </cfRule>
  </conditionalFormatting>
  <conditionalFormatting sqref="B719">
    <cfRule type="duplicateValues" dxfId="10656" priority="10665"/>
  </conditionalFormatting>
  <conditionalFormatting sqref="K719">
    <cfRule type="containsText" dxfId="10655" priority="10652" operator="containsText" text="Reasignación">
      <formula>NOT(ISERROR(SEARCH("Reasignación",K719)))</formula>
    </cfRule>
    <cfRule type="containsText" dxfId="10654" priority="10653" operator="containsText" text="RECHAZADA">
      <formula>NOT(ISERROR(SEARCH("RECHAZADA",K719)))</formula>
    </cfRule>
    <cfRule type="containsText" dxfId="10653" priority="10654" operator="containsText" text="Atendida">
      <formula>NOT(ISERROR(SEARCH("Atendida",K719)))</formula>
    </cfRule>
    <cfRule type="containsText" dxfId="10652" priority="10655" operator="containsText" text="Reasignación">
      <formula>NOT(ISERROR(SEARCH("Reasignación",K719)))</formula>
    </cfRule>
    <cfRule type="containsText" dxfId="10651" priority="10656" operator="containsText" text="RECHAZADA">
      <formula>NOT(ISERROR(SEARCH("RECHAZADA",K719)))</formula>
    </cfRule>
    <cfRule type="containsText" dxfId="10650" priority="10657" operator="containsText" text="Atendida">
      <formula>NOT(ISERROR(SEARCH("Atendida",K719)))</formula>
    </cfRule>
    <cfRule type="containsText" dxfId="10649" priority="10658" operator="containsText" text="Reasignación">
      <formula>NOT(ISERROR(SEARCH("Reasignación",K719)))</formula>
    </cfRule>
    <cfRule type="containsText" dxfId="10648" priority="10659" operator="containsText" text="RECHAZADA">
      <formula>NOT(ISERROR(SEARCH("RECHAZADA",K719)))</formula>
    </cfRule>
    <cfRule type="containsText" dxfId="10647" priority="10660" operator="containsText" text="Atendida">
      <formula>NOT(ISERROR(SEARCH("Atendida",K719)))</formula>
    </cfRule>
    <cfRule type="containsText" dxfId="10646" priority="10661" operator="containsText" text="Reasignación">
      <formula>NOT(ISERROR(SEARCH("Reasignación",K719)))</formula>
    </cfRule>
    <cfRule type="containsText" dxfId="10645" priority="10662" operator="containsText" text="RECHAZADA">
      <formula>NOT(ISERROR(SEARCH("RECHAZADA",K719)))</formula>
    </cfRule>
    <cfRule type="containsText" dxfId="10644" priority="10663" operator="containsText" text="Atendida">
      <formula>NOT(ISERROR(SEARCH("Atendida",K719)))</formula>
    </cfRule>
  </conditionalFormatting>
  <conditionalFormatting sqref="K719">
    <cfRule type="containsText" dxfId="10643" priority="10649" operator="containsText" text="Reasignación">
      <formula>NOT(ISERROR(SEARCH("Reasignación",K719)))</formula>
    </cfRule>
    <cfRule type="containsText" dxfId="10642" priority="10650" operator="containsText" text="RECHAZADA">
      <formula>NOT(ISERROR(SEARCH("RECHAZADA",K719)))</formula>
    </cfRule>
    <cfRule type="containsText" dxfId="10641" priority="10651" operator="containsText" text="Atendida">
      <formula>NOT(ISERROR(SEARCH("Atendida",K719)))</formula>
    </cfRule>
  </conditionalFormatting>
  <conditionalFormatting sqref="M719">
    <cfRule type="containsText" dxfId="10640" priority="10664" operator="containsText" text="Atendida">
      <formula>NOT(ISERROR(SEARCH("Atendida",M719)))</formula>
    </cfRule>
  </conditionalFormatting>
  <conditionalFormatting sqref="M719:M730">
    <cfRule type="containsText" dxfId="10639" priority="10646" operator="containsText" text="OBSERVADO">
      <formula>NOT(ISERROR(SEARCH("OBSERVADO",M719)))</formula>
    </cfRule>
    <cfRule type="containsText" dxfId="10638" priority="10647" operator="containsText" text="CONFORME">
      <formula>NOT(ISERROR(SEARCH("CONFORME",M719)))</formula>
    </cfRule>
  </conditionalFormatting>
  <conditionalFormatting sqref="M719:M730">
    <cfRule type="containsText" dxfId="10637" priority="10648" operator="containsText" text="RECHAZADA">
      <formula>NOT(ISERROR(SEARCH("RECHAZADA",M719)))</formula>
    </cfRule>
  </conditionalFormatting>
  <conditionalFormatting sqref="B720:B722">
    <cfRule type="duplicateValues" dxfId="10636" priority="10645"/>
  </conditionalFormatting>
  <conditionalFormatting sqref="M727:M730 M720:M725">
    <cfRule type="containsText" dxfId="10635" priority="10644" operator="containsText" text="Atendida">
      <formula>NOT(ISERROR(SEARCH("Atendida",M720)))</formula>
    </cfRule>
  </conditionalFormatting>
  <conditionalFormatting sqref="K720">
    <cfRule type="containsText" dxfId="10634" priority="10641" operator="containsText" text="Reasignación">
      <formula>NOT(ISERROR(SEARCH("Reasignación",K720)))</formula>
    </cfRule>
    <cfRule type="containsText" dxfId="10633" priority="10642" operator="containsText" text="RECHAZADA">
      <formula>NOT(ISERROR(SEARCH("RECHAZADA",K720)))</formula>
    </cfRule>
    <cfRule type="containsText" dxfId="10632" priority="10643" operator="containsText" text="Atendida">
      <formula>NOT(ISERROR(SEARCH("Atendida",K720)))</formula>
    </cfRule>
  </conditionalFormatting>
  <conditionalFormatting sqref="K720">
    <cfRule type="containsText" dxfId="10631" priority="10629" operator="containsText" text="Reasignación">
      <formula>NOT(ISERROR(SEARCH("Reasignación",K720)))</formula>
    </cfRule>
    <cfRule type="containsText" dxfId="10630" priority="10630" operator="containsText" text="RECHAZADA">
      <formula>NOT(ISERROR(SEARCH("RECHAZADA",K720)))</formula>
    </cfRule>
    <cfRule type="containsText" dxfId="10629" priority="10631" operator="containsText" text="Atendida">
      <formula>NOT(ISERROR(SEARCH("Atendida",K720)))</formula>
    </cfRule>
    <cfRule type="containsText" dxfId="10628" priority="10632" operator="containsText" text="Reasignación">
      <formula>NOT(ISERROR(SEARCH("Reasignación",K720)))</formula>
    </cfRule>
    <cfRule type="containsText" dxfId="10627" priority="10633" operator="containsText" text="RECHAZADA">
      <formula>NOT(ISERROR(SEARCH("RECHAZADA",K720)))</formula>
    </cfRule>
    <cfRule type="containsText" dxfId="10626" priority="10634" operator="containsText" text="Atendida">
      <formula>NOT(ISERROR(SEARCH("Atendida",K720)))</formula>
    </cfRule>
    <cfRule type="containsText" dxfId="10625" priority="10635" operator="containsText" text="Reasignación">
      <formula>NOT(ISERROR(SEARCH("Reasignación",K720)))</formula>
    </cfRule>
    <cfRule type="containsText" dxfId="10624" priority="10636" operator="containsText" text="RECHAZADA">
      <formula>NOT(ISERROR(SEARCH("RECHAZADA",K720)))</formula>
    </cfRule>
    <cfRule type="containsText" dxfId="10623" priority="10637" operator="containsText" text="Atendida">
      <formula>NOT(ISERROR(SEARCH("Atendida",K720)))</formula>
    </cfRule>
    <cfRule type="containsText" dxfId="10622" priority="10638" operator="containsText" text="Reasignación">
      <formula>NOT(ISERROR(SEARCH("Reasignación",K720)))</formula>
    </cfRule>
    <cfRule type="containsText" dxfId="10621" priority="10639" operator="containsText" text="RECHAZADA">
      <formula>NOT(ISERROR(SEARCH("RECHAZADA",K720)))</formula>
    </cfRule>
    <cfRule type="containsText" dxfId="10620" priority="10640" operator="containsText" text="Atendida">
      <formula>NOT(ISERROR(SEARCH("Atendida",K720)))</formula>
    </cfRule>
  </conditionalFormatting>
  <conditionalFormatting sqref="K721">
    <cfRule type="containsText" dxfId="10619" priority="10626" operator="containsText" text="Reasignación">
      <formula>NOT(ISERROR(SEARCH("Reasignación",K721)))</formula>
    </cfRule>
    <cfRule type="containsText" dxfId="10618" priority="10627" operator="containsText" text="RECHAZADA">
      <formula>NOT(ISERROR(SEARCH("RECHAZADA",K721)))</formula>
    </cfRule>
    <cfRule type="containsText" dxfId="10617" priority="10628" operator="containsText" text="Atendida">
      <formula>NOT(ISERROR(SEARCH("Atendida",K721)))</formula>
    </cfRule>
  </conditionalFormatting>
  <conditionalFormatting sqref="K721">
    <cfRule type="containsText" dxfId="10616" priority="10614" operator="containsText" text="Reasignación">
      <formula>NOT(ISERROR(SEARCH("Reasignación",K721)))</formula>
    </cfRule>
    <cfRule type="containsText" dxfId="10615" priority="10615" operator="containsText" text="RECHAZADA">
      <formula>NOT(ISERROR(SEARCH("RECHAZADA",K721)))</formula>
    </cfRule>
    <cfRule type="containsText" dxfId="10614" priority="10616" operator="containsText" text="Atendida">
      <formula>NOT(ISERROR(SEARCH("Atendida",K721)))</formula>
    </cfRule>
    <cfRule type="containsText" dxfId="10613" priority="10617" operator="containsText" text="Reasignación">
      <formula>NOT(ISERROR(SEARCH("Reasignación",K721)))</formula>
    </cfRule>
    <cfRule type="containsText" dxfId="10612" priority="10618" operator="containsText" text="RECHAZADA">
      <formula>NOT(ISERROR(SEARCH("RECHAZADA",K721)))</formula>
    </cfRule>
    <cfRule type="containsText" dxfId="10611" priority="10619" operator="containsText" text="Atendida">
      <formula>NOT(ISERROR(SEARCH("Atendida",K721)))</formula>
    </cfRule>
    <cfRule type="containsText" dxfId="10610" priority="10620" operator="containsText" text="Reasignación">
      <formula>NOT(ISERROR(SEARCH("Reasignación",K721)))</formula>
    </cfRule>
    <cfRule type="containsText" dxfId="10609" priority="10621" operator="containsText" text="RECHAZADA">
      <formula>NOT(ISERROR(SEARCH("RECHAZADA",K721)))</formula>
    </cfRule>
    <cfRule type="containsText" dxfId="10608" priority="10622" operator="containsText" text="Atendida">
      <formula>NOT(ISERROR(SEARCH("Atendida",K721)))</formula>
    </cfRule>
    <cfRule type="containsText" dxfId="10607" priority="10623" operator="containsText" text="Reasignación">
      <formula>NOT(ISERROR(SEARCH("Reasignación",K721)))</formula>
    </cfRule>
    <cfRule type="containsText" dxfId="10606" priority="10624" operator="containsText" text="RECHAZADA">
      <formula>NOT(ISERROR(SEARCH("RECHAZADA",K721)))</formula>
    </cfRule>
    <cfRule type="containsText" dxfId="10605" priority="10625" operator="containsText" text="Atendida">
      <formula>NOT(ISERROR(SEARCH("Atendida",K721)))</formula>
    </cfRule>
  </conditionalFormatting>
  <conditionalFormatting sqref="K722">
    <cfRule type="containsText" dxfId="10604" priority="10599" operator="containsText" text="Reasignación">
      <formula>NOT(ISERROR(SEARCH("Reasignación",K722)))</formula>
    </cfRule>
    <cfRule type="containsText" dxfId="10603" priority="10600" operator="containsText" text="RECHAZADA">
      <formula>NOT(ISERROR(SEARCH("RECHAZADA",K722)))</formula>
    </cfRule>
    <cfRule type="containsText" dxfId="10602" priority="10601" operator="containsText" text="Atendida">
      <formula>NOT(ISERROR(SEARCH("Atendida",K722)))</formula>
    </cfRule>
    <cfRule type="containsText" dxfId="10601" priority="10602" operator="containsText" text="Reasignación">
      <formula>NOT(ISERROR(SEARCH("Reasignación",K722)))</formula>
    </cfRule>
    <cfRule type="containsText" dxfId="10600" priority="10603" operator="containsText" text="RECHAZADA">
      <formula>NOT(ISERROR(SEARCH("RECHAZADA",K722)))</formula>
    </cfRule>
    <cfRule type="containsText" dxfId="10599" priority="10604" operator="containsText" text="Atendida">
      <formula>NOT(ISERROR(SEARCH("Atendida",K722)))</formula>
    </cfRule>
    <cfRule type="containsText" dxfId="10598" priority="10605" operator="containsText" text="Reasignación">
      <formula>NOT(ISERROR(SEARCH("Reasignación",K722)))</formula>
    </cfRule>
    <cfRule type="containsText" dxfId="10597" priority="10606" operator="containsText" text="RECHAZADA">
      <formula>NOT(ISERROR(SEARCH("RECHAZADA",K722)))</formula>
    </cfRule>
    <cfRule type="containsText" dxfId="10596" priority="10607" operator="containsText" text="Atendida">
      <formula>NOT(ISERROR(SEARCH("Atendida",K722)))</formula>
    </cfRule>
    <cfRule type="containsText" dxfId="10595" priority="10608" operator="containsText" text="Reasignación">
      <formula>NOT(ISERROR(SEARCH("Reasignación",K722)))</formula>
    </cfRule>
    <cfRule type="containsText" dxfId="10594" priority="10609" operator="containsText" text="RECHAZADA">
      <formula>NOT(ISERROR(SEARCH("RECHAZADA",K722)))</formula>
    </cfRule>
    <cfRule type="containsText" dxfId="10593" priority="10610" operator="containsText" text="Atendida">
      <formula>NOT(ISERROR(SEARCH("Atendida",K722)))</formula>
    </cfRule>
    <cfRule type="containsText" dxfId="10592" priority="10611" operator="containsText" text="Reasignación">
      <formula>NOT(ISERROR(SEARCH("Reasignación",K722)))</formula>
    </cfRule>
    <cfRule type="containsText" dxfId="10591" priority="10612" operator="containsText" text="RECHAZADA">
      <formula>NOT(ISERROR(SEARCH("RECHAZADA",K722)))</formula>
    </cfRule>
    <cfRule type="containsText" dxfId="10590" priority="10613" operator="containsText" text="Atendida">
      <formula>NOT(ISERROR(SEARCH("Atendida",K722)))</formula>
    </cfRule>
  </conditionalFormatting>
  <conditionalFormatting sqref="B727:B730 B723:B725">
    <cfRule type="duplicateValues" dxfId="10589" priority="10598"/>
  </conditionalFormatting>
  <conditionalFormatting sqref="K723">
    <cfRule type="containsText" dxfId="10588" priority="10586" operator="containsText" text="Reasignación">
      <formula>NOT(ISERROR(SEARCH("Reasignación",K723)))</formula>
    </cfRule>
    <cfRule type="containsText" dxfId="10587" priority="10587" operator="containsText" text="RECHAZADA">
      <formula>NOT(ISERROR(SEARCH("RECHAZADA",K723)))</formula>
    </cfRule>
    <cfRule type="containsText" dxfId="10586" priority="10588" operator="containsText" text="Atendida">
      <formula>NOT(ISERROR(SEARCH("Atendida",K723)))</formula>
    </cfRule>
    <cfRule type="containsText" dxfId="10585" priority="10589" operator="containsText" text="Reasignación">
      <formula>NOT(ISERROR(SEARCH("Reasignación",K723)))</formula>
    </cfRule>
    <cfRule type="containsText" dxfId="10584" priority="10590" operator="containsText" text="RECHAZADA">
      <formula>NOT(ISERROR(SEARCH("RECHAZADA",K723)))</formula>
    </cfRule>
    <cfRule type="containsText" dxfId="10583" priority="10591" operator="containsText" text="Atendida">
      <formula>NOT(ISERROR(SEARCH("Atendida",K723)))</formula>
    </cfRule>
    <cfRule type="containsText" dxfId="10582" priority="10592" operator="containsText" text="Reasignación">
      <formula>NOT(ISERROR(SEARCH("Reasignación",K723)))</formula>
    </cfRule>
    <cfRule type="containsText" dxfId="10581" priority="10593" operator="containsText" text="RECHAZADA">
      <formula>NOT(ISERROR(SEARCH("RECHAZADA",K723)))</formula>
    </cfRule>
    <cfRule type="containsText" dxfId="10580" priority="10594" operator="containsText" text="Atendida">
      <formula>NOT(ISERROR(SEARCH("Atendida",K723)))</formula>
    </cfRule>
    <cfRule type="containsText" dxfId="10579" priority="10595" operator="containsText" text="Reasignación">
      <formula>NOT(ISERROR(SEARCH("Reasignación",K723)))</formula>
    </cfRule>
    <cfRule type="containsText" dxfId="10578" priority="10596" operator="containsText" text="RECHAZADA">
      <formula>NOT(ISERROR(SEARCH("RECHAZADA",K723)))</formula>
    </cfRule>
    <cfRule type="containsText" dxfId="10577" priority="10597" operator="containsText" text="Atendida">
      <formula>NOT(ISERROR(SEARCH("Atendida",K723)))</formula>
    </cfRule>
  </conditionalFormatting>
  <conditionalFormatting sqref="K723">
    <cfRule type="containsText" dxfId="10576" priority="10583" operator="containsText" text="Reasignación">
      <formula>NOT(ISERROR(SEARCH("Reasignación",K723)))</formula>
    </cfRule>
    <cfRule type="containsText" dxfId="10575" priority="10584" operator="containsText" text="RECHAZADA">
      <formula>NOT(ISERROR(SEARCH("RECHAZADA",K723)))</formula>
    </cfRule>
    <cfRule type="containsText" dxfId="10574" priority="10585" operator="containsText" text="Atendida">
      <formula>NOT(ISERROR(SEARCH("Atendida",K723)))</formula>
    </cfRule>
  </conditionalFormatting>
  <conditionalFormatting sqref="K724">
    <cfRule type="containsText" dxfId="10573" priority="10553" operator="containsText" text="Reasignación">
      <formula>NOT(ISERROR(SEARCH("Reasignación",K724)))</formula>
    </cfRule>
    <cfRule type="containsText" dxfId="10572" priority="10554" operator="containsText" text="RECHAZADA">
      <formula>NOT(ISERROR(SEARCH("RECHAZADA",K724)))</formula>
    </cfRule>
    <cfRule type="containsText" dxfId="10571" priority="10555" operator="containsText" text="Atendida">
      <formula>NOT(ISERROR(SEARCH("Atendida",K724)))</formula>
    </cfRule>
    <cfRule type="containsText" dxfId="10570" priority="10556" operator="containsText" text="Reasignación">
      <formula>NOT(ISERROR(SEARCH("Reasignación",K724)))</formula>
    </cfRule>
    <cfRule type="containsText" dxfId="10569" priority="10557" operator="containsText" text="RECHAZADA">
      <formula>NOT(ISERROR(SEARCH("RECHAZADA",K724)))</formula>
    </cfRule>
    <cfRule type="containsText" dxfId="10568" priority="10558" operator="containsText" text="Atendida">
      <formula>NOT(ISERROR(SEARCH("Atendida",K724)))</formula>
    </cfRule>
    <cfRule type="containsText" dxfId="10567" priority="10559" operator="containsText" text="Reasignación">
      <formula>NOT(ISERROR(SEARCH("Reasignación",K724)))</formula>
    </cfRule>
    <cfRule type="containsText" dxfId="10566" priority="10560" operator="containsText" text="RECHAZADA">
      <formula>NOT(ISERROR(SEARCH("RECHAZADA",K724)))</formula>
    </cfRule>
    <cfRule type="containsText" dxfId="10565" priority="10561" operator="containsText" text="Atendida">
      <formula>NOT(ISERROR(SEARCH("Atendida",K724)))</formula>
    </cfRule>
    <cfRule type="containsText" dxfId="10564" priority="10562" operator="containsText" text="Reasignación">
      <formula>NOT(ISERROR(SEARCH("Reasignación",K724)))</formula>
    </cfRule>
    <cfRule type="containsText" dxfId="10563" priority="10563" operator="containsText" text="RECHAZADA">
      <formula>NOT(ISERROR(SEARCH("RECHAZADA",K724)))</formula>
    </cfRule>
    <cfRule type="containsText" dxfId="10562" priority="10564" operator="containsText" text="Atendida">
      <formula>NOT(ISERROR(SEARCH("Atendida",K724)))</formula>
    </cfRule>
    <cfRule type="containsText" dxfId="10561" priority="10565" operator="containsText" text="Reasignación">
      <formula>NOT(ISERROR(SEARCH("Reasignación",K724)))</formula>
    </cfRule>
    <cfRule type="containsText" dxfId="10560" priority="10566" operator="containsText" text="RECHAZADA">
      <formula>NOT(ISERROR(SEARCH("RECHAZADA",K724)))</formula>
    </cfRule>
    <cfRule type="containsText" dxfId="10559" priority="10567" operator="containsText" text="Atendida">
      <formula>NOT(ISERROR(SEARCH("Atendida",K724)))</formula>
    </cfRule>
  </conditionalFormatting>
  <conditionalFormatting sqref="K725">
    <cfRule type="containsText" dxfId="10558" priority="10571" operator="containsText" text="Reasignación">
      <formula>NOT(ISERROR(SEARCH("Reasignación",K725)))</formula>
    </cfRule>
    <cfRule type="containsText" dxfId="10557" priority="10572" operator="containsText" text="RECHAZADA">
      <formula>NOT(ISERROR(SEARCH("RECHAZADA",K725)))</formula>
    </cfRule>
    <cfRule type="containsText" dxfId="10556" priority="10573" operator="containsText" text="Atendida">
      <formula>NOT(ISERROR(SEARCH("Atendida",K725)))</formula>
    </cfRule>
    <cfRule type="containsText" dxfId="10555" priority="10574" operator="containsText" text="Reasignación">
      <formula>NOT(ISERROR(SEARCH("Reasignación",K725)))</formula>
    </cfRule>
    <cfRule type="containsText" dxfId="10554" priority="10575" operator="containsText" text="RECHAZADA">
      <formula>NOT(ISERROR(SEARCH("RECHAZADA",K725)))</formula>
    </cfRule>
    <cfRule type="containsText" dxfId="10553" priority="10576" operator="containsText" text="Atendida">
      <formula>NOT(ISERROR(SEARCH("Atendida",K725)))</formula>
    </cfRule>
    <cfRule type="containsText" dxfId="10552" priority="10577" operator="containsText" text="Reasignación">
      <formula>NOT(ISERROR(SEARCH("Reasignación",K725)))</formula>
    </cfRule>
    <cfRule type="containsText" dxfId="10551" priority="10578" operator="containsText" text="RECHAZADA">
      <formula>NOT(ISERROR(SEARCH("RECHAZADA",K725)))</formula>
    </cfRule>
    <cfRule type="containsText" dxfId="10550" priority="10579" operator="containsText" text="Atendida">
      <formula>NOT(ISERROR(SEARCH("Atendida",K725)))</formula>
    </cfRule>
    <cfRule type="containsText" dxfId="10549" priority="10580" operator="containsText" text="Reasignación">
      <formula>NOT(ISERROR(SEARCH("Reasignación",K725)))</formula>
    </cfRule>
    <cfRule type="containsText" dxfId="10548" priority="10581" operator="containsText" text="RECHAZADA">
      <formula>NOT(ISERROR(SEARCH("RECHAZADA",K725)))</formula>
    </cfRule>
    <cfRule type="containsText" dxfId="10547" priority="10582" operator="containsText" text="Atendida">
      <formula>NOT(ISERROR(SEARCH("Atendida",K725)))</formula>
    </cfRule>
  </conditionalFormatting>
  <conditionalFormatting sqref="K725">
    <cfRule type="containsText" dxfId="10546" priority="10568" operator="containsText" text="Reasignación">
      <formula>NOT(ISERROR(SEARCH("Reasignación",K725)))</formula>
    </cfRule>
    <cfRule type="containsText" dxfId="10545" priority="10569" operator="containsText" text="RECHAZADA">
      <formula>NOT(ISERROR(SEARCH("RECHAZADA",K725)))</formula>
    </cfRule>
    <cfRule type="containsText" dxfId="10544" priority="10570" operator="containsText" text="Atendida">
      <formula>NOT(ISERROR(SEARCH("Atendida",K725)))</formula>
    </cfRule>
  </conditionalFormatting>
  <conditionalFormatting sqref="B726">
    <cfRule type="duplicateValues" dxfId="10543" priority="10552"/>
  </conditionalFormatting>
  <conditionalFormatting sqref="K726">
    <cfRule type="containsText" dxfId="10542" priority="10548" operator="containsText" text="Reasignación">
      <formula>NOT(ISERROR(SEARCH("Reasignación",K726)))</formula>
    </cfRule>
    <cfRule type="containsText" dxfId="10541" priority="10549" operator="containsText" text="RECHAZADA">
      <formula>NOT(ISERROR(SEARCH("RECHAZADA",K726)))</formula>
    </cfRule>
    <cfRule type="containsText" dxfId="10540" priority="10550" operator="containsText" text="Atendida">
      <formula>NOT(ISERROR(SEARCH("Atendida",K726)))</formula>
    </cfRule>
  </conditionalFormatting>
  <conditionalFormatting sqref="K726">
    <cfRule type="containsText" dxfId="10539" priority="10536" operator="containsText" text="Reasignación">
      <formula>NOT(ISERROR(SEARCH("Reasignación",K726)))</formula>
    </cfRule>
    <cfRule type="containsText" dxfId="10538" priority="10537" operator="containsText" text="RECHAZADA">
      <formula>NOT(ISERROR(SEARCH("RECHAZADA",K726)))</formula>
    </cfRule>
    <cfRule type="containsText" dxfId="10537" priority="10538" operator="containsText" text="Atendida">
      <formula>NOT(ISERROR(SEARCH("Atendida",K726)))</formula>
    </cfRule>
    <cfRule type="containsText" dxfId="10536" priority="10539" operator="containsText" text="Reasignación">
      <formula>NOT(ISERROR(SEARCH("Reasignación",K726)))</formula>
    </cfRule>
    <cfRule type="containsText" dxfId="10535" priority="10540" operator="containsText" text="RECHAZADA">
      <formula>NOT(ISERROR(SEARCH("RECHAZADA",K726)))</formula>
    </cfRule>
    <cfRule type="containsText" dxfId="10534" priority="10541" operator="containsText" text="Atendida">
      <formula>NOT(ISERROR(SEARCH("Atendida",K726)))</formula>
    </cfRule>
    <cfRule type="containsText" dxfId="10533" priority="10542" operator="containsText" text="Reasignación">
      <formula>NOT(ISERROR(SEARCH("Reasignación",K726)))</formula>
    </cfRule>
    <cfRule type="containsText" dxfId="10532" priority="10543" operator="containsText" text="RECHAZADA">
      <formula>NOT(ISERROR(SEARCH("RECHAZADA",K726)))</formula>
    </cfRule>
    <cfRule type="containsText" dxfId="10531" priority="10544" operator="containsText" text="Atendida">
      <formula>NOT(ISERROR(SEARCH("Atendida",K726)))</formula>
    </cfRule>
    <cfRule type="containsText" dxfId="10530" priority="10545" operator="containsText" text="Reasignación">
      <formula>NOT(ISERROR(SEARCH("Reasignación",K726)))</formula>
    </cfRule>
    <cfRule type="containsText" dxfId="10529" priority="10546" operator="containsText" text="RECHAZADA">
      <formula>NOT(ISERROR(SEARCH("RECHAZADA",K726)))</formula>
    </cfRule>
    <cfRule type="containsText" dxfId="10528" priority="10547" operator="containsText" text="Atendida">
      <formula>NOT(ISERROR(SEARCH("Atendida",K726)))</formula>
    </cfRule>
  </conditionalFormatting>
  <conditionalFormatting sqref="M726">
    <cfRule type="containsText" dxfId="10527" priority="10551" operator="containsText" text="Atendida">
      <formula>NOT(ISERROR(SEARCH("Atendida",M726)))</formula>
    </cfRule>
  </conditionalFormatting>
  <conditionalFormatting sqref="K727">
    <cfRule type="containsText" dxfId="10526" priority="10521" operator="containsText" text="Reasignación">
      <formula>NOT(ISERROR(SEARCH("Reasignación",K727)))</formula>
    </cfRule>
    <cfRule type="containsText" dxfId="10525" priority="10522" operator="containsText" text="RECHAZADA">
      <formula>NOT(ISERROR(SEARCH("RECHAZADA",K727)))</formula>
    </cfRule>
    <cfRule type="containsText" dxfId="10524" priority="10523" operator="containsText" text="Atendida">
      <formula>NOT(ISERROR(SEARCH("Atendida",K727)))</formula>
    </cfRule>
    <cfRule type="containsText" dxfId="10523" priority="10524" operator="containsText" text="Reasignación">
      <formula>NOT(ISERROR(SEARCH("Reasignación",K727)))</formula>
    </cfRule>
    <cfRule type="containsText" dxfId="10522" priority="10525" operator="containsText" text="RECHAZADA">
      <formula>NOT(ISERROR(SEARCH("RECHAZADA",K727)))</formula>
    </cfRule>
    <cfRule type="containsText" dxfId="10521" priority="10526" operator="containsText" text="Atendida">
      <formula>NOT(ISERROR(SEARCH("Atendida",K727)))</formula>
    </cfRule>
    <cfRule type="containsText" dxfId="10520" priority="10527" operator="containsText" text="Reasignación">
      <formula>NOT(ISERROR(SEARCH("Reasignación",K727)))</formula>
    </cfRule>
    <cfRule type="containsText" dxfId="10519" priority="10528" operator="containsText" text="RECHAZADA">
      <formula>NOT(ISERROR(SEARCH("RECHAZADA",K727)))</formula>
    </cfRule>
    <cfRule type="containsText" dxfId="10518" priority="10529" operator="containsText" text="Atendida">
      <formula>NOT(ISERROR(SEARCH("Atendida",K727)))</formula>
    </cfRule>
    <cfRule type="containsText" dxfId="10517" priority="10530" operator="containsText" text="Reasignación">
      <formula>NOT(ISERROR(SEARCH("Reasignación",K727)))</formula>
    </cfRule>
    <cfRule type="containsText" dxfId="10516" priority="10531" operator="containsText" text="RECHAZADA">
      <formula>NOT(ISERROR(SEARCH("RECHAZADA",K727)))</formula>
    </cfRule>
    <cfRule type="containsText" dxfId="10515" priority="10532" operator="containsText" text="Atendida">
      <formula>NOT(ISERROR(SEARCH("Atendida",K727)))</formula>
    </cfRule>
  </conditionalFormatting>
  <conditionalFormatting sqref="K727">
    <cfRule type="containsText" dxfId="10514" priority="10533" operator="containsText" text="Reasignación">
      <formula>NOT(ISERROR(SEARCH("Reasignación",K727)))</formula>
    </cfRule>
    <cfRule type="containsText" dxfId="10513" priority="10534" operator="containsText" text="RECHAZADA">
      <formula>NOT(ISERROR(SEARCH("RECHAZADA",K727)))</formula>
    </cfRule>
    <cfRule type="containsText" dxfId="10512" priority="10535" operator="containsText" text="Atendida">
      <formula>NOT(ISERROR(SEARCH("Atendida",K727)))</formula>
    </cfRule>
  </conditionalFormatting>
  <conditionalFormatting sqref="K728">
    <cfRule type="containsText" dxfId="10511" priority="10506" operator="containsText" text="Reasignación">
      <formula>NOT(ISERROR(SEARCH("Reasignación",K728)))</formula>
    </cfRule>
    <cfRule type="containsText" dxfId="10510" priority="10507" operator="containsText" text="RECHAZADA">
      <formula>NOT(ISERROR(SEARCH("RECHAZADA",K728)))</formula>
    </cfRule>
    <cfRule type="containsText" dxfId="10509" priority="10508" operator="containsText" text="Atendida">
      <formula>NOT(ISERROR(SEARCH("Atendida",K728)))</formula>
    </cfRule>
    <cfRule type="containsText" dxfId="10508" priority="10509" operator="containsText" text="Reasignación">
      <formula>NOT(ISERROR(SEARCH("Reasignación",K728)))</formula>
    </cfRule>
    <cfRule type="containsText" dxfId="10507" priority="10510" operator="containsText" text="RECHAZADA">
      <formula>NOT(ISERROR(SEARCH("RECHAZADA",K728)))</formula>
    </cfRule>
    <cfRule type="containsText" dxfId="10506" priority="10511" operator="containsText" text="Atendida">
      <formula>NOT(ISERROR(SEARCH("Atendida",K728)))</formula>
    </cfRule>
    <cfRule type="containsText" dxfId="10505" priority="10512" operator="containsText" text="Reasignación">
      <formula>NOT(ISERROR(SEARCH("Reasignación",K728)))</formula>
    </cfRule>
    <cfRule type="containsText" dxfId="10504" priority="10513" operator="containsText" text="RECHAZADA">
      <formula>NOT(ISERROR(SEARCH("RECHAZADA",K728)))</formula>
    </cfRule>
    <cfRule type="containsText" dxfId="10503" priority="10514" operator="containsText" text="Atendida">
      <formula>NOT(ISERROR(SEARCH("Atendida",K728)))</formula>
    </cfRule>
    <cfRule type="containsText" dxfId="10502" priority="10515" operator="containsText" text="Reasignación">
      <formula>NOT(ISERROR(SEARCH("Reasignación",K728)))</formula>
    </cfRule>
    <cfRule type="containsText" dxfId="10501" priority="10516" operator="containsText" text="RECHAZADA">
      <formula>NOT(ISERROR(SEARCH("RECHAZADA",K728)))</formula>
    </cfRule>
    <cfRule type="containsText" dxfId="10500" priority="10517" operator="containsText" text="Atendida">
      <formula>NOT(ISERROR(SEARCH("Atendida",K728)))</formula>
    </cfRule>
  </conditionalFormatting>
  <conditionalFormatting sqref="K728">
    <cfRule type="containsText" dxfId="10499" priority="10518" operator="containsText" text="Reasignación">
      <formula>NOT(ISERROR(SEARCH("Reasignación",K728)))</formula>
    </cfRule>
    <cfRule type="containsText" dxfId="10498" priority="10519" operator="containsText" text="RECHAZADA">
      <formula>NOT(ISERROR(SEARCH("RECHAZADA",K728)))</formula>
    </cfRule>
    <cfRule type="containsText" dxfId="10497" priority="10520" operator="containsText" text="Atendida">
      <formula>NOT(ISERROR(SEARCH("Atendida",K728)))</formula>
    </cfRule>
  </conditionalFormatting>
  <conditionalFormatting sqref="K729">
    <cfRule type="containsText" dxfId="10496" priority="10491" operator="containsText" text="Reasignación">
      <formula>NOT(ISERROR(SEARCH("Reasignación",K729)))</formula>
    </cfRule>
    <cfRule type="containsText" dxfId="10495" priority="10492" operator="containsText" text="RECHAZADA">
      <formula>NOT(ISERROR(SEARCH("RECHAZADA",K729)))</formula>
    </cfRule>
    <cfRule type="containsText" dxfId="10494" priority="10493" operator="containsText" text="Atendida">
      <formula>NOT(ISERROR(SEARCH("Atendida",K729)))</formula>
    </cfRule>
  </conditionalFormatting>
  <conditionalFormatting sqref="K729">
    <cfRule type="containsText" dxfId="10493" priority="10494" operator="containsText" text="Reasignación">
      <formula>NOT(ISERROR(SEARCH("Reasignación",K729)))</formula>
    </cfRule>
    <cfRule type="containsText" dxfId="10492" priority="10495" operator="containsText" text="RECHAZADA">
      <formula>NOT(ISERROR(SEARCH("RECHAZADA",K729)))</formula>
    </cfRule>
    <cfRule type="containsText" dxfId="10491" priority="10496" operator="containsText" text="Atendida">
      <formula>NOT(ISERROR(SEARCH("Atendida",K729)))</formula>
    </cfRule>
    <cfRule type="containsText" dxfId="10490" priority="10497" operator="containsText" text="Reasignación">
      <formula>NOT(ISERROR(SEARCH("Reasignación",K729)))</formula>
    </cfRule>
    <cfRule type="containsText" dxfId="10489" priority="10498" operator="containsText" text="RECHAZADA">
      <formula>NOT(ISERROR(SEARCH("RECHAZADA",K729)))</formula>
    </cfRule>
    <cfRule type="containsText" dxfId="10488" priority="10499" operator="containsText" text="Atendida">
      <formula>NOT(ISERROR(SEARCH("Atendida",K729)))</formula>
    </cfRule>
    <cfRule type="containsText" dxfId="10487" priority="10500" operator="containsText" text="Reasignación">
      <formula>NOT(ISERROR(SEARCH("Reasignación",K729)))</formula>
    </cfRule>
    <cfRule type="containsText" dxfId="10486" priority="10501" operator="containsText" text="RECHAZADA">
      <formula>NOT(ISERROR(SEARCH("RECHAZADA",K729)))</formula>
    </cfRule>
    <cfRule type="containsText" dxfId="10485" priority="10502" operator="containsText" text="Atendida">
      <formula>NOT(ISERROR(SEARCH("Atendida",K729)))</formula>
    </cfRule>
    <cfRule type="containsText" dxfId="10484" priority="10503" operator="containsText" text="Reasignación">
      <formula>NOT(ISERROR(SEARCH("Reasignación",K729)))</formula>
    </cfRule>
    <cfRule type="containsText" dxfId="10483" priority="10504" operator="containsText" text="RECHAZADA">
      <formula>NOT(ISERROR(SEARCH("RECHAZADA",K729)))</formula>
    </cfRule>
    <cfRule type="containsText" dxfId="10482" priority="10505" operator="containsText" text="Atendida">
      <formula>NOT(ISERROR(SEARCH("Atendida",K729)))</formula>
    </cfRule>
  </conditionalFormatting>
  <conditionalFormatting sqref="K730">
    <cfRule type="containsText" dxfId="10481" priority="10476" operator="containsText" text="Reasignación">
      <formula>NOT(ISERROR(SEARCH("Reasignación",K730)))</formula>
    </cfRule>
    <cfRule type="containsText" dxfId="10480" priority="10477" operator="containsText" text="RECHAZADA">
      <formula>NOT(ISERROR(SEARCH("RECHAZADA",K730)))</formula>
    </cfRule>
    <cfRule type="containsText" dxfId="10479" priority="10478" operator="containsText" text="Atendida">
      <formula>NOT(ISERROR(SEARCH("Atendida",K730)))</formula>
    </cfRule>
  </conditionalFormatting>
  <conditionalFormatting sqref="K730">
    <cfRule type="containsText" dxfId="10478" priority="10479" operator="containsText" text="Reasignación">
      <formula>NOT(ISERROR(SEARCH("Reasignación",K730)))</formula>
    </cfRule>
    <cfRule type="containsText" dxfId="10477" priority="10480" operator="containsText" text="RECHAZADA">
      <formula>NOT(ISERROR(SEARCH("RECHAZADA",K730)))</formula>
    </cfRule>
    <cfRule type="containsText" dxfId="10476" priority="10481" operator="containsText" text="Atendida">
      <formula>NOT(ISERROR(SEARCH("Atendida",K730)))</formula>
    </cfRule>
    <cfRule type="containsText" dxfId="10475" priority="10482" operator="containsText" text="Reasignación">
      <formula>NOT(ISERROR(SEARCH("Reasignación",K730)))</formula>
    </cfRule>
    <cfRule type="containsText" dxfId="10474" priority="10483" operator="containsText" text="RECHAZADA">
      <formula>NOT(ISERROR(SEARCH("RECHAZADA",K730)))</formula>
    </cfRule>
    <cfRule type="containsText" dxfId="10473" priority="10484" operator="containsText" text="Atendida">
      <formula>NOT(ISERROR(SEARCH("Atendida",K730)))</formula>
    </cfRule>
    <cfRule type="containsText" dxfId="10472" priority="10485" operator="containsText" text="Reasignación">
      <formula>NOT(ISERROR(SEARCH("Reasignación",K730)))</formula>
    </cfRule>
    <cfRule type="containsText" dxfId="10471" priority="10486" operator="containsText" text="RECHAZADA">
      <formula>NOT(ISERROR(SEARCH("RECHAZADA",K730)))</formula>
    </cfRule>
    <cfRule type="containsText" dxfId="10470" priority="10487" operator="containsText" text="Atendida">
      <formula>NOT(ISERROR(SEARCH("Atendida",K730)))</formula>
    </cfRule>
    <cfRule type="containsText" dxfId="10469" priority="10488" operator="containsText" text="Reasignación">
      <formula>NOT(ISERROR(SEARCH("Reasignación",K730)))</formula>
    </cfRule>
    <cfRule type="containsText" dxfId="10468" priority="10489" operator="containsText" text="RECHAZADA">
      <formula>NOT(ISERROR(SEARCH("RECHAZADA",K730)))</formula>
    </cfRule>
    <cfRule type="containsText" dxfId="10467" priority="10490" operator="containsText" text="Atendida">
      <formula>NOT(ISERROR(SEARCH("Atendida",K730)))</formula>
    </cfRule>
  </conditionalFormatting>
  <conditionalFormatting sqref="B731">
    <cfRule type="duplicateValues" dxfId="10466" priority="10472"/>
  </conditionalFormatting>
  <conditionalFormatting sqref="M738:M742 M731:M736">
    <cfRule type="containsText" dxfId="10465" priority="10475" operator="containsText" text="RECHAZADA">
      <formula>NOT(ISERROR(SEARCH("RECHAZADA",M731)))</formula>
    </cfRule>
  </conditionalFormatting>
  <conditionalFormatting sqref="M738:M742 M731:M736">
    <cfRule type="containsText" dxfId="10464" priority="10473" operator="containsText" text="OBSERVADO">
      <formula>NOT(ISERROR(SEARCH("OBSERVADO",M731)))</formula>
    </cfRule>
    <cfRule type="containsText" dxfId="10463" priority="10474" operator="containsText" text="CONFORME">
      <formula>NOT(ISERROR(SEARCH("CONFORME",M731)))</formula>
    </cfRule>
  </conditionalFormatting>
  <conditionalFormatting sqref="M731">
    <cfRule type="containsText" dxfId="10462" priority="10471" operator="containsText" text="Atendida">
      <formula>NOT(ISERROR(SEARCH("Atendida",M731)))</formula>
    </cfRule>
  </conditionalFormatting>
  <conditionalFormatting sqref="K731">
    <cfRule type="containsText" dxfId="10461" priority="10468" operator="containsText" text="Reasignación">
      <formula>NOT(ISERROR(SEARCH("Reasignación",K731)))</formula>
    </cfRule>
    <cfRule type="containsText" dxfId="10460" priority="10469" operator="containsText" text="RECHAZADA">
      <formula>NOT(ISERROR(SEARCH("RECHAZADA",K731)))</formula>
    </cfRule>
    <cfRule type="containsText" dxfId="10459" priority="10470" operator="containsText" text="Atendida">
      <formula>NOT(ISERROR(SEARCH("Atendida",K731)))</formula>
    </cfRule>
  </conditionalFormatting>
  <conditionalFormatting sqref="K731">
    <cfRule type="containsText" dxfId="10458" priority="10456" operator="containsText" text="Reasignación">
      <formula>NOT(ISERROR(SEARCH("Reasignación",K731)))</formula>
    </cfRule>
    <cfRule type="containsText" dxfId="10457" priority="10457" operator="containsText" text="RECHAZADA">
      <formula>NOT(ISERROR(SEARCH("RECHAZADA",K731)))</formula>
    </cfRule>
    <cfRule type="containsText" dxfId="10456" priority="10458" operator="containsText" text="Atendida">
      <formula>NOT(ISERROR(SEARCH("Atendida",K731)))</formula>
    </cfRule>
    <cfRule type="containsText" dxfId="10455" priority="10459" operator="containsText" text="Reasignación">
      <formula>NOT(ISERROR(SEARCH("Reasignación",K731)))</formula>
    </cfRule>
    <cfRule type="containsText" dxfId="10454" priority="10460" operator="containsText" text="RECHAZADA">
      <formula>NOT(ISERROR(SEARCH("RECHAZADA",K731)))</formula>
    </cfRule>
    <cfRule type="containsText" dxfId="10453" priority="10461" operator="containsText" text="Atendida">
      <formula>NOT(ISERROR(SEARCH("Atendida",K731)))</formula>
    </cfRule>
    <cfRule type="containsText" dxfId="10452" priority="10462" operator="containsText" text="Reasignación">
      <formula>NOT(ISERROR(SEARCH("Reasignación",K731)))</formula>
    </cfRule>
    <cfRule type="containsText" dxfId="10451" priority="10463" operator="containsText" text="RECHAZADA">
      <formula>NOT(ISERROR(SEARCH("RECHAZADA",K731)))</formula>
    </cfRule>
    <cfRule type="containsText" dxfId="10450" priority="10464" operator="containsText" text="Atendida">
      <formula>NOT(ISERROR(SEARCH("Atendida",K731)))</formula>
    </cfRule>
    <cfRule type="containsText" dxfId="10449" priority="10465" operator="containsText" text="Reasignación">
      <formula>NOT(ISERROR(SEARCH("Reasignación",K731)))</formula>
    </cfRule>
    <cfRule type="containsText" dxfId="10448" priority="10466" operator="containsText" text="RECHAZADA">
      <formula>NOT(ISERROR(SEARCH("RECHAZADA",K731)))</formula>
    </cfRule>
    <cfRule type="containsText" dxfId="10447" priority="10467" operator="containsText" text="Atendida">
      <formula>NOT(ISERROR(SEARCH("Atendida",K731)))</formula>
    </cfRule>
  </conditionalFormatting>
  <conditionalFormatting sqref="K732">
    <cfRule type="containsText" dxfId="10446" priority="10439" operator="containsText" text="Reasignación">
      <formula>NOT(ISERROR(SEARCH("Reasignación",K732)))</formula>
    </cfRule>
    <cfRule type="containsText" dxfId="10445" priority="10440" operator="containsText" text="RECHAZADA">
      <formula>NOT(ISERROR(SEARCH("RECHAZADA",K732)))</formula>
    </cfRule>
    <cfRule type="containsText" dxfId="10444" priority="10441" operator="containsText" text="Atendida">
      <formula>NOT(ISERROR(SEARCH("Atendida",K732)))</formula>
    </cfRule>
  </conditionalFormatting>
  <conditionalFormatting sqref="K732">
    <cfRule type="containsText" dxfId="10443" priority="10442" operator="containsText" text="Reasignación">
      <formula>NOT(ISERROR(SEARCH("Reasignación",K732)))</formula>
    </cfRule>
    <cfRule type="containsText" dxfId="10442" priority="10443" operator="containsText" text="RECHAZADA">
      <formula>NOT(ISERROR(SEARCH("RECHAZADA",K732)))</formula>
    </cfRule>
    <cfRule type="containsText" dxfId="10441" priority="10444" operator="containsText" text="Atendida">
      <formula>NOT(ISERROR(SEARCH("Atendida",K732)))</formula>
    </cfRule>
    <cfRule type="containsText" dxfId="10440" priority="10445" operator="containsText" text="Reasignación">
      <formula>NOT(ISERROR(SEARCH("Reasignación",K732)))</formula>
    </cfRule>
    <cfRule type="containsText" dxfId="10439" priority="10446" operator="containsText" text="RECHAZADA">
      <formula>NOT(ISERROR(SEARCH("RECHAZADA",K732)))</formula>
    </cfRule>
    <cfRule type="containsText" dxfId="10438" priority="10447" operator="containsText" text="Atendida">
      <formula>NOT(ISERROR(SEARCH("Atendida",K732)))</formula>
    </cfRule>
    <cfRule type="containsText" dxfId="10437" priority="10448" operator="containsText" text="Reasignación">
      <formula>NOT(ISERROR(SEARCH("Reasignación",K732)))</formula>
    </cfRule>
    <cfRule type="containsText" dxfId="10436" priority="10449" operator="containsText" text="RECHAZADA">
      <formula>NOT(ISERROR(SEARCH("RECHAZADA",K732)))</formula>
    </cfRule>
    <cfRule type="containsText" dxfId="10435" priority="10450" operator="containsText" text="Atendida">
      <formula>NOT(ISERROR(SEARCH("Atendida",K732)))</formula>
    </cfRule>
    <cfRule type="containsText" dxfId="10434" priority="10451" operator="containsText" text="Reasignación">
      <formula>NOT(ISERROR(SEARCH("Reasignación",K732)))</formula>
    </cfRule>
    <cfRule type="containsText" dxfId="10433" priority="10452" operator="containsText" text="RECHAZADA">
      <formula>NOT(ISERROR(SEARCH("RECHAZADA",K732)))</formula>
    </cfRule>
    <cfRule type="containsText" dxfId="10432" priority="10453" operator="containsText" text="Atendida">
      <formula>NOT(ISERROR(SEARCH("Atendida",K732)))</formula>
    </cfRule>
  </conditionalFormatting>
  <conditionalFormatting sqref="M738:M742 M732:M736">
    <cfRule type="containsText" dxfId="10431" priority="10454" operator="containsText" text="Atendida">
      <formula>NOT(ISERROR(SEARCH("Atendida",M732)))</formula>
    </cfRule>
  </conditionalFormatting>
  <conditionalFormatting sqref="B738:B740 B732:B736">
    <cfRule type="duplicateValues" dxfId="10430" priority="10455"/>
  </conditionalFormatting>
  <conditionalFormatting sqref="K733">
    <cfRule type="containsText" dxfId="10429" priority="10436" operator="containsText" text="Reasignación">
      <formula>NOT(ISERROR(SEARCH("Reasignación",K733)))</formula>
    </cfRule>
    <cfRule type="containsText" dxfId="10428" priority="10437" operator="containsText" text="RECHAZADA">
      <formula>NOT(ISERROR(SEARCH("RECHAZADA",K733)))</formula>
    </cfRule>
    <cfRule type="containsText" dxfId="10427" priority="10438" operator="containsText" text="Atendida">
      <formula>NOT(ISERROR(SEARCH("Atendida",K733)))</formula>
    </cfRule>
  </conditionalFormatting>
  <conditionalFormatting sqref="K733">
    <cfRule type="containsText" dxfId="10426" priority="10424" operator="containsText" text="Reasignación">
      <formula>NOT(ISERROR(SEARCH("Reasignación",K733)))</formula>
    </cfRule>
    <cfRule type="containsText" dxfId="10425" priority="10425" operator="containsText" text="RECHAZADA">
      <formula>NOT(ISERROR(SEARCH("RECHAZADA",K733)))</formula>
    </cfRule>
    <cfRule type="containsText" dxfId="10424" priority="10426" operator="containsText" text="Atendida">
      <formula>NOT(ISERROR(SEARCH("Atendida",K733)))</formula>
    </cfRule>
    <cfRule type="containsText" dxfId="10423" priority="10427" operator="containsText" text="Reasignación">
      <formula>NOT(ISERROR(SEARCH("Reasignación",K733)))</formula>
    </cfRule>
    <cfRule type="containsText" dxfId="10422" priority="10428" operator="containsText" text="RECHAZADA">
      <formula>NOT(ISERROR(SEARCH("RECHAZADA",K733)))</formula>
    </cfRule>
    <cfRule type="containsText" dxfId="10421" priority="10429" operator="containsText" text="Atendida">
      <formula>NOT(ISERROR(SEARCH("Atendida",K733)))</formula>
    </cfRule>
    <cfRule type="containsText" dxfId="10420" priority="10430" operator="containsText" text="Reasignación">
      <formula>NOT(ISERROR(SEARCH("Reasignación",K733)))</formula>
    </cfRule>
    <cfRule type="containsText" dxfId="10419" priority="10431" operator="containsText" text="RECHAZADA">
      <formula>NOT(ISERROR(SEARCH("RECHAZADA",K733)))</formula>
    </cfRule>
    <cfRule type="containsText" dxfId="10418" priority="10432" operator="containsText" text="Atendida">
      <formula>NOT(ISERROR(SEARCH("Atendida",K733)))</formula>
    </cfRule>
    <cfRule type="containsText" dxfId="10417" priority="10433" operator="containsText" text="Reasignación">
      <formula>NOT(ISERROR(SEARCH("Reasignación",K733)))</formula>
    </cfRule>
    <cfRule type="containsText" dxfId="10416" priority="10434" operator="containsText" text="RECHAZADA">
      <formula>NOT(ISERROR(SEARCH("RECHAZADA",K733)))</formula>
    </cfRule>
    <cfRule type="containsText" dxfId="10415" priority="10435" operator="containsText" text="Atendida">
      <formula>NOT(ISERROR(SEARCH("Atendida",K733)))</formula>
    </cfRule>
  </conditionalFormatting>
  <conditionalFormatting sqref="K734">
    <cfRule type="containsText" dxfId="10414" priority="10421" operator="containsText" text="Reasignación">
      <formula>NOT(ISERROR(SEARCH("Reasignación",K734)))</formula>
    </cfRule>
    <cfRule type="containsText" dxfId="10413" priority="10422" operator="containsText" text="RECHAZADA">
      <formula>NOT(ISERROR(SEARCH("RECHAZADA",K734)))</formula>
    </cfRule>
    <cfRule type="containsText" dxfId="10412" priority="10423" operator="containsText" text="Atendida">
      <formula>NOT(ISERROR(SEARCH("Atendida",K734)))</formula>
    </cfRule>
  </conditionalFormatting>
  <conditionalFormatting sqref="K734">
    <cfRule type="containsText" dxfId="10411" priority="10409" operator="containsText" text="Reasignación">
      <formula>NOT(ISERROR(SEARCH("Reasignación",K734)))</formula>
    </cfRule>
    <cfRule type="containsText" dxfId="10410" priority="10410" operator="containsText" text="RECHAZADA">
      <formula>NOT(ISERROR(SEARCH("RECHAZADA",K734)))</formula>
    </cfRule>
    <cfRule type="containsText" dxfId="10409" priority="10411" operator="containsText" text="Atendida">
      <formula>NOT(ISERROR(SEARCH("Atendida",K734)))</formula>
    </cfRule>
    <cfRule type="containsText" dxfId="10408" priority="10412" operator="containsText" text="Reasignación">
      <formula>NOT(ISERROR(SEARCH("Reasignación",K734)))</formula>
    </cfRule>
    <cfRule type="containsText" dxfId="10407" priority="10413" operator="containsText" text="RECHAZADA">
      <formula>NOT(ISERROR(SEARCH("RECHAZADA",K734)))</formula>
    </cfRule>
    <cfRule type="containsText" dxfId="10406" priority="10414" operator="containsText" text="Atendida">
      <formula>NOT(ISERROR(SEARCH("Atendida",K734)))</formula>
    </cfRule>
    <cfRule type="containsText" dxfId="10405" priority="10415" operator="containsText" text="Reasignación">
      <formula>NOT(ISERROR(SEARCH("Reasignación",K734)))</formula>
    </cfRule>
    <cfRule type="containsText" dxfId="10404" priority="10416" operator="containsText" text="RECHAZADA">
      <formula>NOT(ISERROR(SEARCH("RECHAZADA",K734)))</formula>
    </cfRule>
    <cfRule type="containsText" dxfId="10403" priority="10417" operator="containsText" text="Atendida">
      <formula>NOT(ISERROR(SEARCH("Atendida",K734)))</formula>
    </cfRule>
    <cfRule type="containsText" dxfId="10402" priority="10418" operator="containsText" text="Reasignación">
      <formula>NOT(ISERROR(SEARCH("Reasignación",K734)))</formula>
    </cfRule>
    <cfRule type="containsText" dxfId="10401" priority="10419" operator="containsText" text="RECHAZADA">
      <formula>NOT(ISERROR(SEARCH("RECHAZADA",K734)))</formula>
    </cfRule>
    <cfRule type="containsText" dxfId="10400" priority="10420" operator="containsText" text="Atendida">
      <formula>NOT(ISERROR(SEARCH("Atendida",K734)))</formula>
    </cfRule>
  </conditionalFormatting>
  <conditionalFormatting sqref="K735">
    <cfRule type="containsText" dxfId="10399" priority="10406" operator="containsText" text="Reasignación">
      <formula>NOT(ISERROR(SEARCH("Reasignación",K735)))</formula>
    </cfRule>
    <cfRule type="containsText" dxfId="10398" priority="10407" operator="containsText" text="RECHAZADA">
      <formula>NOT(ISERROR(SEARCH("RECHAZADA",K735)))</formula>
    </cfRule>
    <cfRule type="containsText" dxfId="10397" priority="10408" operator="containsText" text="Atendida">
      <formula>NOT(ISERROR(SEARCH("Atendida",K735)))</formula>
    </cfRule>
  </conditionalFormatting>
  <conditionalFormatting sqref="K735">
    <cfRule type="containsText" dxfId="10396" priority="10394" operator="containsText" text="Reasignación">
      <formula>NOT(ISERROR(SEARCH("Reasignación",K735)))</formula>
    </cfRule>
    <cfRule type="containsText" dxfId="10395" priority="10395" operator="containsText" text="RECHAZADA">
      <formula>NOT(ISERROR(SEARCH("RECHAZADA",K735)))</formula>
    </cfRule>
    <cfRule type="containsText" dxfId="10394" priority="10396" operator="containsText" text="Atendida">
      <formula>NOT(ISERROR(SEARCH("Atendida",K735)))</formula>
    </cfRule>
    <cfRule type="containsText" dxfId="10393" priority="10397" operator="containsText" text="Reasignación">
      <formula>NOT(ISERROR(SEARCH("Reasignación",K735)))</formula>
    </cfRule>
    <cfRule type="containsText" dxfId="10392" priority="10398" operator="containsText" text="RECHAZADA">
      <formula>NOT(ISERROR(SEARCH("RECHAZADA",K735)))</formula>
    </cfRule>
    <cfRule type="containsText" dxfId="10391" priority="10399" operator="containsText" text="Atendida">
      <formula>NOT(ISERROR(SEARCH("Atendida",K735)))</formula>
    </cfRule>
    <cfRule type="containsText" dxfId="10390" priority="10400" operator="containsText" text="Reasignación">
      <formula>NOT(ISERROR(SEARCH("Reasignación",K735)))</formula>
    </cfRule>
    <cfRule type="containsText" dxfId="10389" priority="10401" operator="containsText" text="RECHAZADA">
      <formula>NOT(ISERROR(SEARCH("RECHAZADA",K735)))</formula>
    </cfRule>
    <cfRule type="containsText" dxfId="10388" priority="10402" operator="containsText" text="Atendida">
      <formula>NOT(ISERROR(SEARCH("Atendida",K735)))</formula>
    </cfRule>
    <cfRule type="containsText" dxfId="10387" priority="10403" operator="containsText" text="Reasignación">
      <formula>NOT(ISERROR(SEARCH("Reasignación",K735)))</formula>
    </cfRule>
    <cfRule type="containsText" dxfId="10386" priority="10404" operator="containsText" text="RECHAZADA">
      <formula>NOT(ISERROR(SEARCH("RECHAZADA",K735)))</formula>
    </cfRule>
    <cfRule type="containsText" dxfId="10385" priority="10405" operator="containsText" text="Atendida">
      <formula>NOT(ISERROR(SEARCH("Atendida",K735)))</formula>
    </cfRule>
  </conditionalFormatting>
  <conditionalFormatting sqref="K736">
    <cfRule type="containsText" dxfId="10384" priority="10391" operator="containsText" text="Reasignación">
      <formula>NOT(ISERROR(SEARCH("Reasignación",K736)))</formula>
    </cfRule>
    <cfRule type="containsText" dxfId="10383" priority="10392" operator="containsText" text="RECHAZADA">
      <formula>NOT(ISERROR(SEARCH("RECHAZADA",K736)))</formula>
    </cfRule>
    <cfRule type="containsText" dxfId="10382" priority="10393" operator="containsText" text="Atendida">
      <formula>NOT(ISERROR(SEARCH("Atendida",K736)))</formula>
    </cfRule>
  </conditionalFormatting>
  <conditionalFormatting sqref="K736">
    <cfRule type="containsText" dxfId="10381" priority="10379" operator="containsText" text="Reasignación">
      <formula>NOT(ISERROR(SEARCH("Reasignación",K736)))</formula>
    </cfRule>
    <cfRule type="containsText" dxfId="10380" priority="10380" operator="containsText" text="RECHAZADA">
      <formula>NOT(ISERROR(SEARCH("RECHAZADA",K736)))</formula>
    </cfRule>
    <cfRule type="containsText" dxfId="10379" priority="10381" operator="containsText" text="Atendida">
      <formula>NOT(ISERROR(SEARCH("Atendida",K736)))</formula>
    </cfRule>
    <cfRule type="containsText" dxfId="10378" priority="10382" operator="containsText" text="Reasignación">
      <formula>NOT(ISERROR(SEARCH("Reasignación",K736)))</formula>
    </cfRule>
    <cfRule type="containsText" dxfId="10377" priority="10383" operator="containsText" text="RECHAZADA">
      <formula>NOT(ISERROR(SEARCH("RECHAZADA",K736)))</formula>
    </cfRule>
    <cfRule type="containsText" dxfId="10376" priority="10384" operator="containsText" text="Atendida">
      <formula>NOT(ISERROR(SEARCH("Atendida",K736)))</formula>
    </cfRule>
    <cfRule type="containsText" dxfId="10375" priority="10385" operator="containsText" text="Reasignación">
      <formula>NOT(ISERROR(SEARCH("Reasignación",K736)))</formula>
    </cfRule>
    <cfRule type="containsText" dxfId="10374" priority="10386" operator="containsText" text="RECHAZADA">
      <formula>NOT(ISERROR(SEARCH("RECHAZADA",K736)))</formula>
    </cfRule>
    <cfRule type="containsText" dxfId="10373" priority="10387" operator="containsText" text="Atendida">
      <formula>NOT(ISERROR(SEARCH("Atendida",K736)))</formula>
    </cfRule>
    <cfRule type="containsText" dxfId="10372" priority="10388" operator="containsText" text="Reasignación">
      <formula>NOT(ISERROR(SEARCH("Reasignación",K736)))</formula>
    </cfRule>
    <cfRule type="containsText" dxfId="10371" priority="10389" operator="containsText" text="RECHAZADA">
      <formula>NOT(ISERROR(SEARCH("RECHAZADA",K736)))</formula>
    </cfRule>
    <cfRule type="containsText" dxfId="10370" priority="10390" operator="containsText" text="Atendida">
      <formula>NOT(ISERROR(SEARCH("Atendida",K736)))</formula>
    </cfRule>
  </conditionalFormatting>
  <conditionalFormatting sqref="M737">
    <cfRule type="containsText" dxfId="10369" priority="10376" operator="containsText" text="RECHAZADA">
      <formula>NOT(ISERROR(SEARCH("RECHAZADA",M737)))</formula>
    </cfRule>
  </conditionalFormatting>
  <conditionalFormatting sqref="M737">
    <cfRule type="containsText" dxfId="10368" priority="10377" operator="containsText" text="Atendida">
      <formula>NOT(ISERROR(SEARCH("Atendida",M737)))</formula>
    </cfRule>
  </conditionalFormatting>
  <conditionalFormatting sqref="M737">
    <cfRule type="containsText" dxfId="10367" priority="10374" operator="containsText" text="OBSERVADO">
      <formula>NOT(ISERROR(SEARCH("OBSERVADO",M737)))</formula>
    </cfRule>
    <cfRule type="containsText" dxfId="10366" priority="10375" operator="containsText" text="CONFORME">
      <formula>NOT(ISERROR(SEARCH("CONFORME",M737)))</formula>
    </cfRule>
  </conditionalFormatting>
  <conditionalFormatting sqref="B737">
    <cfRule type="duplicateValues" dxfId="10365" priority="10378"/>
  </conditionalFormatting>
  <conditionalFormatting sqref="K738">
    <cfRule type="containsText" dxfId="10364" priority="10371" operator="containsText" text="Reasignación">
      <formula>NOT(ISERROR(SEARCH("Reasignación",K738)))</formula>
    </cfRule>
    <cfRule type="containsText" dxfId="10363" priority="10372" operator="containsText" text="RECHAZADA">
      <formula>NOT(ISERROR(SEARCH("RECHAZADA",K738)))</formula>
    </cfRule>
    <cfRule type="containsText" dxfId="10362" priority="10373" operator="containsText" text="Atendida">
      <formula>NOT(ISERROR(SEARCH("Atendida",K738)))</formula>
    </cfRule>
  </conditionalFormatting>
  <conditionalFormatting sqref="K738">
    <cfRule type="containsText" dxfId="10361" priority="10359" operator="containsText" text="Reasignación">
      <formula>NOT(ISERROR(SEARCH("Reasignación",K738)))</formula>
    </cfRule>
    <cfRule type="containsText" dxfId="10360" priority="10360" operator="containsText" text="RECHAZADA">
      <formula>NOT(ISERROR(SEARCH("RECHAZADA",K738)))</formula>
    </cfRule>
    <cfRule type="containsText" dxfId="10359" priority="10361" operator="containsText" text="Atendida">
      <formula>NOT(ISERROR(SEARCH("Atendida",K738)))</formula>
    </cfRule>
    <cfRule type="containsText" dxfId="10358" priority="10362" operator="containsText" text="Reasignación">
      <formula>NOT(ISERROR(SEARCH("Reasignación",K738)))</formula>
    </cfRule>
    <cfRule type="containsText" dxfId="10357" priority="10363" operator="containsText" text="RECHAZADA">
      <formula>NOT(ISERROR(SEARCH("RECHAZADA",K738)))</formula>
    </cfRule>
    <cfRule type="containsText" dxfId="10356" priority="10364" operator="containsText" text="Atendida">
      <formula>NOT(ISERROR(SEARCH("Atendida",K738)))</formula>
    </cfRule>
    <cfRule type="containsText" dxfId="10355" priority="10365" operator="containsText" text="Reasignación">
      <formula>NOT(ISERROR(SEARCH("Reasignación",K738)))</formula>
    </cfRule>
    <cfRule type="containsText" dxfId="10354" priority="10366" operator="containsText" text="RECHAZADA">
      <formula>NOT(ISERROR(SEARCH("RECHAZADA",K738)))</formula>
    </cfRule>
    <cfRule type="containsText" dxfId="10353" priority="10367" operator="containsText" text="Atendida">
      <formula>NOT(ISERROR(SEARCH("Atendida",K738)))</formula>
    </cfRule>
    <cfRule type="containsText" dxfId="10352" priority="10368" operator="containsText" text="Reasignación">
      <formula>NOT(ISERROR(SEARCH("Reasignación",K738)))</formula>
    </cfRule>
    <cfRule type="containsText" dxfId="10351" priority="10369" operator="containsText" text="RECHAZADA">
      <formula>NOT(ISERROR(SEARCH("RECHAZADA",K738)))</formula>
    </cfRule>
    <cfRule type="containsText" dxfId="10350" priority="10370" operator="containsText" text="Atendida">
      <formula>NOT(ISERROR(SEARCH("Atendida",K738)))</formula>
    </cfRule>
  </conditionalFormatting>
  <conditionalFormatting sqref="K739">
    <cfRule type="containsText" dxfId="10349" priority="10356" operator="containsText" text="Reasignación">
      <formula>NOT(ISERROR(SEARCH("Reasignación",K739)))</formula>
    </cfRule>
    <cfRule type="containsText" dxfId="10348" priority="10357" operator="containsText" text="RECHAZADA">
      <formula>NOT(ISERROR(SEARCH("RECHAZADA",K739)))</formula>
    </cfRule>
    <cfRule type="containsText" dxfId="10347" priority="10358" operator="containsText" text="Atendida">
      <formula>NOT(ISERROR(SEARCH("Atendida",K739)))</formula>
    </cfRule>
  </conditionalFormatting>
  <conditionalFormatting sqref="K739">
    <cfRule type="containsText" dxfId="10346" priority="10344" operator="containsText" text="Reasignación">
      <formula>NOT(ISERROR(SEARCH("Reasignación",K739)))</formula>
    </cfRule>
    <cfRule type="containsText" dxfId="10345" priority="10345" operator="containsText" text="RECHAZADA">
      <formula>NOT(ISERROR(SEARCH("RECHAZADA",K739)))</formula>
    </cfRule>
    <cfRule type="containsText" dxfId="10344" priority="10346" operator="containsText" text="Atendida">
      <formula>NOT(ISERROR(SEARCH("Atendida",K739)))</formula>
    </cfRule>
    <cfRule type="containsText" dxfId="10343" priority="10347" operator="containsText" text="Reasignación">
      <formula>NOT(ISERROR(SEARCH("Reasignación",K739)))</formula>
    </cfRule>
    <cfRule type="containsText" dxfId="10342" priority="10348" operator="containsText" text="RECHAZADA">
      <formula>NOT(ISERROR(SEARCH("RECHAZADA",K739)))</formula>
    </cfRule>
    <cfRule type="containsText" dxfId="10341" priority="10349" operator="containsText" text="Atendida">
      <formula>NOT(ISERROR(SEARCH("Atendida",K739)))</formula>
    </cfRule>
    <cfRule type="containsText" dxfId="10340" priority="10350" operator="containsText" text="Reasignación">
      <formula>NOT(ISERROR(SEARCH("Reasignación",K739)))</formula>
    </cfRule>
    <cfRule type="containsText" dxfId="10339" priority="10351" operator="containsText" text="RECHAZADA">
      <formula>NOT(ISERROR(SEARCH("RECHAZADA",K739)))</formula>
    </cfRule>
    <cfRule type="containsText" dxfId="10338" priority="10352" operator="containsText" text="Atendida">
      <formula>NOT(ISERROR(SEARCH("Atendida",K739)))</formula>
    </cfRule>
    <cfRule type="containsText" dxfId="10337" priority="10353" operator="containsText" text="Reasignación">
      <formula>NOT(ISERROR(SEARCH("Reasignación",K739)))</formula>
    </cfRule>
    <cfRule type="containsText" dxfId="10336" priority="10354" operator="containsText" text="RECHAZADA">
      <formula>NOT(ISERROR(SEARCH("RECHAZADA",K739)))</formula>
    </cfRule>
    <cfRule type="containsText" dxfId="10335" priority="10355" operator="containsText" text="Atendida">
      <formula>NOT(ISERROR(SEARCH("Atendida",K739)))</formula>
    </cfRule>
  </conditionalFormatting>
  <conditionalFormatting sqref="K737">
    <cfRule type="containsText" dxfId="10334" priority="10341" operator="containsText" text="Reasignación">
      <formula>NOT(ISERROR(SEARCH("Reasignación",K737)))</formula>
    </cfRule>
    <cfRule type="containsText" dxfId="10333" priority="10342" operator="containsText" text="RECHAZADA">
      <formula>NOT(ISERROR(SEARCH("RECHAZADA",K737)))</formula>
    </cfRule>
    <cfRule type="containsText" dxfId="10332" priority="10343" operator="containsText" text="Atendida">
      <formula>NOT(ISERROR(SEARCH("Atendida",K737)))</formula>
    </cfRule>
  </conditionalFormatting>
  <conditionalFormatting sqref="K737">
    <cfRule type="containsText" dxfId="10331" priority="10329" operator="containsText" text="Reasignación">
      <formula>NOT(ISERROR(SEARCH("Reasignación",K737)))</formula>
    </cfRule>
    <cfRule type="containsText" dxfId="10330" priority="10330" operator="containsText" text="RECHAZADA">
      <formula>NOT(ISERROR(SEARCH("RECHAZADA",K737)))</formula>
    </cfRule>
    <cfRule type="containsText" dxfId="10329" priority="10331" operator="containsText" text="Atendida">
      <formula>NOT(ISERROR(SEARCH("Atendida",K737)))</formula>
    </cfRule>
    <cfRule type="containsText" dxfId="10328" priority="10332" operator="containsText" text="Reasignación">
      <formula>NOT(ISERROR(SEARCH("Reasignación",K737)))</formula>
    </cfRule>
    <cfRule type="containsText" dxfId="10327" priority="10333" operator="containsText" text="RECHAZADA">
      <formula>NOT(ISERROR(SEARCH("RECHAZADA",K737)))</formula>
    </cfRule>
    <cfRule type="containsText" dxfId="10326" priority="10334" operator="containsText" text="Atendida">
      <formula>NOT(ISERROR(SEARCH("Atendida",K737)))</formula>
    </cfRule>
    <cfRule type="containsText" dxfId="10325" priority="10335" operator="containsText" text="Reasignación">
      <formula>NOT(ISERROR(SEARCH("Reasignación",K737)))</formula>
    </cfRule>
    <cfRule type="containsText" dxfId="10324" priority="10336" operator="containsText" text="RECHAZADA">
      <formula>NOT(ISERROR(SEARCH("RECHAZADA",K737)))</formula>
    </cfRule>
    <cfRule type="containsText" dxfId="10323" priority="10337" operator="containsText" text="Atendida">
      <formula>NOT(ISERROR(SEARCH("Atendida",K737)))</formula>
    </cfRule>
    <cfRule type="containsText" dxfId="10322" priority="10338" operator="containsText" text="Reasignación">
      <formula>NOT(ISERROR(SEARCH("Reasignación",K737)))</formula>
    </cfRule>
    <cfRule type="containsText" dxfId="10321" priority="10339" operator="containsText" text="RECHAZADA">
      <formula>NOT(ISERROR(SEARCH("RECHAZADA",K737)))</formula>
    </cfRule>
    <cfRule type="containsText" dxfId="10320" priority="10340" operator="containsText" text="Atendida">
      <formula>NOT(ISERROR(SEARCH("Atendida",K737)))</formula>
    </cfRule>
  </conditionalFormatting>
  <conditionalFormatting sqref="K740">
    <cfRule type="containsText" dxfId="10319" priority="10326" operator="containsText" text="Reasignación">
      <formula>NOT(ISERROR(SEARCH("Reasignación",K740)))</formula>
    </cfRule>
    <cfRule type="containsText" dxfId="10318" priority="10327" operator="containsText" text="RECHAZADA">
      <formula>NOT(ISERROR(SEARCH("RECHAZADA",K740)))</formula>
    </cfRule>
    <cfRule type="containsText" dxfId="10317" priority="10328" operator="containsText" text="Atendida">
      <formula>NOT(ISERROR(SEARCH("Atendida",K740)))</formula>
    </cfRule>
  </conditionalFormatting>
  <conditionalFormatting sqref="K740">
    <cfRule type="containsText" dxfId="10316" priority="10314" operator="containsText" text="Reasignación">
      <formula>NOT(ISERROR(SEARCH("Reasignación",K740)))</formula>
    </cfRule>
    <cfRule type="containsText" dxfId="10315" priority="10315" operator="containsText" text="RECHAZADA">
      <formula>NOT(ISERROR(SEARCH("RECHAZADA",K740)))</formula>
    </cfRule>
    <cfRule type="containsText" dxfId="10314" priority="10316" operator="containsText" text="Atendida">
      <formula>NOT(ISERROR(SEARCH("Atendida",K740)))</formula>
    </cfRule>
    <cfRule type="containsText" dxfId="10313" priority="10317" operator="containsText" text="Reasignación">
      <formula>NOT(ISERROR(SEARCH("Reasignación",K740)))</formula>
    </cfRule>
    <cfRule type="containsText" dxfId="10312" priority="10318" operator="containsText" text="RECHAZADA">
      <formula>NOT(ISERROR(SEARCH("RECHAZADA",K740)))</formula>
    </cfRule>
    <cfRule type="containsText" dxfId="10311" priority="10319" operator="containsText" text="Atendida">
      <formula>NOT(ISERROR(SEARCH("Atendida",K740)))</formula>
    </cfRule>
    <cfRule type="containsText" dxfId="10310" priority="10320" operator="containsText" text="Reasignación">
      <formula>NOT(ISERROR(SEARCH("Reasignación",K740)))</formula>
    </cfRule>
    <cfRule type="containsText" dxfId="10309" priority="10321" operator="containsText" text="RECHAZADA">
      <formula>NOT(ISERROR(SEARCH("RECHAZADA",K740)))</formula>
    </cfRule>
    <cfRule type="containsText" dxfId="10308" priority="10322" operator="containsText" text="Atendida">
      <formula>NOT(ISERROR(SEARCH("Atendida",K740)))</formula>
    </cfRule>
    <cfRule type="containsText" dxfId="10307" priority="10323" operator="containsText" text="Reasignación">
      <formula>NOT(ISERROR(SEARCH("Reasignación",K740)))</formula>
    </cfRule>
    <cfRule type="containsText" dxfId="10306" priority="10324" operator="containsText" text="RECHAZADA">
      <formula>NOT(ISERROR(SEARCH("RECHAZADA",K740)))</formula>
    </cfRule>
    <cfRule type="containsText" dxfId="10305" priority="10325" operator="containsText" text="Atendida">
      <formula>NOT(ISERROR(SEARCH("Atendida",K740)))</formula>
    </cfRule>
  </conditionalFormatting>
  <conditionalFormatting sqref="B741:B742">
    <cfRule type="duplicateValues" dxfId="10304" priority="10313"/>
  </conditionalFormatting>
  <conditionalFormatting sqref="K741">
    <cfRule type="containsText" dxfId="10303" priority="10310" operator="containsText" text="Reasignación">
      <formula>NOT(ISERROR(SEARCH("Reasignación",K741)))</formula>
    </cfRule>
    <cfRule type="containsText" dxfId="10302" priority="10311" operator="containsText" text="RECHAZADA">
      <formula>NOT(ISERROR(SEARCH("RECHAZADA",K741)))</formula>
    </cfRule>
    <cfRule type="containsText" dxfId="10301" priority="10312" operator="containsText" text="Atendida">
      <formula>NOT(ISERROR(SEARCH("Atendida",K741)))</formula>
    </cfRule>
  </conditionalFormatting>
  <conditionalFormatting sqref="K741">
    <cfRule type="containsText" dxfId="10300" priority="10298" operator="containsText" text="Reasignación">
      <formula>NOT(ISERROR(SEARCH("Reasignación",K741)))</formula>
    </cfRule>
    <cfRule type="containsText" dxfId="10299" priority="10299" operator="containsText" text="RECHAZADA">
      <formula>NOT(ISERROR(SEARCH("RECHAZADA",K741)))</formula>
    </cfRule>
    <cfRule type="containsText" dxfId="10298" priority="10300" operator="containsText" text="Atendida">
      <formula>NOT(ISERROR(SEARCH("Atendida",K741)))</formula>
    </cfRule>
    <cfRule type="containsText" dxfId="10297" priority="10301" operator="containsText" text="Reasignación">
      <formula>NOT(ISERROR(SEARCH("Reasignación",K741)))</formula>
    </cfRule>
    <cfRule type="containsText" dxfId="10296" priority="10302" operator="containsText" text="RECHAZADA">
      <formula>NOT(ISERROR(SEARCH("RECHAZADA",K741)))</formula>
    </cfRule>
    <cfRule type="containsText" dxfId="10295" priority="10303" operator="containsText" text="Atendida">
      <formula>NOT(ISERROR(SEARCH("Atendida",K741)))</formula>
    </cfRule>
    <cfRule type="containsText" dxfId="10294" priority="10304" operator="containsText" text="Reasignación">
      <formula>NOT(ISERROR(SEARCH("Reasignación",K741)))</formula>
    </cfRule>
    <cfRule type="containsText" dxfId="10293" priority="10305" operator="containsText" text="RECHAZADA">
      <formula>NOT(ISERROR(SEARCH("RECHAZADA",K741)))</formula>
    </cfRule>
    <cfRule type="containsText" dxfId="10292" priority="10306" operator="containsText" text="Atendida">
      <formula>NOT(ISERROR(SEARCH("Atendida",K741)))</formula>
    </cfRule>
    <cfRule type="containsText" dxfId="10291" priority="10307" operator="containsText" text="Reasignación">
      <formula>NOT(ISERROR(SEARCH("Reasignación",K741)))</formula>
    </cfRule>
    <cfRule type="containsText" dxfId="10290" priority="10308" operator="containsText" text="RECHAZADA">
      <formula>NOT(ISERROR(SEARCH("RECHAZADA",K741)))</formula>
    </cfRule>
    <cfRule type="containsText" dxfId="10289" priority="10309" operator="containsText" text="Atendida">
      <formula>NOT(ISERROR(SEARCH("Atendida",K741)))</formula>
    </cfRule>
  </conditionalFormatting>
  <conditionalFormatting sqref="K742">
    <cfRule type="containsText" dxfId="10288" priority="10295" operator="containsText" text="Reasignación">
      <formula>NOT(ISERROR(SEARCH("Reasignación",K742)))</formula>
    </cfRule>
    <cfRule type="containsText" dxfId="10287" priority="10296" operator="containsText" text="RECHAZADA">
      <formula>NOT(ISERROR(SEARCH("RECHAZADA",K742)))</formula>
    </cfRule>
    <cfRule type="containsText" dxfId="10286" priority="10297" operator="containsText" text="Atendida">
      <formula>NOT(ISERROR(SEARCH("Atendida",K742)))</formula>
    </cfRule>
  </conditionalFormatting>
  <conditionalFormatting sqref="K742">
    <cfRule type="containsText" dxfId="10285" priority="10283" operator="containsText" text="Reasignación">
      <formula>NOT(ISERROR(SEARCH("Reasignación",K742)))</formula>
    </cfRule>
    <cfRule type="containsText" dxfId="10284" priority="10284" operator="containsText" text="RECHAZADA">
      <formula>NOT(ISERROR(SEARCH("RECHAZADA",K742)))</formula>
    </cfRule>
    <cfRule type="containsText" dxfId="10283" priority="10285" operator="containsText" text="Atendida">
      <formula>NOT(ISERROR(SEARCH("Atendida",K742)))</formula>
    </cfRule>
    <cfRule type="containsText" dxfId="10282" priority="10286" operator="containsText" text="Reasignación">
      <formula>NOT(ISERROR(SEARCH("Reasignación",K742)))</formula>
    </cfRule>
    <cfRule type="containsText" dxfId="10281" priority="10287" operator="containsText" text="RECHAZADA">
      <formula>NOT(ISERROR(SEARCH("RECHAZADA",K742)))</formula>
    </cfRule>
    <cfRule type="containsText" dxfId="10280" priority="10288" operator="containsText" text="Atendida">
      <formula>NOT(ISERROR(SEARCH("Atendida",K742)))</formula>
    </cfRule>
    <cfRule type="containsText" dxfId="10279" priority="10289" operator="containsText" text="Reasignación">
      <formula>NOT(ISERROR(SEARCH("Reasignación",K742)))</formula>
    </cfRule>
    <cfRule type="containsText" dxfId="10278" priority="10290" operator="containsText" text="RECHAZADA">
      <formula>NOT(ISERROR(SEARCH("RECHAZADA",K742)))</formula>
    </cfRule>
    <cfRule type="containsText" dxfId="10277" priority="10291" operator="containsText" text="Atendida">
      <formula>NOT(ISERROR(SEARCH("Atendida",K742)))</formula>
    </cfRule>
    <cfRule type="containsText" dxfId="10276" priority="10292" operator="containsText" text="Reasignación">
      <formula>NOT(ISERROR(SEARCH("Reasignación",K742)))</formula>
    </cfRule>
    <cfRule type="containsText" dxfId="10275" priority="10293" operator="containsText" text="RECHAZADA">
      <formula>NOT(ISERROR(SEARCH("RECHAZADA",K742)))</formula>
    </cfRule>
    <cfRule type="containsText" dxfId="10274" priority="10294" operator="containsText" text="Atendida">
      <formula>NOT(ISERROR(SEARCH("Atendida",K742)))</formula>
    </cfRule>
  </conditionalFormatting>
  <conditionalFormatting sqref="B743:B744">
    <cfRule type="duplicateValues" dxfId="10273" priority="10282"/>
  </conditionalFormatting>
  <conditionalFormatting sqref="E743:E754">
    <cfRule type="duplicateValues" dxfId="10272" priority="10262"/>
  </conditionalFormatting>
  <conditionalFormatting sqref="K743">
    <cfRule type="containsText" dxfId="10271" priority="10263" operator="containsText" text="Reasignación">
      <formula>NOT(ISERROR(SEARCH("Reasignación",K743)))</formula>
    </cfRule>
    <cfRule type="containsText" dxfId="10270" priority="10264" operator="containsText" text="RECHAZADA">
      <formula>NOT(ISERROR(SEARCH("RECHAZADA",K743)))</formula>
    </cfRule>
    <cfRule type="containsText" dxfId="10269" priority="10265" operator="containsText" text="Atendida">
      <formula>NOT(ISERROR(SEARCH("Atendida",K743)))</formula>
    </cfRule>
  </conditionalFormatting>
  <conditionalFormatting sqref="K743">
    <cfRule type="containsText" dxfId="10268" priority="10266" operator="containsText" text="Reasignación">
      <formula>NOT(ISERROR(SEARCH("Reasignación",K743)))</formula>
    </cfRule>
    <cfRule type="containsText" dxfId="10267" priority="10267" operator="containsText" text="RECHAZADA">
      <formula>NOT(ISERROR(SEARCH("RECHAZADA",K743)))</formula>
    </cfRule>
    <cfRule type="containsText" dxfId="10266" priority="10268" operator="containsText" text="Atendida">
      <formula>NOT(ISERROR(SEARCH("Atendida",K743)))</formula>
    </cfRule>
    <cfRule type="containsText" dxfId="10265" priority="10269" operator="containsText" text="Reasignación">
      <formula>NOT(ISERROR(SEARCH("Reasignación",K743)))</formula>
    </cfRule>
    <cfRule type="containsText" dxfId="10264" priority="10270" operator="containsText" text="RECHAZADA">
      <formula>NOT(ISERROR(SEARCH("RECHAZADA",K743)))</formula>
    </cfRule>
    <cfRule type="containsText" dxfId="10263" priority="10271" operator="containsText" text="Atendida">
      <formula>NOT(ISERROR(SEARCH("Atendida",K743)))</formula>
    </cfRule>
    <cfRule type="containsText" dxfId="10262" priority="10272" operator="containsText" text="Reasignación">
      <formula>NOT(ISERROR(SEARCH("Reasignación",K743)))</formula>
    </cfRule>
    <cfRule type="containsText" dxfId="10261" priority="10273" operator="containsText" text="RECHAZADA">
      <formula>NOT(ISERROR(SEARCH("RECHAZADA",K743)))</formula>
    </cfRule>
    <cfRule type="containsText" dxfId="10260" priority="10274" operator="containsText" text="Atendida">
      <formula>NOT(ISERROR(SEARCH("Atendida",K743)))</formula>
    </cfRule>
    <cfRule type="containsText" dxfId="10259" priority="10275" operator="containsText" text="Reasignación">
      <formula>NOT(ISERROR(SEARCH("Reasignación",K743)))</formula>
    </cfRule>
    <cfRule type="containsText" dxfId="10258" priority="10276" operator="containsText" text="RECHAZADA">
      <formula>NOT(ISERROR(SEARCH("RECHAZADA",K743)))</formula>
    </cfRule>
    <cfRule type="containsText" dxfId="10257" priority="10277" operator="containsText" text="Atendida">
      <formula>NOT(ISERROR(SEARCH("Atendida",K743)))</formula>
    </cfRule>
  </conditionalFormatting>
  <conditionalFormatting sqref="M746:M754 M743:M744">
    <cfRule type="containsText" dxfId="10256" priority="10281" operator="containsText" text="Atendida">
      <formula>NOT(ISERROR(SEARCH("Atendida",M743)))</formula>
    </cfRule>
  </conditionalFormatting>
  <conditionalFormatting sqref="M754 M743:M744">
    <cfRule type="containsText" dxfId="10255" priority="10280" operator="containsText" text="RECHAZADA">
      <formula>NOT(ISERROR(SEARCH("RECHAZADA",M743)))</formula>
    </cfRule>
  </conditionalFormatting>
  <conditionalFormatting sqref="M743:M744">
    <cfRule type="containsText" dxfId="10254" priority="10278" operator="containsText" text="OBSERVADO">
      <formula>NOT(ISERROR(SEARCH("OBSERVADO",M743)))</formula>
    </cfRule>
    <cfRule type="containsText" dxfId="10253" priority="10279" operator="containsText" text="CONFORME">
      <formula>NOT(ISERROR(SEARCH("CONFORME",M743)))</formula>
    </cfRule>
  </conditionalFormatting>
  <conditionalFormatting sqref="K744">
    <cfRule type="containsText" dxfId="10252" priority="10247" operator="containsText" text="Reasignación">
      <formula>NOT(ISERROR(SEARCH("Reasignación",K744)))</formula>
    </cfRule>
    <cfRule type="containsText" dxfId="10251" priority="10248" operator="containsText" text="RECHAZADA">
      <formula>NOT(ISERROR(SEARCH("RECHAZADA",K744)))</formula>
    </cfRule>
    <cfRule type="containsText" dxfId="10250" priority="10249" operator="containsText" text="Atendida">
      <formula>NOT(ISERROR(SEARCH("Atendida",K744)))</formula>
    </cfRule>
  </conditionalFormatting>
  <conditionalFormatting sqref="K744">
    <cfRule type="containsText" dxfId="10249" priority="10253" operator="containsText" text="Reasignación">
      <formula>NOT(ISERROR(SEARCH("Reasignación",K744)))</formula>
    </cfRule>
    <cfRule type="containsText" dxfId="10248" priority="10254" operator="containsText" text="RECHAZADA">
      <formula>NOT(ISERROR(SEARCH("RECHAZADA",K744)))</formula>
    </cfRule>
    <cfRule type="containsText" dxfId="10247" priority="10255" operator="containsText" text="Atendida">
      <formula>NOT(ISERROR(SEARCH("Atendida",K744)))</formula>
    </cfRule>
    <cfRule type="containsText" dxfId="10246" priority="10256" operator="containsText" text="Reasignación">
      <formula>NOT(ISERROR(SEARCH("Reasignación",K744)))</formula>
    </cfRule>
    <cfRule type="containsText" dxfId="10245" priority="10257" operator="containsText" text="RECHAZADA">
      <formula>NOT(ISERROR(SEARCH("RECHAZADA",K744)))</formula>
    </cfRule>
    <cfRule type="containsText" dxfId="10244" priority="10258" operator="containsText" text="Atendida">
      <formula>NOT(ISERROR(SEARCH("Atendida",K744)))</formula>
    </cfRule>
    <cfRule type="containsText" dxfId="10243" priority="10259" operator="containsText" text="Reasignación">
      <formula>NOT(ISERROR(SEARCH("Reasignación",K744)))</formula>
    </cfRule>
    <cfRule type="containsText" dxfId="10242" priority="10260" operator="containsText" text="RECHAZADA">
      <formula>NOT(ISERROR(SEARCH("RECHAZADA",K744)))</formula>
    </cfRule>
    <cfRule type="containsText" dxfId="10241" priority="10261" operator="containsText" text="Atendida">
      <formula>NOT(ISERROR(SEARCH("Atendida",K744)))</formula>
    </cfRule>
  </conditionalFormatting>
  <conditionalFormatting sqref="K744">
    <cfRule type="containsText" dxfId="10240" priority="10250" operator="containsText" text="Reasignación">
      <formula>NOT(ISERROR(SEARCH("Reasignación",K744)))</formula>
    </cfRule>
    <cfRule type="containsText" dxfId="10239" priority="10251" operator="containsText" text="RECHAZADA">
      <formula>NOT(ISERROR(SEARCH("RECHAZADA",K744)))</formula>
    </cfRule>
    <cfRule type="containsText" dxfId="10238" priority="10252" operator="containsText" text="Atendida">
      <formula>NOT(ISERROR(SEARCH("Atendida",K744)))</formula>
    </cfRule>
  </conditionalFormatting>
  <conditionalFormatting sqref="B745">
    <cfRule type="duplicateValues" dxfId="10237" priority="10245"/>
  </conditionalFormatting>
  <conditionalFormatting sqref="B746:B749">
    <cfRule type="duplicateValues" dxfId="10236" priority="10246"/>
  </conditionalFormatting>
  <conditionalFormatting sqref="K746">
    <cfRule type="containsText" dxfId="10235" priority="10226" operator="containsText" text="Reasignación">
      <formula>NOT(ISERROR(SEARCH("Reasignación",K746)))</formula>
    </cfRule>
    <cfRule type="containsText" dxfId="10234" priority="10227" operator="containsText" text="RECHAZADA">
      <formula>NOT(ISERROR(SEARCH("RECHAZADA",K746)))</formula>
    </cfRule>
    <cfRule type="containsText" dxfId="10233" priority="10228" operator="containsText" text="Atendida">
      <formula>NOT(ISERROR(SEARCH("Atendida",K746)))</formula>
    </cfRule>
    <cfRule type="containsText" dxfId="10232" priority="10229" operator="containsText" text="Reasignación">
      <formula>NOT(ISERROR(SEARCH("Reasignación",K746)))</formula>
    </cfRule>
    <cfRule type="containsText" dxfId="10231" priority="10230" operator="containsText" text="RECHAZADA">
      <formula>NOT(ISERROR(SEARCH("RECHAZADA",K746)))</formula>
    </cfRule>
    <cfRule type="containsText" dxfId="10230" priority="10231" operator="containsText" text="Atendida">
      <formula>NOT(ISERROR(SEARCH("Atendida",K746)))</formula>
    </cfRule>
    <cfRule type="containsText" dxfId="10229" priority="10232" operator="containsText" text="Reasignación">
      <formula>NOT(ISERROR(SEARCH("Reasignación",K746)))</formula>
    </cfRule>
    <cfRule type="containsText" dxfId="10228" priority="10233" operator="containsText" text="RECHAZADA">
      <formula>NOT(ISERROR(SEARCH("RECHAZADA",K746)))</formula>
    </cfRule>
    <cfRule type="containsText" dxfId="10227" priority="10234" operator="containsText" text="Atendida">
      <formula>NOT(ISERROR(SEARCH("Atendida",K746)))</formula>
    </cfRule>
    <cfRule type="containsText" dxfId="10226" priority="10235" operator="containsText" text="Reasignación">
      <formula>NOT(ISERROR(SEARCH("Reasignación",K746)))</formula>
    </cfRule>
    <cfRule type="containsText" dxfId="10225" priority="10236" operator="containsText" text="RECHAZADA">
      <formula>NOT(ISERROR(SEARCH("RECHAZADA",K746)))</formula>
    </cfRule>
    <cfRule type="containsText" dxfId="10224" priority="10237" operator="containsText" text="Atendida">
      <formula>NOT(ISERROR(SEARCH("Atendida",K746)))</formula>
    </cfRule>
    <cfRule type="containsText" dxfId="10223" priority="10238" operator="containsText" text="Reasignación">
      <formula>NOT(ISERROR(SEARCH("Reasignación",K746)))</formula>
    </cfRule>
    <cfRule type="containsText" dxfId="10222" priority="10239" operator="containsText" text="RECHAZADA">
      <formula>NOT(ISERROR(SEARCH("RECHAZADA",K746)))</formula>
    </cfRule>
    <cfRule type="containsText" dxfId="10221" priority="10240" operator="containsText" text="Atendida">
      <formula>NOT(ISERROR(SEARCH("Atendida",K746)))</formula>
    </cfRule>
  </conditionalFormatting>
  <conditionalFormatting sqref="M745">
    <cfRule type="containsText" dxfId="10220" priority="10244" operator="containsText" text="Atendida">
      <formula>NOT(ISERROR(SEARCH("Atendida",M745)))</formula>
    </cfRule>
  </conditionalFormatting>
  <conditionalFormatting sqref="M745:M754">
    <cfRule type="containsText" dxfId="10219" priority="10242" operator="containsText" text="CONFORME">
      <formula>NOT(ISERROR(SEARCH("CONFORME",M745)))</formula>
    </cfRule>
  </conditionalFormatting>
  <conditionalFormatting sqref="M745:M753">
    <cfRule type="containsText" dxfId="10218" priority="10241" operator="containsText" text="OBSERVADO">
      <formula>NOT(ISERROR(SEARCH("OBSERVADO",M745)))</formula>
    </cfRule>
    <cfRule type="containsText" dxfId="10217" priority="10243" operator="containsText" text="RECHAZADA">
      <formula>NOT(ISERROR(SEARCH("RECHAZADA",M745)))</formula>
    </cfRule>
  </conditionalFormatting>
  <conditionalFormatting sqref="K745">
    <cfRule type="containsText" dxfId="10216" priority="10211" operator="containsText" text="Reasignación">
      <formula>NOT(ISERROR(SEARCH("Reasignación",K745)))</formula>
    </cfRule>
    <cfRule type="containsText" dxfId="10215" priority="10212" operator="containsText" text="RECHAZADA">
      <formula>NOT(ISERROR(SEARCH("RECHAZADA",K745)))</formula>
    </cfRule>
    <cfRule type="containsText" dxfId="10214" priority="10213" operator="containsText" text="Atendida">
      <formula>NOT(ISERROR(SEARCH("Atendida",K745)))</formula>
    </cfRule>
  </conditionalFormatting>
  <conditionalFormatting sqref="K745">
    <cfRule type="containsText" dxfId="10213" priority="10217" operator="containsText" text="Reasignación">
      <formula>NOT(ISERROR(SEARCH("Reasignación",K745)))</formula>
    </cfRule>
    <cfRule type="containsText" dxfId="10212" priority="10218" operator="containsText" text="RECHAZADA">
      <formula>NOT(ISERROR(SEARCH("RECHAZADA",K745)))</formula>
    </cfRule>
    <cfRule type="containsText" dxfId="10211" priority="10219" operator="containsText" text="Atendida">
      <formula>NOT(ISERROR(SEARCH("Atendida",K745)))</formula>
    </cfRule>
    <cfRule type="containsText" dxfId="10210" priority="10220" operator="containsText" text="Reasignación">
      <formula>NOT(ISERROR(SEARCH("Reasignación",K745)))</formula>
    </cfRule>
    <cfRule type="containsText" dxfId="10209" priority="10221" operator="containsText" text="RECHAZADA">
      <formula>NOT(ISERROR(SEARCH("RECHAZADA",K745)))</formula>
    </cfRule>
    <cfRule type="containsText" dxfId="10208" priority="10222" operator="containsText" text="Atendida">
      <formula>NOT(ISERROR(SEARCH("Atendida",K745)))</formula>
    </cfRule>
    <cfRule type="containsText" dxfId="10207" priority="10223" operator="containsText" text="Reasignación">
      <formula>NOT(ISERROR(SEARCH("Reasignación",K745)))</formula>
    </cfRule>
    <cfRule type="containsText" dxfId="10206" priority="10224" operator="containsText" text="RECHAZADA">
      <formula>NOT(ISERROR(SEARCH("RECHAZADA",K745)))</formula>
    </cfRule>
    <cfRule type="containsText" dxfId="10205" priority="10225" operator="containsText" text="Atendida">
      <formula>NOT(ISERROR(SEARCH("Atendida",K745)))</formula>
    </cfRule>
  </conditionalFormatting>
  <conditionalFormatting sqref="K745">
    <cfRule type="containsText" dxfId="10204" priority="10214" operator="containsText" text="Reasignación">
      <formula>NOT(ISERROR(SEARCH("Reasignación",K745)))</formula>
    </cfRule>
    <cfRule type="containsText" dxfId="10203" priority="10215" operator="containsText" text="RECHAZADA">
      <formula>NOT(ISERROR(SEARCH("RECHAZADA",K745)))</formula>
    </cfRule>
    <cfRule type="containsText" dxfId="10202" priority="10216" operator="containsText" text="Atendida">
      <formula>NOT(ISERROR(SEARCH("Atendida",K745)))</formula>
    </cfRule>
  </conditionalFormatting>
  <conditionalFormatting sqref="K747">
    <cfRule type="containsText" dxfId="10201" priority="10196" operator="containsText" text="Reasignación">
      <formula>NOT(ISERROR(SEARCH("Reasignación",K747)))</formula>
    </cfRule>
    <cfRule type="containsText" dxfId="10200" priority="10197" operator="containsText" text="RECHAZADA">
      <formula>NOT(ISERROR(SEARCH("RECHAZADA",K747)))</formula>
    </cfRule>
    <cfRule type="containsText" dxfId="10199" priority="10198" operator="containsText" text="Atendida">
      <formula>NOT(ISERROR(SEARCH("Atendida",K747)))</formula>
    </cfRule>
  </conditionalFormatting>
  <conditionalFormatting sqref="K747">
    <cfRule type="containsText" dxfId="10198" priority="10202" operator="containsText" text="Reasignación">
      <formula>NOT(ISERROR(SEARCH("Reasignación",K747)))</formula>
    </cfRule>
    <cfRule type="containsText" dxfId="10197" priority="10203" operator="containsText" text="RECHAZADA">
      <formula>NOT(ISERROR(SEARCH("RECHAZADA",K747)))</formula>
    </cfRule>
    <cfRule type="containsText" dxfId="10196" priority="10204" operator="containsText" text="Atendida">
      <formula>NOT(ISERROR(SEARCH("Atendida",K747)))</formula>
    </cfRule>
    <cfRule type="containsText" dxfId="10195" priority="10205" operator="containsText" text="Reasignación">
      <formula>NOT(ISERROR(SEARCH("Reasignación",K747)))</formula>
    </cfRule>
    <cfRule type="containsText" dxfId="10194" priority="10206" operator="containsText" text="RECHAZADA">
      <formula>NOT(ISERROR(SEARCH("RECHAZADA",K747)))</formula>
    </cfRule>
    <cfRule type="containsText" dxfId="10193" priority="10207" operator="containsText" text="Atendida">
      <formula>NOT(ISERROR(SEARCH("Atendida",K747)))</formula>
    </cfRule>
    <cfRule type="containsText" dxfId="10192" priority="10208" operator="containsText" text="Reasignación">
      <formula>NOT(ISERROR(SEARCH("Reasignación",K747)))</formula>
    </cfRule>
    <cfRule type="containsText" dxfId="10191" priority="10209" operator="containsText" text="RECHAZADA">
      <formula>NOT(ISERROR(SEARCH("RECHAZADA",K747)))</formula>
    </cfRule>
    <cfRule type="containsText" dxfId="10190" priority="10210" operator="containsText" text="Atendida">
      <formula>NOT(ISERROR(SEARCH("Atendida",K747)))</formula>
    </cfRule>
  </conditionalFormatting>
  <conditionalFormatting sqref="K747">
    <cfRule type="containsText" dxfId="10189" priority="10199" operator="containsText" text="Reasignación">
      <formula>NOT(ISERROR(SEARCH("Reasignación",K747)))</formula>
    </cfRule>
    <cfRule type="containsText" dxfId="10188" priority="10200" operator="containsText" text="RECHAZADA">
      <formula>NOT(ISERROR(SEARCH("RECHAZADA",K747)))</formula>
    </cfRule>
    <cfRule type="containsText" dxfId="10187" priority="10201" operator="containsText" text="Atendida">
      <formula>NOT(ISERROR(SEARCH("Atendida",K747)))</formula>
    </cfRule>
  </conditionalFormatting>
  <conditionalFormatting sqref="K748">
    <cfRule type="containsText" dxfId="10186" priority="10181" operator="containsText" text="Reasignación">
      <formula>NOT(ISERROR(SEARCH("Reasignación",K748)))</formula>
    </cfRule>
    <cfRule type="containsText" dxfId="10185" priority="10182" operator="containsText" text="RECHAZADA">
      <formula>NOT(ISERROR(SEARCH("RECHAZADA",K748)))</formula>
    </cfRule>
    <cfRule type="containsText" dxfId="10184" priority="10183" operator="containsText" text="Atendida">
      <formula>NOT(ISERROR(SEARCH("Atendida",K748)))</formula>
    </cfRule>
  </conditionalFormatting>
  <conditionalFormatting sqref="K748">
    <cfRule type="containsText" dxfId="10183" priority="10184" operator="containsText" text="Reasignación">
      <formula>NOT(ISERROR(SEARCH("Reasignación",K748)))</formula>
    </cfRule>
    <cfRule type="containsText" dxfId="10182" priority="10185" operator="containsText" text="RECHAZADA">
      <formula>NOT(ISERROR(SEARCH("RECHAZADA",K748)))</formula>
    </cfRule>
    <cfRule type="containsText" dxfId="10181" priority="10186" operator="containsText" text="Atendida">
      <formula>NOT(ISERROR(SEARCH("Atendida",K748)))</formula>
    </cfRule>
    <cfRule type="containsText" dxfId="10180" priority="10187" operator="containsText" text="Reasignación">
      <formula>NOT(ISERROR(SEARCH("Reasignación",K748)))</formula>
    </cfRule>
    <cfRule type="containsText" dxfId="10179" priority="10188" operator="containsText" text="RECHAZADA">
      <formula>NOT(ISERROR(SEARCH("RECHAZADA",K748)))</formula>
    </cfRule>
    <cfRule type="containsText" dxfId="10178" priority="10189" operator="containsText" text="Atendida">
      <formula>NOT(ISERROR(SEARCH("Atendida",K748)))</formula>
    </cfRule>
    <cfRule type="containsText" dxfId="10177" priority="10190" operator="containsText" text="Reasignación">
      <formula>NOT(ISERROR(SEARCH("Reasignación",K748)))</formula>
    </cfRule>
    <cfRule type="containsText" dxfId="10176" priority="10191" operator="containsText" text="RECHAZADA">
      <formula>NOT(ISERROR(SEARCH("RECHAZADA",K748)))</formula>
    </cfRule>
    <cfRule type="containsText" dxfId="10175" priority="10192" operator="containsText" text="Atendida">
      <formula>NOT(ISERROR(SEARCH("Atendida",K748)))</formula>
    </cfRule>
    <cfRule type="containsText" dxfId="10174" priority="10193" operator="containsText" text="Reasignación">
      <formula>NOT(ISERROR(SEARCH("Reasignación",K748)))</formula>
    </cfRule>
    <cfRule type="containsText" dxfId="10173" priority="10194" operator="containsText" text="RECHAZADA">
      <formula>NOT(ISERROR(SEARCH("RECHAZADA",K748)))</formula>
    </cfRule>
    <cfRule type="containsText" dxfId="10172" priority="10195" operator="containsText" text="Atendida">
      <formula>NOT(ISERROR(SEARCH("Atendida",K748)))</formula>
    </cfRule>
  </conditionalFormatting>
  <conditionalFormatting sqref="K749">
    <cfRule type="containsText" dxfId="10171" priority="10168" operator="containsText" text="Atendida">
      <formula>NOT(ISERROR(SEARCH("Atendida",K749)))</formula>
    </cfRule>
    <cfRule type="containsText" dxfId="10170" priority="10169" operator="containsText" text="Reasignación">
      <formula>NOT(ISERROR(SEARCH("Reasignación",K749)))</formula>
    </cfRule>
    <cfRule type="containsText" dxfId="10169" priority="10170" operator="containsText" text="RECHAZADA">
      <formula>NOT(ISERROR(SEARCH("RECHAZADA",K749)))</formula>
    </cfRule>
    <cfRule type="containsText" dxfId="10168" priority="10171" operator="containsText" text="Atendida">
      <formula>NOT(ISERROR(SEARCH("Atendida",K749)))</formula>
    </cfRule>
    <cfRule type="containsText" dxfId="10167" priority="10172" operator="containsText" text="Reasignación">
      <formula>NOT(ISERROR(SEARCH("Reasignación",K749)))</formula>
    </cfRule>
    <cfRule type="containsText" dxfId="10166" priority="10173" operator="containsText" text="RECHAZADA">
      <formula>NOT(ISERROR(SEARCH("RECHAZADA",K749)))</formula>
    </cfRule>
    <cfRule type="containsText" dxfId="10165" priority="10174" operator="containsText" text="Atendida">
      <formula>NOT(ISERROR(SEARCH("Atendida",K749)))</formula>
    </cfRule>
    <cfRule type="containsText" dxfId="10164" priority="10175" operator="containsText" text="Reasignación">
      <formula>NOT(ISERROR(SEARCH("Reasignación",K749)))</formula>
    </cfRule>
    <cfRule type="containsText" dxfId="10163" priority="10176" operator="containsText" text="RECHAZADA">
      <formula>NOT(ISERROR(SEARCH("RECHAZADA",K749)))</formula>
    </cfRule>
    <cfRule type="containsText" dxfId="10162" priority="10177" operator="containsText" text="Atendida">
      <formula>NOT(ISERROR(SEARCH("Atendida",K749)))</formula>
    </cfRule>
    <cfRule type="containsText" dxfId="10161" priority="10178" operator="containsText" text="Reasignación">
      <formula>NOT(ISERROR(SEARCH("Reasignación",K749)))</formula>
    </cfRule>
    <cfRule type="containsText" dxfId="10160" priority="10179" operator="containsText" text="RECHAZADA">
      <formula>NOT(ISERROR(SEARCH("RECHAZADA",K749)))</formula>
    </cfRule>
    <cfRule type="containsText" dxfId="10159" priority="10180" operator="containsText" text="Atendida">
      <formula>NOT(ISERROR(SEARCH("Atendida",K749)))</formula>
    </cfRule>
  </conditionalFormatting>
  <conditionalFormatting sqref="K749">
    <cfRule type="containsText" dxfId="10158" priority="10166" operator="containsText" text="Reasignación">
      <formula>NOT(ISERROR(SEARCH("Reasignación",K749)))</formula>
    </cfRule>
    <cfRule type="containsText" dxfId="10157" priority="10167" operator="containsText" text="RECHAZADA">
      <formula>NOT(ISERROR(SEARCH("RECHAZADA",K749)))</formula>
    </cfRule>
  </conditionalFormatting>
  <conditionalFormatting sqref="B750:B754">
    <cfRule type="duplicateValues" dxfId="10156" priority="10165"/>
  </conditionalFormatting>
  <conditionalFormatting sqref="K750">
    <cfRule type="containsText" dxfId="10155" priority="10152" operator="containsText" text="Atendida">
      <formula>NOT(ISERROR(SEARCH("Atendida",K750)))</formula>
    </cfRule>
    <cfRule type="containsText" dxfId="10154" priority="10153" operator="containsText" text="Reasignación">
      <formula>NOT(ISERROR(SEARCH("Reasignación",K750)))</formula>
    </cfRule>
    <cfRule type="containsText" dxfId="10153" priority="10154" operator="containsText" text="RECHAZADA">
      <formula>NOT(ISERROR(SEARCH("RECHAZADA",K750)))</formula>
    </cfRule>
    <cfRule type="containsText" dxfId="10152" priority="10155" operator="containsText" text="Atendida">
      <formula>NOT(ISERROR(SEARCH("Atendida",K750)))</formula>
    </cfRule>
    <cfRule type="containsText" dxfId="10151" priority="10156" operator="containsText" text="Reasignación">
      <formula>NOT(ISERROR(SEARCH("Reasignación",K750)))</formula>
    </cfRule>
    <cfRule type="containsText" dxfId="10150" priority="10157" operator="containsText" text="RECHAZADA">
      <formula>NOT(ISERROR(SEARCH("RECHAZADA",K750)))</formula>
    </cfRule>
    <cfRule type="containsText" dxfId="10149" priority="10158" operator="containsText" text="Atendida">
      <formula>NOT(ISERROR(SEARCH("Atendida",K750)))</formula>
    </cfRule>
    <cfRule type="containsText" dxfId="10148" priority="10159" operator="containsText" text="Reasignación">
      <formula>NOT(ISERROR(SEARCH("Reasignación",K750)))</formula>
    </cfRule>
    <cfRule type="containsText" dxfId="10147" priority="10160" operator="containsText" text="RECHAZADA">
      <formula>NOT(ISERROR(SEARCH("RECHAZADA",K750)))</formula>
    </cfRule>
    <cfRule type="containsText" dxfId="10146" priority="10161" operator="containsText" text="Atendida">
      <formula>NOT(ISERROR(SEARCH("Atendida",K750)))</formula>
    </cfRule>
    <cfRule type="containsText" dxfId="10145" priority="10162" operator="containsText" text="Reasignación">
      <formula>NOT(ISERROR(SEARCH("Reasignación",K750)))</formula>
    </cfRule>
    <cfRule type="containsText" dxfId="10144" priority="10163" operator="containsText" text="RECHAZADA">
      <formula>NOT(ISERROR(SEARCH("RECHAZADA",K750)))</formula>
    </cfRule>
    <cfRule type="containsText" dxfId="10143" priority="10164" operator="containsText" text="Atendida">
      <formula>NOT(ISERROR(SEARCH("Atendida",K750)))</formula>
    </cfRule>
  </conditionalFormatting>
  <conditionalFormatting sqref="K750">
    <cfRule type="containsText" dxfId="10142" priority="10150" operator="containsText" text="Reasignación">
      <formula>NOT(ISERROR(SEARCH("Reasignación",K750)))</formula>
    </cfRule>
    <cfRule type="containsText" dxfId="10141" priority="10151" operator="containsText" text="RECHAZADA">
      <formula>NOT(ISERROR(SEARCH("RECHAZADA",K750)))</formula>
    </cfRule>
  </conditionalFormatting>
  <conditionalFormatting sqref="K751">
    <cfRule type="containsText" dxfId="10140" priority="10111" operator="containsText" text="Reasignación">
      <formula>NOT(ISERROR(SEARCH("Reasignación",K751)))</formula>
    </cfRule>
    <cfRule type="containsText" dxfId="10139" priority="10112" operator="containsText" text="RECHAZADA">
      <formula>NOT(ISERROR(SEARCH("RECHAZADA",K751)))</formula>
    </cfRule>
  </conditionalFormatting>
  <conditionalFormatting sqref="K751">
    <cfRule type="containsText" dxfId="10138" priority="10113" operator="containsText" text="Atendida">
      <formula>NOT(ISERROR(SEARCH("Atendida",K751)))</formula>
    </cfRule>
    <cfRule type="containsText" dxfId="10137" priority="10114" operator="containsText" text="Reasignación">
      <formula>NOT(ISERROR(SEARCH("Reasignación",K751)))</formula>
    </cfRule>
    <cfRule type="containsText" dxfId="10136" priority="10115" operator="containsText" text="RECHAZADA">
      <formula>NOT(ISERROR(SEARCH("RECHAZADA",K751)))</formula>
    </cfRule>
    <cfRule type="containsText" dxfId="10135" priority="10116" operator="containsText" text="Atendida">
      <formula>NOT(ISERROR(SEARCH("Atendida",K751)))</formula>
    </cfRule>
    <cfRule type="containsText" dxfId="10134" priority="10117" operator="containsText" text="Reasignación">
      <formula>NOT(ISERROR(SEARCH("Reasignación",K751)))</formula>
    </cfRule>
    <cfRule type="containsText" dxfId="10133" priority="10118" operator="containsText" text="RECHAZADA">
      <formula>NOT(ISERROR(SEARCH("RECHAZADA",K751)))</formula>
    </cfRule>
    <cfRule type="containsText" dxfId="10132" priority="10119" operator="containsText" text="Atendida">
      <formula>NOT(ISERROR(SEARCH("Atendida",K751)))</formula>
    </cfRule>
    <cfRule type="containsText" dxfId="10131" priority="10120" operator="containsText" text="Reasignación">
      <formula>NOT(ISERROR(SEARCH("Reasignación",K751)))</formula>
    </cfRule>
    <cfRule type="containsText" dxfId="10130" priority="10121" operator="containsText" text="RECHAZADA">
      <formula>NOT(ISERROR(SEARCH("RECHAZADA",K751)))</formula>
    </cfRule>
    <cfRule type="containsText" dxfId="10129" priority="10122" operator="containsText" text="Atendida">
      <formula>NOT(ISERROR(SEARCH("Atendida",K751)))</formula>
    </cfRule>
    <cfRule type="containsText" dxfId="10128" priority="10138" operator="containsText" text="Reasignación">
      <formula>NOT(ISERROR(SEARCH("Reasignación",K751)))</formula>
    </cfRule>
    <cfRule type="containsText" dxfId="10127" priority="10139" operator="containsText" text="RECHAZADA">
      <formula>NOT(ISERROR(SEARCH("RECHAZADA",K751)))</formula>
    </cfRule>
    <cfRule type="containsText" dxfId="10126" priority="10140" operator="containsText" text="Atendida">
      <formula>NOT(ISERROR(SEARCH("Atendida",K751)))</formula>
    </cfRule>
    <cfRule type="containsText" dxfId="10125" priority="10141" operator="containsText" text="Reasignación">
      <formula>NOT(ISERROR(SEARCH("Reasignación",K751)))</formula>
    </cfRule>
    <cfRule type="containsText" dxfId="10124" priority="10142" operator="containsText" text="RECHAZADA">
      <formula>NOT(ISERROR(SEARCH("RECHAZADA",K751)))</formula>
    </cfRule>
    <cfRule type="containsText" dxfId="10123" priority="10143" operator="containsText" text="Atendida">
      <formula>NOT(ISERROR(SEARCH("Atendida",K751)))</formula>
    </cfRule>
    <cfRule type="containsText" dxfId="10122" priority="10144" operator="containsText" text="Reasignación">
      <formula>NOT(ISERROR(SEARCH("Reasignación",K751)))</formula>
    </cfRule>
    <cfRule type="containsText" dxfId="10121" priority="10145" operator="containsText" text="RECHAZADA">
      <formula>NOT(ISERROR(SEARCH("RECHAZADA",K751)))</formula>
    </cfRule>
    <cfRule type="containsText" dxfId="10120" priority="10146" operator="containsText" text="Atendida">
      <formula>NOT(ISERROR(SEARCH("Atendida",K751)))</formula>
    </cfRule>
    <cfRule type="containsText" dxfId="10119" priority="10147" operator="containsText" text="Reasignación">
      <formula>NOT(ISERROR(SEARCH("Reasignación",K751)))</formula>
    </cfRule>
    <cfRule type="containsText" dxfId="10118" priority="10148" operator="containsText" text="RECHAZADA">
      <formula>NOT(ISERROR(SEARCH("RECHAZADA",K751)))</formula>
    </cfRule>
    <cfRule type="containsText" dxfId="10117" priority="10149" operator="containsText" text="Atendida">
      <formula>NOT(ISERROR(SEARCH("Atendida",K751)))</formula>
    </cfRule>
  </conditionalFormatting>
  <conditionalFormatting sqref="K751:K752">
    <cfRule type="containsText" dxfId="10116" priority="10135" operator="containsText" text="Reasignación">
      <formula>NOT(ISERROR(SEARCH("Reasignación",K751)))</formula>
    </cfRule>
    <cfRule type="containsText" dxfId="10115" priority="10136" operator="containsText" text="RECHAZADA">
      <formula>NOT(ISERROR(SEARCH("RECHAZADA",K751)))</formula>
    </cfRule>
    <cfRule type="containsText" dxfId="10114" priority="10137" operator="containsText" text="Atendida">
      <formula>NOT(ISERROR(SEARCH("Atendida",K751)))</formula>
    </cfRule>
  </conditionalFormatting>
  <conditionalFormatting sqref="K752">
    <cfRule type="containsText" dxfId="10113" priority="10125" operator="containsText" text="Atendida">
      <formula>NOT(ISERROR(SEARCH("Atendida",K752)))</formula>
    </cfRule>
    <cfRule type="containsText" dxfId="10112" priority="10126" operator="containsText" text="Reasignación">
      <formula>NOT(ISERROR(SEARCH("Reasignación",K752)))</formula>
    </cfRule>
    <cfRule type="containsText" dxfId="10111" priority="10127" operator="containsText" text="RECHAZADA">
      <formula>NOT(ISERROR(SEARCH("RECHAZADA",K752)))</formula>
    </cfRule>
    <cfRule type="containsText" dxfId="10110" priority="10128" operator="containsText" text="Atendida">
      <formula>NOT(ISERROR(SEARCH("Atendida",K752)))</formula>
    </cfRule>
    <cfRule type="containsText" dxfId="10109" priority="10129" operator="containsText" text="Reasignación">
      <formula>NOT(ISERROR(SEARCH("Reasignación",K752)))</formula>
    </cfRule>
    <cfRule type="containsText" dxfId="10108" priority="10130" operator="containsText" text="RECHAZADA">
      <formula>NOT(ISERROR(SEARCH("RECHAZADA",K752)))</formula>
    </cfRule>
    <cfRule type="containsText" dxfId="10107" priority="10131" operator="containsText" text="Atendida">
      <formula>NOT(ISERROR(SEARCH("Atendida",K752)))</formula>
    </cfRule>
    <cfRule type="containsText" dxfId="10106" priority="10132" operator="containsText" text="Reasignación">
      <formula>NOT(ISERROR(SEARCH("Reasignación",K752)))</formula>
    </cfRule>
    <cfRule type="containsText" dxfId="10105" priority="10133" operator="containsText" text="RECHAZADA">
      <formula>NOT(ISERROR(SEARCH("RECHAZADA",K752)))</formula>
    </cfRule>
    <cfRule type="containsText" dxfId="10104" priority="10134" operator="containsText" text="Atendida">
      <formula>NOT(ISERROR(SEARCH("Atendida",K752)))</formula>
    </cfRule>
  </conditionalFormatting>
  <conditionalFormatting sqref="K752">
    <cfRule type="containsText" dxfId="10103" priority="10123" operator="containsText" text="Reasignación">
      <formula>NOT(ISERROR(SEARCH("Reasignación",K752)))</formula>
    </cfRule>
    <cfRule type="containsText" dxfId="10102" priority="10124" operator="containsText" text="RECHAZADA">
      <formula>NOT(ISERROR(SEARCH("RECHAZADA",K752)))</formula>
    </cfRule>
  </conditionalFormatting>
  <conditionalFormatting sqref="K753">
    <cfRule type="containsText" dxfId="10101" priority="10096" operator="containsText" text="Reasignación">
      <formula>NOT(ISERROR(SEARCH("Reasignación",K753)))</formula>
    </cfRule>
    <cfRule type="containsText" dxfId="10100" priority="10097" operator="containsText" text="RECHAZADA">
      <formula>NOT(ISERROR(SEARCH("RECHAZADA",K753)))</formula>
    </cfRule>
    <cfRule type="containsText" dxfId="10099" priority="10098" operator="containsText" text="Atendida">
      <formula>NOT(ISERROR(SEARCH("Atendida",K753)))</formula>
    </cfRule>
  </conditionalFormatting>
  <conditionalFormatting sqref="K753">
    <cfRule type="containsText" dxfId="10098" priority="10102" operator="containsText" text="Reasignación">
      <formula>NOT(ISERROR(SEARCH("Reasignación",K753)))</formula>
    </cfRule>
    <cfRule type="containsText" dxfId="10097" priority="10103" operator="containsText" text="RECHAZADA">
      <formula>NOT(ISERROR(SEARCH("RECHAZADA",K753)))</formula>
    </cfRule>
    <cfRule type="containsText" dxfId="10096" priority="10104" operator="containsText" text="Atendida">
      <formula>NOT(ISERROR(SEARCH("Atendida",K753)))</formula>
    </cfRule>
    <cfRule type="containsText" dxfId="10095" priority="10105" operator="containsText" text="Reasignación">
      <formula>NOT(ISERROR(SEARCH("Reasignación",K753)))</formula>
    </cfRule>
    <cfRule type="containsText" dxfId="10094" priority="10106" operator="containsText" text="RECHAZADA">
      <formula>NOT(ISERROR(SEARCH("RECHAZADA",K753)))</formula>
    </cfRule>
    <cfRule type="containsText" dxfId="10093" priority="10107" operator="containsText" text="Atendida">
      <formula>NOT(ISERROR(SEARCH("Atendida",K753)))</formula>
    </cfRule>
    <cfRule type="containsText" dxfId="10092" priority="10108" operator="containsText" text="Reasignación">
      <formula>NOT(ISERROR(SEARCH("Reasignación",K753)))</formula>
    </cfRule>
    <cfRule type="containsText" dxfId="10091" priority="10109" operator="containsText" text="RECHAZADA">
      <formula>NOT(ISERROR(SEARCH("RECHAZADA",K753)))</formula>
    </cfRule>
    <cfRule type="containsText" dxfId="10090" priority="10110" operator="containsText" text="Atendida">
      <formula>NOT(ISERROR(SEARCH("Atendida",K753)))</formula>
    </cfRule>
  </conditionalFormatting>
  <conditionalFormatting sqref="K753">
    <cfRule type="containsText" dxfId="10089" priority="10099" operator="containsText" text="Reasignación">
      <formula>NOT(ISERROR(SEARCH("Reasignación",K753)))</formula>
    </cfRule>
    <cfRule type="containsText" dxfId="10088" priority="10100" operator="containsText" text="RECHAZADA">
      <formula>NOT(ISERROR(SEARCH("RECHAZADA",K753)))</formula>
    </cfRule>
    <cfRule type="containsText" dxfId="10087" priority="10101" operator="containsText" text="Atendida">
      <formula>NOT(ISERROR(SEARCH("Atendida",K753)))</formula>
    </cfRule>
  </conditionalFormatting>
  <conditionalFormatting sqref="M754">
    <cfRule type="containsText" dxfId="10086" priority="10095" operator="containsText" text="OBSERVADO">
      <formula>NOT(ISERROR(SEARCH("OBSERVADO",M754)))</formula>
    </cfRule>
  </conditionalFormatting>
  <conditionalFormatting sqref="K754">
    <cfRule type="containsText" dxfId="10085" priority="10080" operator="containsText" text="Reasignación">
      <formula>NOT(ISERROR(SEARCH("Reasignación",K754)))</formula>
    </cfRule>
    <cfRule type="containsText" dxfId="10084" priority="10081" operator="containsText" text="RECHAZADA">
      <formula>NOT(ISERROR(SEARCH("RECHAZADA",K754)))</formula>
    </cfRule>
    <cfRule type="containsText" dxfId="10083" priority="10082" operator="containsText" text="Atendida">
      <formula>NOT(ISERROR(SEARCH("Atendida",K754)))</formula>
    </cfRule>
  </conditionalFormatting>
  <conditionalFormatting sqref="K754">
    <cfRule type="containsText" dxfId="10082" priority="10086" operator="containsText" text="Reasignación">
      <formula>NOT(ISERROR(SEARCH("Reasignación",K754)))</formula>
    </cfRule>
    <cfRule type="containsText" dxfId="10081" priority="10087" operator="containsText" text="RECHAZADA">
      <formula>NOT(ISERROR(SEARCH("RECHAZADA",K754)))</formula>
    </cfRule>
    <cfRule type="containsText" dxfId="10080" priority="10088" operator="containsText" text="Atendida">
      <formula>NOT(ISERROR(SEARCH("Atendida",K754)))</formula>
    </cfRule>
    <cfRule type="containsText" dxfId="10079" priority="10089" operator="containsText" text="Reasignación">
      <formula>NOT(ISERROR(SEARCH("Reasignación",K754)))</formula>
    </cfRule>
    <cfRule type="containsText" dxfId="10078" priority="10090" operator="containsText" text="RECHAZADA">
      <formula>NOT(ISERROR(SEARCH("RECHAZADA",K754)))</formula>
    </cfRule>
    <cfRule type="containsText" dxfId="10077" priority="10091" operator="containsText" text="Atendida">
      <formula>NOT(ISERROR(SEARCH("Atendida",K754)))</formula>
    </cfRule>
    <cfRule type="containsText" dxfId="10076" priority="10092" operator="containsText" text="Reasignación">
      <formula>NOT(ISERROR(SEARCH("Reasignación",K754)))</formula>
    </cfRule>
    <cfRule type="containsText" dxfId="10075" priority="10093" operator="containsText" text="RECHAZADA">
      <formula>NOT(ISERROR(SEARCH("RECHAZADA",K754)))</formula>
    </cfRule>
    <cfRule type="containsText" dxfId="10074" priority="10094" operator="containsText" text="Atendida">
      <formula>NOT(ISERROR(SEARCH("Atendida",K754)))</formula>
    </cfRule>
  </conditionalFormatting>
  <conditionalFormatting sqref="K754">
    <cfRule type="containsText" dxfId="10073" priority="10083" operator="containsText" text="Reasignación">
      <formula>NOT(ISERROR(SEARCH("Reasignación",K754)))</formula>
    </cfRule>
    <cfRule type="containsText" dxfId="10072" priority="10084" operator="containsText" text="RECHAZADA">
      <formula>NOT(ISERROR(SEARCH("RECHAZADA",K754)))</formula>
    </cfRule>
    <cfRule type="containsText" dxfId="10071" priority="10085" operator="containsText" text="Atendida">
      <formula>NOT(ISERROR(SEARCH("Atendida",K754)))</formula>
    </cfRule>
  </conditionalFormatting>
  <conditionalFormatting sqref="E755:E760">
    <cfRule type="duplicateValues" dxfId="10070" priority="10074"/>
  </conditionalFormatting>
  <conditionalFormatting sqref="M755:M760">
    <cfRule type="containsText" dxfId="10069" priority="10078" operator="containsText" text="Atendida">
      <formula>NOT(ISERROR(SEARCH("Atendida",M755)))</formula>
    </cfRule>
  </conditionalFormatting>
  <conditionalFormatting sqref="M755:M760">
    <cfRule type="containsText" dxfId="10068" priority="10076" operator="containsText" text="CONFORME">
      <formula>NOT(ISERROR(SEARCH("CONFORME",M755)))</formula>
    </cfRule>
  </conditionalFormatting>
  <conditionalFormatting sqref="M755">
    <cfRule type="containsText" dxfId="10067" priority="10075" operator="containsText" text="OBSERVADO">
      <formula>NOT(ISERROR(SEARCH("OBSERVADO",M755)))</formula>
    </cfRule>
    <cfRule type="containsText" dxfId="10066" priority="10077" operator="containsText" text="RECHAZADA">
      <formula>NOT(ISERROR(SEARCH("RECHAZADA",M755)))</formula>
    </cfRule>
  </conditionalFormatting>
  <conditionalFormatting sqref="B755">
    <cfRule type="duplicateValues" dxfId="10065" priority="10079"/>
  </conditionalFormatting>
  <conditionalFormatting sqref="K755">
    <cfRule type="containsText" dxfId="10064" priority="10059" operator="containsText" text="Reasignación">
      <formula>NOT(ISERROR(SEARCH("Reasignación",K755)))</formula>
    </cfRule>
    <cfRule type="containsText" dxfId="10063" priority="10060" operator="containsText" text="RECHAZADA">
      <formula>NOT(ISERROR(SEARCH("RECHAZADA",K755)))</formula>
    </cfRule>
    <cfRule type="containsText" dxfId="10062" priority="10061" operator="containsText" text="Atendida">
      <formula>NOT(ISERROR(SEARCH("Atendida",K755)))</formula>
    </cfRule>
  </conditionalFormatting>
  <conditionalFormatting sqref="K755">
    <cfRule type="containsText" dxfId="10061" priority="10062" operator="containsText" text="Reasignación">
      <formula>NOT(ISERROR(SEARCH("Reasignación",K755)))</formula>
    </cfRule>
    <cfRule type="containsText" dxfId="10060" priority="10063" operator="containsText" text="RECHAZADA">
      <formula>NOT(ISERROR(SEARCH("RECHAZADA",K755)))</formula>
    </cfRule>
    <cfRule type="containsText" dxfId="10059" priority="10064" operator="containsText" text="Atendida">
      <formula>NOT(ISERROR(SEARCH("Atendida",K755)))</formula>
    </cfRule>
    <cfRule type="containsText" dxfId="10058" priority="10065" operator="containsText" text="Reasignación">
      <formula>NOT(ISERROR(SEARCH("Reasignación",K755)))</formula>
    </cfRule>
    <cfRule type="containsText" dxfId="10057" priority="10066" operator="containsText" text="RECHAZADA">
      <formula>NOT(ISERROR(SEARCH("RECHAZADA",K755)))</formula>
    </cfRule>
    <cfRule type="containsText" dxfId="10056" priority="10067" operator="containsText" text="Atendida">
      <formula>NOT(ISERROR(SEARCH("Atendida",K755)))</formula>
    </cfRule>
    <cfRule type="containsText" dxfId="10055" priority="10068" operator="containsText" text="Reasignación">
      <formula>NOT(ISERROR(SEARCH("Reasignación",K755)))</formula>
    </cfRule>
    <cfRule type="containsText" dxfId="10054" priority="10069" operator="containsText" text="RECHAZADA">
      <formula>NOT(ISERROR(SEARCH("RECHAZADA",K755)))</formula>
    </cfRule>
    <cfRule type="containsText" dxfId="10053" priority="10070" operator="containsText" text="Atendida">
      <formula>NOT(ISERROR(SEARCH("Atendida",K755)))</formula>
    </cfRule>
    <cfRule type="containsText" dxfId="10052" priority="10071" operator="containsText" text="Reasignación">
      <formula>NOT(ISERROR(SEARCH("Reasignación",K755)))</formula>
    </cfRule>
    <cfRule type="containsText" dxfId="10051" priority="10072" operator="containsText" text="RECHAZADA">
      <formula>NOT(ISERROR(SEARCH("RECHAZADA",K755)))</formula>
    </cfRule>
    <cfRule type="containsText" dxfId="10050" priority="10073" operator="containsText" text="Atendida">
      <formula>NOT(ISERROR(SEARCH("Atendida",K755)))</formula>
    </cfRule>
  </conditionalFormatting>
  <conditionalFormatting sqref="K755">
    <cfRule type="containsText" dxfId="10049" priority="10051" operator="containsText" text="RECHAZADA">
      <formula>NOT(ISERROR(SEARCH("RECHAZADA",K755)))</formula>
    </cfRule>
    <cfRule type="containsText" dxfId="10048" priority="10052" operator="containsText" text="Atendida">
      <formula>NOT(ISERROR(SEARCH("Atendida",K755)))</formula>
    </cfRule>
    <cfRule type="containsText" dxfId="10047" priority="10053" operator="containsText" text="Reasignación">
      <formula>NOT(ISERROR(SEARCH("Reasignación",K755)))</formula>
    </cfRule>
    <cfRule type="containsText" dxfId="10046" priority="10054" operator="containsText" text="RECHAZADA">
      <formula>NOT(ISERROR(SEARCH("RECHAZADA",K755)))</formula>
    </cfRule>
    <cfRule type="containsText" dxfId="10045" priority="10055" operator="containsText" text="Atendida">
      <formula>NOT(ISERROR(SEARCH("Atendida",K755)))</formula>
    </cfRule>
    <cfRule type="containsText" dxfId="10044" priority="10056" operator="containsText" text="Reasignación">
      <formula>NOT(ISERROR(SEARCH("Reasignación",K755)))</formula>
    </cfRule>
    <cfRule type="containsText" dxfId="10043" priority="10057" operator="containsText" text="RECHAZADA">
      <formula>NOT(ISERROR(SEARCH("RECHAZADA",K755)))</formula>
    </cfRule>
    <cfRule type="containsText" dxfId="10042" priority="10058" operator="containsText" text="Atendida">
      <formula>NOT(ISERROR(SEARCH("Atendida",K755)))</formula>
    </cfRule>
  </conditionalFormatting>
  <conditionalFormatting sqref="K755">
    <cfRule type="containsText" dxfId="10041" priority="10050" operator="containsText" text="Reasignación">
      <formula>NOT(ISERROR(SEARCH("Reasignación",K755)))</formula>
    </cfRule>
  </conditionalFormatting>
  <conditionalFormatting sqref="K755">
    <cfRule type="containsText" dxfId="10040" priority="10049" operator="containsText" text="Atendida">
      <formula>NOT(ISERROR(SEARCH("Atendida",K755)))</formula>
    </cfRule>
  </conditionalFormatting>
  <conditionalFormatting sqref="K755">
    <cfRule type="containsText" dxfId="10039" priority="10047" operator="containsText" text="Reasignación">
      <formula>NOT(ISERROR(SEARCH("Reasignación",K755)))</formula>
    </cfRule>
    <cfRule type="containsText" dxfId="10038" priority="10048" operator="containsText" text="RECHAZADA">
      <formula>NOT(ISERROR(SEARCH("RECHAZADA",K755)))</formula>
    </cfRule>
  </conditionalFormatting>
  <conditionalFormatting sqref="K755">
    <cfRule type="containsText" dxfId="10037" priority="10035" operator="containsText" text="Reasignación">
      <formula>NOT(ISERROR(SEARCH("Reasignación",K755)))</formula>
    </cfRule>
    <cfRule type="containsText" dxfId="10036" priority="10036" operator="containsText" text="RECHAZADA">
      <formula>NOT(ISERROR(SEARCH("RECHAZADA",K755)))</formula>
    </cfRule>
    <cfRule type="containsText" dxfId="10035" priority="10037" operator="containsText" text="Atendida">
      <formula>NOT(ISERROR(SEARCH("Atendida",K755)))</formula>
    </cfRule>
    <cfRule type="containsText" dxfId="10034" priority="10038" operator="containsText" text="Reasignación">
      <formula>NOT(ISERROR(SEARCH("Reasignación",K755)))</formula>
    </cfRule>
    <cfRule type="containsText" dxfId="10033" priority="10039" operator="containsText" text="RECHAZADA">
      <formula>NOT(ISERROR(SEARCH("RECHAZADA",K755)))</formula>
    </cfRule>
    <cfRule type="containsText" dxfId="10032" priority="10040" operator="containsText" text="Atendida">
      <formula>NOT(ISERROR(SEARCH("Atendida",K755)))</formula>
    </cfRule>
    <cfRule type="containsText" dxfId="10031" priority="10041" operator="containsText" text="Reasignación">
      <formula>NOT(ISERROR(SEARCH("Reasignación",K755)))</formula>
    </cfRule>
    <cfRule type="containsText" dxfId="10030" priority="10042" operator="containsText" text="RECHAZADA">
      <formula>NOT(ISERROR(SEARCH("RECHAZADA",K755)))</formula>
    </cfRule>
    <cfRule type="containsText" dxfId="10029" priority="10043" operator="containsText" text="Atendida">
      <formula>NOT(ISERROR(SEARCH("Atendida",K755)))</formula>
    </cfRule>
    <cfRule type="containsText" dxfId="10028" priority="10044" operator="containsText" text="Reasignación">
      <formula>NOT(ISERROR(SEARCH("Reasignación",K755)))</formula>
    </cfRule>
    <cfRule type="containsText" dxfId="10027" priority="10045" operator="containsText" text="RECHAZADA">
      <formula>NOT(ISERROR(SEARCH("RECHAZADA",K755)))</formula>
    </cfRule>
    <cfRule type="containsText" dxfId="10026" priority="10046" operator="containsText" text="Atendida">
      <formula>NOT(ISERROR(SEARCH("Atendida",K755)))</formula>
    </cfRule>
  </conditionalFormatting>
  <conditionalFormatting sqref="K755">
    <cfRule type="containsText" dxfId="10025" priority="10027" operator="containsText" text="RECHAZADA">
      <formula>NOT(ISERROR(SEARCH("RECHAZADA",K755)))</formula>
    </cfRule>
    <cfRule type="containsText" dxfId="10024" priority="10028" operator="containsText" text="Atendida">
      <formula>NOT(ISERROR(SEARCH("Atendida",K755)))</formula>
    </cfRule>
    <cfRule type="containsText" dxfId="10023" priority="10029" operator="containsText" text="Reasignación">
      <formula>NOT(ISERROR(SEARCH("Reasignación",K755)))</formula>
    </cfRule>
    <cfRule type="containsText" dxfId="10022" priority="10030" operator="containsText" text="RECHAZADA">
      <formula>NOT(ISERROR(SEARCH("RECHAZADA",K755)))</formula>
    </cfRule>
    <cfRule type="containsText" dxfId="10021" priority="10031" operator="containsText" text="Atendida">
      <formula>NOT(ISERROR(SEARCH("Atendida",K755)))</formula>
    </cfRule>
    <cfRule type="containsText" dxfId="10020" priority="10032" operator="containsText" text="Reasignación">
      <formula>NOT(ISERROR(SEARCH("Reasignación",K755)))</formula>
    </cfRule>
    <cfRule type="containsText" dxfId="10019" priority="10033" operator="containsText" text="RECHAZADA">
      <formula>NOT(ISERROR(SEARCH("RECHAZADA",K755)))</formula>
    </cfRule>
    <cfRule type="containsText" dxfId="10018" priority="10034" operator="containsText" text="Atendida">
      <formula>NOT(ISERROR(SEARCH("Atendida",K755)))</formula>
    </cfRule>
  </conditionalFormatting>
  <conditionalFormatting sqref="K755">
    <cfRule type="containsText" dxfId="10017" priority="10023" operator="containsText" text="Reasignación">
      <formula>NOT(ISERROR(SEARCH("Reasignación",K755)))</formula>
    </cfRule>
    <cfRule type="containsText" dxfId="10016" priority="10024" operator="containsText" text="RECHAZADA">
      <formula>NOT(ISERROR(SEARCH("RECHAZADA",K755)))</formula>
    </cfRule>
  </conditionalFormatting>
  <conditionalFormatting sqref="K755">
    <cfRule type="containsText" dxfId="10015" priority="10026" operator="containsText" text="Reasignación">
      <formula>NOT(ISERROR(SEARCH("Reasignación",K755)))</formula>
    </cfRule>
  </conditionalFormatting>
  <conditionalFormatting sqref="K755">
    <cfRule type="containsText" dxfId="10014" priority="10025" operator="containsText" text="Atendida">
      <formula>NOT(ISERROR(SEARCH("Atendida",K755)))</formula>
    </cfRule>
  </conditionalFormatting>
  <conditionalFormatting sqref="K755">
    <cfRule type="containsText" dxfId="10013" priority="9998" operator="containsText" text="Reasignación">
      <formula>NOT(ISERROR(SEARCH("Reasignación",K755)))</formula>
    </cfRule>
    <cfRule type="containsText" dxfId="10012" priority="9999" operator="containsText" text="RECHAZADA">
      <formula>NOT(ISERROR(SEARCH("RECHAZADA",K755)))</formula>
    </cfRule>
    <cfRule type="containsText" dxfId="10011" priority="10000" operator="containsText" text="Atendida">
      <formula>NOT(ISERROR(SEARCH("Atendida",K755)))</formula>
    </cfRule>
    <cfRule type="containsText" dxfId="10010" priority="10001" operator="containsText" text="Reasignación">
      <formula>NOT(ISERROR(SEARCH("Reasignación",K755)))</formula>
    </cfRule>
    <cfRule type="containsText" dxfId="10009" priority="10002" operator="containsText" text="RECHAZADA">
      <formula>NOT(ISERROR(SEARCH("RECHAZADA",K755)))</formula>
    </cfRule>
    <cfRule type="containsText" dxfId="10008" priority="10003" operator="containsText" text="Atendida">
      <formula>NOT(ISERROR(SEARCH("Atendida",K755)))</formula>
    </cfRule>
    <cfRule type="containsText" dxfId="10007" priority="10004" operator="containsText" text="Reasignación">
      <formula>NOT(ISERROR(SEARCH("Reasignación",K755)))</formula>
    </cfRule>
    <cfRule type="containsText" dxfId="10006" priority="10005" operator="containsText" text="RECHAZADA">
      <formula>NOT(ISERROR(SEARCH("RECHAZADA",K755)))</formula>
    </cfRule>
    <cfRule type="containsText" dxfId="10005" priority="10006" operator="containsText" text="Atendida">
      <formula>NOT(ISERROR(SEARCH("Atendida",K755)))</formula>
    </cfRule>
    <cfRule type="containsText" dxfId="10004" priority="10007" operator="containsText" text="Reasignación">
      <formula>NOT(ISERROR(SEARCH("Reasignación",K755)))</formula>
    </cfRule>
    <cfRule type="containsText" dxfId="10003" priority="10008" operator="containsText" text="RECHAZADA">
      <formula>NOT(ISERROR(SEARCH("RECHAZADA",K755)))</formula>
    </cfRule>
    <cfRule type="containsText" dxfId="10002" priority="10009" operator="containsText" text="Atendida">
      <formula>NOT(ISERROR(SEARCH("Atendida",K755)))</formula>
    </cfRule>
    <cfRule type="containsText" dxfId="10001" priority="10010" operator="containsText" text="Reasignación">
      <formula>NOT(ISERROR(SEARCH("Reasignación",K755)))</formula>
    </cfRule>
    <cfRule type="containsText" dxfId="10000" priority="10011" operator="containsText" text="RECHAZADA">
      <formula>NOT(ISERROR(SEARCH("RECHAZADA",K755)))</formula>
    </cfRule>
    <cfRule type="containsText" dxfId="9999" priority="10012" operator="containsText" text="Atendida">
      <formula>NOT(ISERROR(SEARCH("Atendida",K755)))</formula>
    </cfRule>
    <cfRule type="containsText" dxfId="9998" priority="10013" operator="containsText" text="Reasignación">
      <formula>NOT(ISERROR(SEARCH("Reasignación",K755)))</formula>
    </cfRule>
    <cfRule type="containsText" dxfId="9997" priority="10014" operator="containsText" text="RECHAZADA">
      <formula>NOT(ISERROR(SEARCH("RECHAZADA",K755)))</formula>
    </cfRule>
    <cfRule type="containsText" dxfId="9996" priority="10015" operator="containsText" text="Atendida">
      <formula>NOT(ISERROR(SEARCH("Atendida",K755)))</formula>
    </cfRule>
    <cfRule type="containsText" dxfId="9995" priority="10016" operator="containsText" text="Reasignación">
      <formula>NOT(ISERROR(SEARCH("Reasignación",K755)))</formula>
    </cfRule>
    <cfRule type="containsText" dxfId="9994" priority="10017" operator="containsText" text="RECHAZADA">
      <formula>NOT(ISERROR(SEARCH("RECHAZADA",K755)))</formula>
    </cfRule>
    <cfRule type="containsText" dxfId="9993" priority="10018" operator="containsText" text="Atendida">
      <formula>NOT(ISERROR(SEARCH("Atendida",K755)))</formula>
    </cfRule>
    <cfRule type="containsText" dxfId="9992" priority="10019" operator="containsText" text="Reasignación">
      <formula>NOT(ISERROR(SEARCH("Reasignación",K755)))</formula>
    </cfRule>
    <cfRule type="containsText" dxfId="9991" priority="10020" operator="containsText" text="RECHAZADA">
      <formula>NOT(ISERROR(SEARCH("RECHAZADA",K755)))</formula>
    </cfRule>
    <cfRule type="containsText" dxfId="9990" priority="10021" operator="containsText" text="Atendida">
      <formula>NOT(ISERROR(SEARCH("Atendida",K755)))</formula>
    </cfRule>
    <cfRule type="containsText" dxfId="9989" priority="10022" operator="containsText" text="Atendida">
      <formula>NOT(ISERROR(SEARCH("Atendida",K755)))</formula>
    </cfRule>
  </conditionalFormatting>
  <conditionalFormatting sqref="K756">
    <cfRule type="containsText" dxfId="9988" priority="9982" operator="containsText" text="Reasignación">
      <formula>NOT(ISERROR(SEARCH("Reasignación",K756)))</formula>
    </cfRule>
    <cfRule type="containsText" dxfId="9987" priority="9983" operator="containsText" text="RECHAZADA">
      <formula>NOT(ISERROR(SEARCH("RECHAZADA",K756)))</formula>
    </cfRule>
    <cfRule type="containsText" dxfId="9986" priority="9984" operator="containsText" text="Atendida">
      <formula>NOT(ISERROR(SEARCH("Atendida",K756)))</formula>
    </cfRule>
  </conditionalFormatting>
  <conditionalFormatting sqref="K756">
    <cfRule type="containsText" dxfId="9985" priority="9985" operator="containsText" text="Reasignación">
      <formula>NOT(ISERROR(SEARCH("Reasignación",K756)))</formula>
    </cfRule>
    <cfRule type="containsText" dxfId="9984" priority="9986" operator="containsText" text="RECHAZADA">
      <formula>NOT(ISERROR(SEARCH("RECHAZADA",K756)))</formula>
    </cfRule>
    <cfRule type="containsText" dxfId="9983" priority="9987" operator="containsText" text="Atendida">
      <formula>NOT(ISERROR(SEARCH("Atendida",K756)))</formula>
    </cfRule>
    <cfRule type="containsText" dxfId="9982" priority="9988" operator="containsText" text="Reasignación">
      <formula>NOT(ISERROR(SEARCH("Reasignación",K756)))</formula>
    </cfRule>
    <cfRule type="containsText" dxfId="9981" priority="9989" operator="containsText" text="RECHAZADA">
      <formula>NOT(ISERROR(SEARCH("RECHAZADA",K756)))</formula>
    </cfRule>
    <cfRule type="containsText" dxfId="9980" priority="9990" operator="containsText" text="Atendida">
      <formula>NOT(ISERROR(SEARCH("Atendida",K756)))</formula>
    </cfRule>
    <cfRule type="containsText" dxfId="9979" priority="9991" operator="containsText" text="Reasignación">
      <formula>NOT(ISERROR(SEARCH("Reasignación",K756)))</formula>
    </cfRule>
    <cfRule type="containsText" dxfId="9978" priority="9992" operator="containsText" text="RECHAZADA">
      <formula>NOT(ISERROR(SEARCH("RECHAZADA",K756)))</formula>
    </cfRule>
    <cfRule type="containsText" dxfId="9977" priority="9993" operator="containsText" text="Atendida">
      <formula>NOT(ISERROR(SEARCH("Atendida",K756)))</formula>
    </cfRule>
    <cfRule type="containsText" dxfId="9976" priority="9994" operator="containsText" text="Reasignación">
      <formula>NOT(ISERROR(SEARCH("Reasignación",K756)))</formula>
    </cfRule>
    <cfRule type="containsText" dxfId="9975" priority="9995" operator="containsText" text="RECHAZADA">
      <formula>NOT(ISERROR(SEARCH("RECHAZADA",K756)))</formula>
    </cfRule>
    <cfRule type="containsText" dxfId="9974" priority="9996" operator="containsText" text="Atendida">
      <formula>NOT(ISERROR(SEARCH("Atendida",K756)))</formula>
    </cfRule>
  </conditionalFormatting>
  <conditionalFormatting sqref="M756:M760">
    <cfRule type="containsText" dxfId="9973" priority="9981" operator="containsText" text="RECHAZADA">
      <formula>NOT(ISERROR(SEARCH("RECHAZADA",M756)))</formula>
    </cfRule>
  </conditionalFormatting>
  <conditionalFormatting sqref="M756:M760">
    <cfRule type="containsText" dxfId="9972" priority="9980" operator="containsText" text="OBSERVADO">
      <formula>NOT(ISERROR(SEARCH("OBSERVADO",M756)))</formula>
    </cfRule>
  </conditionalFormatting>
  <conditionalFormatting sqref="K756">
    <cfRule type="containsText" dxfId="9971" priority="9972" operator="containsText" text="RECHAZADA">
      <formula>NOT(ISERROR(SEARCH("RECHAZADA",K756)))</formula>
    </cfRule>
    <cfRule type="containsText" dxfId="9970" priority="9973" operator="containsText" text="Atendida">
      <formula>NOT(ISERROR(SEARCH("Atendida",K756)))</formula>
    </cfRule>
    <cfRule type="containsText" dxfId="9969" priority="9974" operator="containsText" text="Reasignación">
      <formula>NOT(ISERROR(SEARCH("Reasignación",K756)))</formula>
    </cfRule>
    <cfRule type="containsText" dxfId="9968" priority="9975" operator="containsText" text="RECHAZADA">
      <formula>NOT(ISERROR(SEARCH("RECHAZADA",K756)))</formula>
    </cfRule>
    <cfRule type="containsText" dxfId="9967" priority="9976" operator="containsText" text="Atendida">
      <formula>NOT(ISERROR(SEARCH("Atendida",K756)))</formula>
    </cfRule>
    <cfRule type="containsText" dxfId="9966" priority="9977" operator="containsText" text="Reasignación">
      <formula>NOT(ISERROR(SEARCH("Reasignación",K756)))</formula>
    </cfRule>
    <cfRule type="containsText" dxfId="9965" priority="9978" operator="containsText" text="RECHAZADA">
      <formula>NOT(ISERROR(SEARCH("RECHAZADA",K756)))</formula>
    </cfRule>
    <cfRule type="containsText" dxfId="9964" priority="9979" operator="containsText" text="Atendida">
      <formula>NOT(ISERROR(SEARCH("Atendida",K756)))</formula>
    </cfRule>
  </conditionalFormatting>
  <conditionalFormatting sqref="K756">
    <cfRule type="containsText" dxfId="9963" priority="9971" operator="containsText" text="Reasignación">
      <formula>NOT(ISERROR(SEARCH("Reasignación",K756)))</formula>
    </cfRule>
  </conditionalFormatting>
  <conditionalFormatting sqref="K756">
    <cfRule type="containsText" dxfId="9962" priority="9970" operator="containsText" text="Atendida">
      <formula>NOT(ISERROR(SEARCH("Atendida",K756)))</formula>
    </cfRule>
  </conditionalFormatting>
  <conditionalFormatting sqref="K756">
    <cfRule type="containsText" dxfId="9961" priority="9968" operator="containsText" text="Reasignación">
      <formula>NOT(ISERROR(SEARCH("Reasignación",K756)))</formula>
    </cfRule>
    <cfRule type="containsText" dxfId="9960" priority="9969" operator="containsText" text="RECHAZADA">
      <formula>NOT(ISERROR(SEARCH("RECHAZADA",K756)))</formula>
    </cfRule>
  </conditionalFormatting>
  <conditionalFormatting sqref="K756">
    <cfRule type="containsText" dxfId="9959" priority="9956" operator="containsText" text="Reasignación">
      <formula>NOT(ISERROR(SEARCH("Reasignación",K756)))</formula>
    </cfRule>
    <cfRule type="containsText" dxfId="9958" priority="9957" operator="containsText" text="RECHAZADA">
      <formula>NOT(ISERROR(SEARCH("RECHAZADA",K756)))</formula>
    </cfRule>
    <cfRule type="containsText" dxfId="9957" priority="9958" operator="containsText" text="Atendida">
      <formula>NOT(ISERROR(SEARCH("Atendida",K756)))</formula>
    </cfRule>
    <cfRule type="containsText" dxfId="9956" priority="9959" operator="containsText" text="Reasignación">
      <formula>NOT(ISERROR(SEARCH("Reasignación",K756)))</formula>
    </cfRule>
    <cfRule type="containsText" dxfId="9955" priority="9960" operator="containsText" text="RECHAZADA">
      <formula>NOT(ISERROR(SEARCH("RECHAZADA",K756)))</formula>
    </cfRule>
    <cfRule type="containsText" dxfId="9954" priority="9961" operator="containsText" text="Atendida">
      <formula>NOT(ISERROR(SEARCH("Atendida",K756)))</formula>
    </cfRule>
    <cfRule type="containsText" dxfId="9953" priority="9962" operator="containsText" text="Reasignación">
      <formula>NOT(ISERROR(SEARCH("Reasignación",K756)))</formula>
    </cfRule>
    <cfRule type="containsText" dxfId="9952" priority="9963" operator="containsText" text="RECHAZADA">
      <formula>NOT(ISERROR(SEARCH("RECHAZADA",K756)))</formula>
    </cfRule>
    <cfRule type="containsText" dxfId="9951" priority="9964" operator="containsText" text="Atendida">
      <formula>NOT(ISERROR(SEARCH("Atendida",K756)))</formula>
    </cfRule>
    <cfRule type="containsText" dxfId="9950" priority="9965" operator="containsText" text="Reasignación">
      <formula>NOT(ISERROR(SEARCH("Reasignación",K756)))</formula>
    </cfRule>
    <cfRule type="containsText" dxfId="9949" priority="9966" operator="containsText" text="RECHAZADA">
      <formula>NOT(ISERROR(SEARCH("RECHAZADA",K756)))</formula>
    </cfRule>
    <cfRule type="containsText" dxfId="9948" priority="9967" operator="containsText" text="Atendida">
      <formula>NOT(ISERROR(SEARCH("Atendida",K756)))</formula>
    </cfRule>
  </conditionalFormatting>
  <conditionalFormatting sqref="K756">
    <cfRule type="containsText" dxfId="9947" priority="9948" operator="containsText" text="RECHAZADA">
      <formula>NOT(ISERROR(SEARCH("RECHAZADA",K756)))</formula>
    </cfRule>
    <cfRule type="containsText" dxfId="9946" priority="9949" operator="containsText" text="Atendida">
      <formula>NOT(ISERROR(SEARCH("Atendida",K756)))</formula>
    </cfRule>
    <cfRule type="containsText" dxfId="9945" priority="9950" operator="containsText" text="Reasignación">
      <formula>NOT(ISERROR(SEARCH("Reasignación",K756)))</formula>
    </cfRule>
    <cfRule type="containsText" dxfId="9944" priority="9951" operator="containsText" text="RECHAZADA">
      <formula>NOT(ISERROR(SEARCH("RECHAZADA",K756)))</formula>
    </cfRule>
    <cfRule type="containsText" dxfId="9943" priority="9952" operator="containsText" text="Atendida">
      <formula>NOT(ISERROR(SEARCH("Atendida",K756)))</formula>
    </cfRule>
    <cfRule type="containsText" dxfId="9942" priority="9953" operator="containsText" text="Reasignación">
      <formula>NOT(ISERROR(SEARCH("Reasignación",K756)))</formula>
    </cfRule>
    <cfRule type="containsText" dxfId="9941" priority="9954" operator="containsText" text="RECHAZADA">
      <formula>NOT(ISERROR(SEARCH("RECHAZADA",K756)))</formula>
    </cfRule>
    <cfRule type="containsText" dxfId="9940" priority="9955" operator="containsText" text="Atendida">
      <formula>NOT(ISERROR(SEARCH("Atendida",K756)))</formula>
    </cfRule>
  </conditionalFormatting>
  <conditionalFormatting sqref="K756">
    <cfRule type="containsText" dxfId="9939" priority="9944" operator="containsText" text="Reasignación">
      <formula>NOT(ISERROR(SEARCH("Reasignación",K756)))</formula>
    </cfRule>
    <cfRule type="containsText" dxfId="9938" priority="9945" operator="containsText" text="RECHAZADA">
      <formula>NOT(ISERROR(SEARCH("RECHAZADA",K756)))</formula>
    </cfRule>
  </conditionalFormatting>
  <conditionalFormatting sqref="K756">
    <cfRule type="containsText" dxfId="9937" priority="9947" operator="containsText" text="Reasignación">
      <formula>NOT(ISERROR(SEARCH("Reasignación",K756)))</formula>
    </cfRule>
  </conditionalFormatting>
  <conditionalFormatting sqref="K756">
    <cfRule type="containsText" dxfId="9936" priority="9946" operator="containsText" text="Atendida">
      <formula>NOT(ISERROR(SEARCH("Atendida",K756)))</formula>
    </cfRule>
  </conditionalFormatting>
  <conditionalFormatting sqref="K756">
    <cfRule type="containsText" dxfId="9935" priority="9919" operator="containsText" text="Reasignación">
      <formula>NOT(ISERROR(SEARCH("Reasignación",K756)))</formula>
    </cfRule>
    <cfRule type="containsText" dxfId="9934" priority="9920" operator="containsText" text="RECHAZADA">
      <formula>NOT(ISERROR(SEARCH("RECHAZADA",K756)))</formula>
    </cfRule>
    <cfRule type="containsText" dxfId="9933" priority="9921" operator="containsText" text="Atendida">
      <formula>NOT(ISERROR(SEARCH("Atendida",K756)))</formula>
    </cfRule>
    <cfRule type="containsText" dxfId="9932" priority="9922" operator="containsText" text="Reasignación">
      <formula>NOT(ISERROR(SEARCH("Reasignación",K756)))</formula>
    </cfRule>
    <cfRule type="containsText" dxfId="9931" priority="9923" operator="containsText" text="RECHAZADA">
      <formula>NOT(ISERROR(SEARCH("RECHAZADA",K756)))</formula>
    </cfRule>
    <cfRule type="containsText" dxfId="9930" priority="9924" operator="containsText" text="Atendida">
      <formula>NOT(ISERROR(SEARCH("Atendida",K756)))</formula>
    </cfRule>
    <cfRule type="containsText" dxfId="9929" priority="9925" operator="containsText" text="Reasignación">
      <formula>NOT(ISERROR(SEARCH("Reasignación",K756)))</formula>
    </cfRule>
    <cfRule type="containsText" dxfId="9928" priority="9926" operator="containsText" text="RECHAZADA">
      <formula>NOT(ISERROR(SEARCH("RECHAZADA",K756)))</formula>
    </cfRule>
    <cfRule type="containsText" dxfId="9927" priority="9927" operator="containsText" text="Atendida">
      <formula>NOT(ISERROR(SEARCH("Atendida",K756)))</formula>
    </cfRule>
    <cfRule type="containsText" dxfId="9926" priority="9928" operator="containsText" text="Reasignación">
      <formula>NOT(ISERROR(SEARCH("Reasignación",K756)))</formula>
    </cfRule>
    <cfRule type="containsText" dxfId="9925" priority="9929" operator="containsText" text="RECHAZADA">
      <formula>NOT(ISERROR(SEARCH("RECHAZADA",K756)))</formula>
    </cfRule>
    <cfRule type="containsText" dxfId="9924" priority="9930" operator="containsText" text="Atendida">
      <formula>NOT(ISERROR(SEARCH("Atendida",K756)))</formula>
    </cfRule>
    <cfRule type="containsText" dxfId="9923" priority="9931" operator="containsText" text="Reasignación">
      <formula>NOT(ISERROR(SEARCH("Reasignación",K756)))</formula>
    </cfRule>
    <cfRule type="containsText" dxfId="9922" priority="9932" operator="containsText" text="RECHAZADA">
      <formula>NOT(ISERROR(SEARCH("RECHAZADA",K756)))</formula>
    </cfRule>
    <cfRule type="containsText" dxfId="9921" priority="9933" operator="containsText" text="Atendida">
      <formula>NOT(ISERROR(SEARCH("Atendida",K756)))</formula>
    </cfRule>
    <cfRule type="containsText" dxfId="9920" priority="9934" operator="containsText" text="Reasignación">
      <formula>NOT(ISERROR(SEARCH("Reasignación",K756)))</formula>
    </cfRule>
    <cfRule type="containsText" dxfId="9919" priority="9935" operator="containsText" text="RECHAZADA">
      <formula>NOT(ISERROR(SEARCH("RECHAZADA",K756)))</formula>
    </cfRule>
    <cfRule type="containsText" dxfId="9918" priority="9936" operator="containsText" text="Atendida">
      <formula>NOT(ISERROR(SEARCH("Atendida",K756)))</formula>
    </cfRule>
    <cfRule type="containsText" dxfId="9917" priority="9937" operator="containsText" text="Reasignación">
      <formula>NOT(ISERROR(SEARCH("Reasignación",K756)))</formula>
    </cfRule>
    <cfRule type="containsText" dxfId="9916" priority="9938" operator="containsText" text="RECHAZADA">
      <formula>NOT(ISERROR(SEARCH("RECHAZADA",K756)))</formula>
    </cfRule>
    <cfRule type="containsText" dxfId="9915" priority="9939" operator="containsText" text="Atendida">
      <formula>NOT(ISERROR(SEARCH("Atendida",K756)))</formula>
    </cfRule>
    <cfRule type="containsText" dxfId="9914" priority="9940" operator="containsText" text="Reasignación">
      <formula>NOT(ISERROR(SEARCH("Reasignación",K756)))</formula>
    </cfRule>
    <cfRule type="containsText" dxfId="9913" priority="9941" operator="containsText" text="RECHAZADA">
      <formula>NOT(ISERROR(SEARCH("RECHAZADA",K756)))</formula>
    </cfRule>
    <cfRule type="containsText" dxfId="9912" priority="9942" operator="containsText" text="Atendida">
      <formula>NOT(ISERROR(SEARCH("Atendida",K756)))</formula>
    </cfRule>
    <cfRule type="containsText" dxfId="9911" priority="9943" operator="containsText" text="Atendida">
      <formula>NOT(ISERROR(SEARCH("Atendida",K756)))</formula>
    </cfRule>
  </conditionalFormatting>
  <conditionalFormatting sqref="B756">
    <cfRule type="duplicateValues" dxfId="9910" priority="9997"/>
  </conditionalFormatting>
  <conditionalFormatting sqref="B757:B760">
    <cfRule type="duplicateValues" dxfId="9909" priority="9918"/>
  </conditionalFormatting>
  <conditionalFormatting sqref="K757">
    <cfRule type="containsText" dxfId="9908" priority="9903" operator="containsText" text="Reasignación">
      <formula>NOT(ISERROR(SEARCH("Reasignación",K757)))</formula>
    </cfRule>
    <cfRule type="containsText" dxfId="9907" priority="9904" operator="containsText" text="RECHAZADA">
      <formula>NOT(ISERROR(SEARCH("RECHAZADA",K757)))</formula>
    </cfRule>
    <cfRule type="containsText" dxfId="9906" priority="9905" operator="containsText" text="Atendida">
      <formula>NOT(ISERROR(SEARCH("Atendida",K757)))</formula>
    </cfRule>
  </conditionalFormatting>
  <conditionalFormatting sqref="K757">
    <cfRule type="containsText" dxfId="9905" priority="9906" operator="containsText" text="Reasignación">
      <formula>NOT(ISERROR(SEARCH("Reasignación",K757)))</formula>
    </cfRule>
    <cfRule type="containsText" dxfId="9904" priority="9907" operator="containsText" text="RECHAZADA">
      <formula>NOT(ISERROR(SEARCH("RECHAZADA",K757)))</formula>
    </cfRule>
    <cfRule type="containsText" dxfId="9903" priority="9908" operator="containsText" text="Atendida">
      <formula>NOT(ISERROR(SEARCH("Atendida",K757)))</formula>
    </cfRule>
    <cfRule type="containsText" dxfId="9902" priority="9909" operator="containsText" text="Reasignación">
      <formula>NOT(ISERROR(SEARCH("Reasignación",K757)))</formula>
    </cfRule>
    <cfRule type="containsText" dxfId="9901" priority="9910" operator="containsText" text="RECHAZADA">
      <formula>NOT(ISERROR(SEARCH("RECHAZADA",K757)))</formula>
    </cfRule>
    <cfRule type="containsText" dxfId="9900" priority="9911" operator="containsText" text="Atendida">
      <formula>NOT(ISERROR(SEARCH("Atendida",K757)))</formula>
    </cfRule>
    <cfRule type="containsText" dxfId="9899" priority="9912" operator="containsText" text="Reasignación">
      <formula>NOT(ISERROR(SEARCH("Reasignación",K757)))</formula>
    </cfRule>
    <cfRule type="containsText" dxfId="9898" priority="9913" operator="containsText" text="RECHAZADA">
      <formula>NOT(ISERROR(SEARCH("RECHAZADA",K757)))</formula>
    </cfRule>
    <cfRule type="containsText" dxfId="9897" priority="9914" operator="containsText" text="Atendida">
      <formula>NOT(ISERROR(SEARCH("Atendida",K757)))</formula>
    </cfRule>
    <cfRule type="containsText" dxfId="9896" priority="9915" operator="containsText" text="Reasignación">
      <formula>NOT(ISERROR(SEARCH("Reasignación",K757)))</formula>
    </cfRule>
    <cfRule type="containsText" dxfId="9895" priority="9916" operator="containsText" text="RECHAZADA">
      <formula>NOT(ISERROR(SEARCH("RECHAZADA",K757)))</formula>
    </cfRule>
    <cfRule type="containsText" dxfId="9894" priority="9917" operator="containsText" text="Atendida">
      <formula>NOT(ISERROR(SEARCH("Atendida",K757)))</formula>
    </cfRule>
  </conditionalFormatting>
  <conditionalFormatting sqref="K757">
    <cfRule type="containsText" dxfId="9893" priority="9895" operator="containsText" text="RECHAZADA">
      <formula>NOT(ISERROR(SEARCH("RECHAZADA",K757)))</formula>
    </cfRule>
    <cfRule type="containsText" dxfId="9892" priority="9896" operator="containsText" text="Atendida">
      <formula>NOT(ISERROR(SEARCH("Atendida",K757)))</formula>
    </cfRule>
    <cfRule type="containsText" dxfId="9891" priority="9897" operator="containsText" text="Reasignación">
      <formula>NOT(ISERROR(SEARCH("Reasignación",K757)))</formula>
    </cfRule>
    <cfRule type="containsText" dxfId="9890" priority="9898" operator="containsText" text="RECHAZADA">
      <formula>NOT(ISERROR(SEARCH("RECHAZADA",K757)))</formula>
    </cfRule>
    <cfRule type="containsText" dxfId="9889" priority="9899" operator="containsText" text="Atendida">
      <formula>NOT(ISERROR(SEARCH("Atendida",K757)))</formula>
    </cfRule>
    <cfRule type="containsText" dxfId="9888" priority="9900" operator="containsText" text="Reasignación">
      <formula>NOT(ISERROR(SEARCH("Reasignación",K757)))</formula>
    </cfRule>
    <cfRule type="containsText" dxfId="9887" priority="9901" operator="containsText" text="RECHAZADA">
      <formula>NOT(ISERROR(SEARCH("RECHAZADA",K757)))</formula>
    </cfRule>
    <cfRule type="containsText" dxfId="9886" priority="9902" operator="containsText" text="Atendida">
      <formula>NOT(ISERROR(SEARCH("Atendida",K757)))</formula>
    </cfRule>
  </conditionalFormatting>
  <conditionalFormatting sqref="K757">
    <cfRule type="containsText" dxfId="9885" priority="9894" operator="containsText" text="Reasignación">
      <formula>NOT(ISERROR(SEARCH("Reasignación",K757)))</formula>
    </cfRule>
  </conditionalFormatting>
  <conditionalFormatting sqref="K757">
    <cfRule type="containsText" dxfId="9884" priority="9893" operator="containsText" text="Atendida">
      <formula>NOT(ISERROR(SEARCH("Atendida",K757)))</formula>
    </cfRule>
  </conditionalFormatting>
  <conditionalFormatting sqref="K757">
    <cfRule type="containsText" dxfId="9883" priority="9891" operator="containsText" text="Reasignación">
      <formula>NOT(ISERROR(SEARCH("Reasignación",K757)))</formula>
    </cfRule>
    <cfRule type="containsText" dxfId="9882" priority="9892" operator="containsText" text="RECHAZADA">
      <formula>NOT(ISERROR(SEARCH("RECHAZADA",K757)))</formula>
    </cfRule>
  </conditionalFormatting>
  <conditionalFormatting sqref="K757">
    <cfRule type="containsText" dxfId="9881" priority="9879" operator="containsText" text="Reasignación">
      <formula>NOT(ISERROR(SEARCH("Reasignación",K757)))</formula>
    </cfRule>
    <cfRule type="containsText" dxfId="9880" priority="9880" operator="containsText" text="RECHAZADA">
      <formula>NOT(ISERROR(SEARCH("RECHAZADA",K757)))</formula>
    </cfRule>
    <cfRule type="containsText" dxfId="9879" priority="9881" operator="containsText" text="Atendida">
      <formula>NOT(ISERROR(SEARCH("Atendida",K757)))</formula>
    </cfRule>
    <cfRule type="containsText" dxfId="9878" priority="9882" operator="containsText" text="Reasignación">
      <formula>NOT(ISERROR(SEARCH("Reasignación",K757)))</formula>
    </cfRule>
    <cfRule type="containsText" dxfId="9877" priority="9883" operator="containsText" text="RECHAZADA">
      <formula>NOT(ISERROR(SEARCH("RECHAZADA",K757)))</formula>
    </cfRule>
    <cfRule type="containsText" dxfId="9876" priority="9884" operator="containsText" text="Atendida">
      <formula>NOT(ISERROR(SEARCH("Atendida",K757)))</formula>
    </cfRule>
    <cfRule type="containsText" dxfId="9875" priority="9885" operator="containsText" text="Reasignación">
      <formula>NOT(ISERROR(SEARCH("Reasignación",K757)))</formula>
    </cfRule>
    <cfRule type="containsText" dxfId="9874" priority="9886" operator="containsText" text="RECHAZADA">
      <formula>NOT(ISERROR(SEARCH("RECHAZADA",K757)))</formula>
    </cfRule>
    <cfRule type="containsText" dxfId="9873" priority="9887" operator="containsText" text="Atendida">
      <formula>NOT(ISERROR(SEARCH("Atendida",K757)))</formula>
    </cfRule>
    <cfRule type="containsText" dxfId="9872" priority="9888" operator="containsText" text="Reasignación">
      <formula>NOT(ISERROR(SEARCH("Reasignación",K757)))</formula>
    </cfRule>
    <cfRule type="containsText" dxfId="9871" priority="9889" operator="containsText" text="RECHAZADA">
      <formula>NOT(ISERROR(SEARCH("RECHAZADA",K757)))</formula>
    </cfRule>
    <cfRule type="containsText" dxfId="9870" priority="9890" operator="containsText" text="Atendida">
      <formula>NOT(ISERROR(SEARCH("Atendida",K757)))</formula>
    </cfRule>
  </conditionalFormatting>
  <conditionalFormatting sqref="K757">
    <cfRule type="containsText" dxfId="9869" priority="9871" operator="containsText" text="RECHAZADA">
      <formula>NOT(ISERROR(SEARCH("RECHAZADA",K757)))</formula>
    </cfRule>
    <cfRule type="containsText" dxfId="9868" priority="9872" operator="containsText" text="Atendida">
      <formula>NOT(ISERROR(SEARCH("Atendida",K757)))</formula>
    </cfRule>
    <cfRule type="containsText" dxfId="9867" priority="9873" operator="containsText" text="Reasignación">
      <formula>NOT(ISERROR(SEARCH("Reasignación",K757)))</formula>
    </cfRule>
    <cfRule type="containsText" dxfId="9866" priority="9874" operator="containsText" text="RECHAZADA">
      <formula>NOT(ISERROR(SEARCH("RECHAZADA",K757)))</formula>
    </cfRule>
    <cfRule type="containsText" dxfId="9865" priority="9875" operator="containsText" text="Atendida">
      <formula>NOT(ISERROR(SEARCH("Atendida",K757)))</formula>
    </cfRule>
    <cfRule type="containsText" dxfId="9864" priority="9876" operator="containsText" text="Reasignación">
      <formula>NOT(ISERROR(SEARCH("Reasignación",K757)))</formula>
    </cfRule>
    <cfRule type="containsText" dxfId="9863" priority="9877" operator="containsText" text="RECHAZADA">
      <formula>NOT(ISERROR(SEARCH("RECHAZADA",K757)))</formula>
    </cfRule>
    <cfRule type="containsText" dxfId="9862" priority="9878" operator="containsText" text="Atendida">
      <formula>NOT(ISERROR(SEARCH("Atendida",K757)))</formula>
    </cfRule>
  </conditionalFormatting>
  <conditionalFormatting sqref="K757">
    <cfRule type="containsText" dxfId="9861" priority="9867" operator="containsText" text="Reasignación">
      <formula>NOT(ISERROR(SEARCH("Reasignación",K757)))</formula>
    </cfRule>
    <cfRule type="containsText" dxfId="9860" priority="9868" operator="containsText" text="RECHAZADA">
      <formula>NOT(ISERROR(SEARCH("RECHAZADA",K757)))</formula>
    </cfRule>
  </conditionalFormatting>
  <conditionalFormatting sqref="K757">
    <cfRule type="containsText" dxfId="9859" priority="9870" operator="containsText" text="Reasignación">
      <formula>NOT(ISERROR(SEARCH("Reasignación",K757)))</formula>
    </cfRule>
  </conditionalFormatting>
  <conditionalFormatting sqref="K757">
    <cfRule type="containsText" dxfId="9858" priority="9869" operator="containsText" text="Atendida">
      <formula>NOT(ISERROR(SEARCH("Atendida",K757)))</formula>
    </cfRule>
  </conditionalFormatting>
  <conditionalFormatting sqref="K757">
    <cfRule type="containsText" dxfId="9857" priority="9842" operator="containsText" text="Reasignación">
      <formula>NOT(ISERROR(SEARCH("Reasignación",K757)))</formula>
    </cfRule>
    <cfRule type="containsText" dxfId="9856" priority="9843" operator="containsText" text="RECHAZADA">
      <formula>NOT(ISERROR(SEARCH("RECHAZADA",K757)))</formula>
    </cfRule>
    <cfRule type="containsText" dxfId="9855" priority="9844" operator="containsText" text="Atendida">
      <formula>NOT(ISERROR(SEARCH("Atendida",K757)))</formula>
    </cfRule>
    <cfRule type="containsText" dxfId="9854" priority="9845" operator="containsText" text="Reasignación">
      <formula>NOT(ISERROR(SEARCH("Reasignación",K757)))</formula>
    </cfRule>
    <cfRule type="containsText" dxfId="9853" priority="9846" operator="containsText" text="RECHAZADA">
      <formula>NOT(ISERROR(SEARCH("RECHAZADA",K757)))</formula>
    </cfRule>
    <cfRule type="containsText" dxfId="9852" priority="9847" operator="containsText" text="Atendida">
      <formula>NOT(ISERROR(SEARCH("Atendida",K757)))</formula>
    </cfRule>
    <cfRule type="containsText" dxfId="9851" priority="9848" operator="containsText" text="Reasignación">
      <formula>NOT(ISERROR(SEARCH("Reasignación",K757)))</formula>
    </cfRule>
    <cfRule type="containsText" dxfId="9850" priority="9849" operator="containsText" text="RECHAZADA">
      <formula>NOT(ISERROR(SEARCH("RECHAZADA",K757)))</formula>
    </cfRule>
    <cfRule type="containsText" dxfId="9849" priority="9850" operator="containsText" text="Atendida">
      <formula>NOT(ISERROR(SEARCH("Atendida",K757)))</formula>
    </cfRule>
    <cfRule type="containsText" dxfId="9848" priority="9851" operator="containsText" text="Reasignación">
      <formula>NOT(ISERROR(SEARCH("Reasignación",K757)))</formula>
    </cfRule>
    <cfRule type="containsText" dxfId="9847" priority="9852" operator="containsText" text="RECHAZADA">
      <formula>NOT(ISERROR(SEARCH("RECHAZADA",K757)))</formula>
    </cfRule>
    <cfRule type="containsText" dxfId="9846" priority="9853" operator="containsText" text="Atendida">
      <formula>NOT(ISERROR(SEARCH("Atendida",K757)))</formula>
    </cfRule>
    <cfRule type="containsText" dxfId="9845" priority="9854" operator="containsText" text="Reasignación">
      <formula>NOT(ISERROR(SEARCH("Reasignación",K757)))</formula>
    </cfRule>
    <cfRule type="containsText" dxfId="9844" priority="9855" operator="containsText" text="RECHAZADA">
      <formula>NOT(ISERROR(SEARCH("RECHAZADA",K757)))</formula>
    </cfRule>
    <cfRule type="containsText" dxfId="9843" priority="9856" operator="containsText" text="Atendida">
      <formula>NOT(ISERROR(SEARCH("Atendida",K757)))</formula>
    </cfRule>
    <cfRule type="containsText" dxfId="9842" priority="9857" operator="containsText" text="Reasignación">
      <formula>NOT(ISERROR(SEARCH("Reasignación",K757)))</formula>
    </cfRule>
    <cfRule type="containsText" dxfId="9841" priority="9858" operator="containsText" text="RECHAZADA">
      <formula>NOT(ISERROR(SEARCH("RECHAZADA",K757)))</formula>
    </cfRule>
    <cfRule type="containsText" dxfId="9840" priority="9859" operator="containsText" text="Atendida">
      <formula>NOT(ISERROR(SEARCH("Atendida",K757)))</formula>
    </cfRule>
    <cfRule type="containsText" dxfId="9839" priority="9860" operator="containsText" text="Reasignación">
      <formula>NOT(ISERROR(SEARCH("Reasignación",K757)))</formula>
    </cfRule>
    <cfRule type="containsText" dxfId="9838" priority="9861" operator="containsText" text="RECHAZADA">
      <formula>NOT(ISERROR(SEARCH("RECHAZADA",K757)))</formula>
    </cfRule>
    <cfRule type="containsText" dxfId="9837" priority="9862" operator="containsText" text="Atendida">
      <formula>NOT(ISERROR(SEARCH("Atendida",K757)))</formula>
    </cfRule>
    <cfRule type="containsText" dxfId="9836" priority="9863" operator="containsText" text="Reasignación">
      <formula>NOT(ISERROR(SEARCH("Reasignación",K757)))</formula>
    </cfRule>
    <cfRule type="containsText" dxfId="9835" priority="9864" operator="containsText" text="RECHAZADA">
      <formula>NOT(ISERROR(SEARCH("RECHAZADA",K757)))</formula>
    </cfRule>
    <cfRule type="containsText" dxfId="9834" priority="9865" operator="containsText" text="Atendida">
      <formula>NOT(ISERROR(SEARCH("Atendida",K757)))</formula>
    </cfRule>
    <cfRule type="containsText" dxfId="9833" priority="9866" operator="containsText" text="Atendida">
      <formula>NOT(ISERROR(SEARCH("Atendida",K757)))</formula>
    </cfRule>
  </conditionalFormatting>
  <conditionalFormatting sqref="K758">
    <cfRule type="containsText" dxfId="9832" priority="9827" operator="containsText" text="Reasignación">
      <formula>NOT(ISERROR(SEARCH("Reasignación",K758)))</formula>
    </cfRule>
    <cfRule type="containsText" dxfId="9831" priority="9828" operator="containsText" text="RECHAZADA">
      <formula>NOT(ISERROR(SEARCH("RECHAZADA",K758)))</formula>
    </cfRule>
    <cfRule type="containsText" dxfId="9830" priority="9829" operator="containsText" text="Atendida">
      <formula>NOT(ISERROR(SEARCH("Atendida",K758)))</formula>
    </cfRule>
  </conditionalFormatting>
  <conditionalFormatting sqref="K758">
    <cfRule type="containsText" dxfId="9829" priority="9830" operator="containsText" text="Reasignación">
      <formula>NOT(ISERROR(SEARCH("Reasignación",K758)))</formula>
    </cfRule>
    <cfRule type="containsText" dxfId="9828" priority="9831" operator="containsText" text="RECHAZADA">
      <formula>NOT(ISERROR(SEARCH("RECHAZADA",K758)))</formula>
    </cfRule>
    <cfRule type="containsText" dxfId="9827" priority="9832" operator="containsText" text="Atendida">
      <formula>NOT(ISERROR(SEARCH("Atendida",K758)))</formula>
    </cfRule>
    <cfRule type="containsText" dxfId="9826" priority="9833" operator="containsText" text="Reasignación">
      <formula>NOT(ISERROR(SEARCH("Reasignación",K758)))</formula>
    </cfRule>
    <cfRule type="containsText" dxfId="9825" priority="9834" operator="containsText" text="RECHAZADA">
      <formula>NOT(ISERROR(SEARCH("RECHAZADA",K758)))</formula>
    </cfRule>
    <cfRule type="containsText" dxfId="9824" priority="9835" operator="containsText" text="Atendida">
      <formula>NOT(ISERROR(SEARCH("Atendida",K758)))</formula>
    </cfRule>
    <cfRule type="containsText" dxfId="9823" priority="9836" operator="containsText" text="Reasignación">
      <formula>NOT(ISERROR(SEARCH("Reasignación",K758)))</formula>
    </cfRule>
    <cfRule type="containsText" dxfId="9822" priority="9837" operator="containsText" text="RECHAZADA">
      <formula>NOT(ISERROR(SEARCH("RECHAZADA",K758)))</formula>
    </cfRule>
    <cfRule type="containsText" dxfId="9821" priority="9838" operator="containsText" text="Atendida">
      <formula>NOT(ISERROR(SEARCH("Atendida",K758)))</formula>
    </cfRule>
    <cfRule type="containsText" dxfId="9820" priority="9839" operator="containsText" text="Reasignación">
      <formula>NOT(ISERROR(SEARCH("Reasignación",K758)))</formula>
    </cfRule>
    <cfRule type="containsText" dxfId="9819" priority="9840" operator="containsText" text="RECHAZADA">
      <formula>NOT(ISERROR(SEARCH("RECHAZADA",K758)))</formula>
    </cfRule>
    <cfRule type="containsText" dxfId="9818" priority="9841" operator="containsText" text="Atendida">
      <formula>NOT(ISERROR(SEARCH("Atendida",K758)))</formula>
    </cfRule>
  </conditionalFormatting>
  <conditionalFormatting sqref="K758">
    <cfRule type="containsText" dxfId="9817" priority="9819" operator="containsText" text="RECHAZADA">
      <formula>NOT(ISERROR(SEARCH("RECHAZADA",K758)))</formula>
    </cfRule>
    <cfRule type="containsText" dxfId="9816" priority="9820" operator="containsText" text="Atendida">
      <formula>NOT(ISERROR(SEARCH("Atendida",K758)))</formula>
    </cfRule>
    <cfRule type="containsText" dxfId="9815" priority="9821" operator="containsText" text="Reasignación">
      <formula>NOT(ISERROR(SEARCH("Reasignación",K758)))</formula>
    </cfRule>
    <cfRule type="containsText" dxfId="9814" priority="9822" operator="containsText" text="RECHAZADA">
      <formula>NOT(ISERROR(SEARCH("RECHAZADA",K758)))</formula>
    </cfRule>
    <cfRule type="containsText" dxfId="9813" priority="9823" operator="containsText" text="Atendida">
      <formula>NOT(ISERROR(SEARCH("Atendida",K758)))</formula>
    </cfRule>
    <cfRule type="containsText" dxfId="9812" priority="9824" operator="containsText" text="Reasignación">
      <formula>NOT(ISERROR(SEARCH("Reasignación",K758)))</formula>
    </cfRule>
    <cfRule type="containsText" dxfId="9811" priority="9825" operator="containsText" text="RECHAZADA">
      <formula>NOT(ISERROR(SEARCH("RECHAZADA",K758)))</formula>
    </cfRule>
    <cfRule type="containsText" dxfId="9810" priority="9826" operator="containsText" text="Atendida">
      <formula>NOT(ISERROR(SEARCH("Atendida",K758)))</formula>
    </cfRule>
  </conditionalFormatting>
  <conditionalFormatting sqref="K758">
    <cfRule type="containsText" dxfId="9809" priority="9818" operator="containsText" text="Reasignación">
      <formula>NOT(ISERROR(SEARCH("Reasignación",K758)))</formula>
    </cfRule>
  </conditionalFormatting>
  <conditionalFormatting sqref="K758">
    <cfRule type="containsText" dxfId="9808" priority="9817" operator="containsText" text="Atendida">
      <formula>NOT(ISERROR(SEARCH("Atendida",K758)))</formula>
    </cfRule>
  </conditionalFormatting>
  <conditionalFormatting sqref="K758">
    <cfRule type="containsText" dxfId="9807" priority="9815" operator="containsText" text="Reasignación">
      <formula>NOT(ISERROR(SEARCH("Reasignación",K758)))</formula>
    </cfRule>
    <cfRule type="containsText" dxfId="9806" priority="9816" operator="containsText" text="RECHAZADA">
      <formula>NOT(ISERROR(SEARCH("RECHAZADA",K758)))</formula>
    </cfRule>
  </conditionalFormatting>
  <conditionalFormatting sqref="K758">
    <cfRule type="containsText" dxfId="9805" priority="9803" operator="containsText" text="Reasignación">
      <formula>NOT(ISERROR(SEARCH("Reasignación",K758)))</formula>
    </cfRule>
    <cfRule type="containsText" dxfId="9804" priority="9804" operator="containsText" text="RECHAZADA">
      <formula>NOT(ISERROR(SEARCH("RECHAZADA",K758)))</formula>
    </cfRule>
    <cfRule type="containsText" dxfId="9803" priority="9805" operator="containsText" text="Atendida">
      <formula>NOT(ISERROR(SEARCH("Atendida",K758)))</formula>
    </cfRule>
    <cfRule type="containsText" dxfId="9802" priority="9806" operator="containsText" text="Reasignación">
      <formula>NOT(ISERROR(SEARCH("Reasignación",K758)))</formula>
    </cfRule>
    <cfRule type="containsText" dxfId="9801" priority="9807" operator="containsText" text="RECHAZADA">
      <formula>NOT(ISERROR(SEARCH("RECHAZADA",K758)))</formula>
    </cfRule>
    <cfRule type="containsText" dxfId="9800" priority="9808" operator="containsText" text="Atendida">
      <formula>NOT(ISERROR(SEARCH("Atendida",K758)))</formula>
    </cfRule>
    <cfRule type="containsText" dxfId="9799" priority="9809" operator="containsText" text="Reasignación">
      <formula>NOT(ISERROR(SEARCH("Reasignación",K758)))</formula>
    </cfRule>
    <cfRule type="containsText" dxfId="9798" priority="9810" operator="containsText" text="RECHAZADA">
      <formula>NOT(ISERROR(SEARCH("RECHAZADA",K758)))</formula>
    </cfRule>
    <cfRule type="containsText" dxfId="9797" priority="9811" operator="containsText" text="Atendida">
      <formula>NOT(ISERROR(SEARCH("Atendida",K758)))</formula>
    </cfRule>
    <cfRule type="containsText" dxfId="9796" priority="9812" operator="containsText" text="Reasignación">
      <formula>NOT(ISERROR(SEARCH("Reasignación",K758)))</formula>
    </cfRule>
    <cfRule type="containsText" dxfId="9795" priority="9813" operator="containsText" text="RECHAZADA">
      <formula>NOT(ISERROR(SEARCH("RECHAZADA",K758)))</formula>
    </cfRule>
    <cfRule type="containsText" dxfId="9794" priority="9814" operator="containsText" text="Atendida">
      <formula>NOT(ISERROR(SEARCH("Atendida",K758)))</formula>
    </cfRule>
  </conditionalFormatting>
  <conditionalFormatting sqref="K758">
    <cfRule type="containsText" dxfId="9793" priority="9795" operator="containsText" text="RECHAZADA">
      <formula>NOT(ISERROR(SEARCH("RECHAZADA",K758)))</formula>
    </cfRule>
    <cfRule type="containsText" dxfId="9792" priority="9796" operator="containsText" text="Atendida">
      <formula>NOT(ISERROR(SEARCH("Atendida",K758)))</formula>
    </cfRule>
    <cfRule type="containsText" dxfId="9791" priority="9797" operator="containsText" text="Reasignación">
      <formula>NOT(ISERROR(SEARCH("Reasignación",K758)))</formula>
    </cfRule>
    <cfRule type="containsText" dxfId="9790" priority="9798" operator="containsText" text="RECHAZADA">
      <formula>NOT(ISERROR(SEARCH("RECHAZADA",K758)))</formula>
    </cfRule>
    <cfRule type="containsText" dxfId="9789" priority="9799" operator="containsText" text="Atendida">
      <formula>NOT(ISERROR(SEARCH("Atendida",K758)))</formula>
    </cfRule>
    <cfRule type="containsText" dxfId="9788" priority="9800" operator="containsText" text="Reasignación">
      <formula>NOT(ISERROR(SEARCH("Reasignación",K758)))</formula>
    </cfRule>
    <cfRule type="containsText" dxfId="9787" priority="9801" operator="containsText" text="RECHAZADA">
      <formula>NOT(ISERROR(SEARCH("RECHAZADA",K758)))</formula>
    </cfRule>
    <cfRule type="containsText" dxfId="9786" priority="9802" operator="containsText" text="Atendida">
      <formula>NOT(ISERROR(SEARCH("Atendida",K758)))</formula>
    </cfRule>
  </conditionalFormatting>
  <conditionalFormatting sqref="K758">
    <cfRule type="containsText" dxfId="9785" priority="9791" operator="containsText" text="Reasignación">
      <formula>NOT(ISERROR(SEARCH("Reasignación",K758)))</formula>
    </cfRule>
    <cfRule type="containsText" dxfId="9784" priority="9792" operator="containsText" text="RECHAZADA">
      <formula>NOT(ISERROR(SEARCH("RECHAZADA",K758)))</formula>
    </cfRule>
  </conditionalFormatting>
  <conditionalFormatting sqref="K758">
    <cfRule type="containsText" dxfId="9783" priority="9794" operator="containsText" text="Reasignación">
      <formula>NOT(ISERROR(SEARCH("Reasignación",K758)))</formula>
    </cfRule>
  </conditionalFormatting>
  <conditionalFormatting sqref="K758">
    <cfRule type="containsText" dxfId="9782" priority="9793" operator="containsText" text="Atendida">
      <formula>NOT(ISERROR(SEARCH("Atendida",K758)))</formula>
    </cfRule>
  </conditionalFormatting>
  <conditionalFormatting sqref="K758">
    <cfRule type="containsText" dxfId="9781" priority="9766" operator="containsText" text="Reasignación">
      <formula>NOT(ISERROR(SEARCH("Reasignación",K758)))</formula>
    </cfRule>
    <cfRule type="containsText" dxfId="9780" priority="9767" operator="containsText" text="RECHAZADA">
      <formula>NOT(ISERROR(SEARCH("RECHAZADA",K758)))</formula>
    </cfRule>
    <cfRule type="containsText" dxfId="9779" priority="9768" operator="containsText" text="Atendida">
      <formula>NOT(ISERROR(SEARCH("Atendida",K758)))</formula>
    </cfRule>
    <cfRule type="containsText" dxfId="9778" priority="9769" operator="containsText" text="Reasignación">
      <formula>NOT(ISERROR(SEARCH("Reasignación",K758)))</formula>
    </cfRule>
    <cfRule type="containsText" dxfId="9777" priority="9770" operator="containsText" text="RECHAZADA">
      <formula>NOT(ISERROR(SEARCH("RECHAZADA",K758)))</formula>
    </cfRule>
    <cfRule type="containsText" dxfId="9776" priority="9771" operator="containsText" text="Atendida">
      <formula>NOT(ISERROR(SEARCH("Atendida",K758)))</formula>
    </cfRule>
    <cfRule type="containsText" dxfId="9775" priority="9772" operator="containsText" text="Reasignación">
      <formula>NOT(ISERROR(SEARCH("Reasignación",K758)))</formula>
    </cfRule>
    <cfRule type="containsText" dxfId="9774" priority="9773" operator="containsText" text="RECHAZADA">
      <formula>NOT(ISERROR(SEARCH("RECHAZADA",K758)))</formula>
    </cfRule>
    <cfRule type="containsText" dxfId="9773" priority="9774" operator="containsText" text="Atendida">
      <formula>NOT(ISERROR(SEARCH("Atendida",K758)))</formula>
    </cfRule>
    <cfRule type="containsText" dxfId="9772" priority="9775" operator="containsText" text="Reasignación">
      <formula>NOT(ISERROR(SEARCH("Reasignación",K758)))</formula>
    </cfRule>
    <cfRule type="containsText" dxfId="9771" priority="9776" operator="containsText" text="RECHAZADA">
      <formula>NOT(ISERROR(SEARCH("RECHAZADA",K758)))</formula>
    </cfRule>
    <cfRule type="containsText" dxfId="9770" priority="9777" operator="containsText" text="Atendida">
      <formula>NOT(ISERROR(SEARCH("Atendida",K758)))</formula>
    </cfRule>
    <cfRule type="containsText" dxfId="9769" priority="9778" operator="containsText" text="Reasignación">
      <formula>NOT(ISERROR(SEARCH("Reasignación",K758)))</formula>
    </cfRule>
    <cfRule type="containsText" dxfId="9768" priority="9779" operator="containsText" text="RECHAZADA">
      <formula>NOT(ISERROR(SEARCH("RECHAZADA",K758)))</formula>
    </cfRule>
    <cfRule type="containsText" dxfId="9767" priority="9780" operator="containsText" text="Atendida">
      <formula>NOT(ISERROR(SEARCH("Atendida",K758)))</formula>
    </cfRule>
    <cfRule type="containsText" dxfId="9766" priority="9781" operator="containsText" text="Reasignación">
      <formula>NOT(ISERROR(SEARCH("Reasignación",K758)))</formula>
    </cfRule>
    <cfRule type="containsText" dxfId="9765" priority="9782" operator="containsText" text="RECHAZADA">
      <formula>NOT(ISERROR(SEARCH("RECHAZADA",K758)))</formula>
    </cfRule>
    <cfRule type="containsText" dxfId="9764" priority="9783" operator="containsText" text="Atendida">
      <formula>NOT(ISERROR(SEARCH("Atendida",K758)))</formula>
    </cfRule>
    <cfRule type="containsText" dxfId="9763" priority="9784" operator="containsText" text="Reasignación">
      <formula>NOT(ISERROR(SEARCH("Reasignación",K758)))</formula>
    </cfRule>
    <cfRule type="containsText" dxfId="9762" priority="9785" operator="containsText" text="RECHAZADA">
      <formula>NOT(ISERROR(SEARCH("RECHAZADA",K758)))</formula>
    </cfRule>
    <cfRule type="containsText" dxfId="9761" priority="9786" operator="containsText" text="Atendida">
      <formula>NOT(ISERROR(SEARCH("Atendida",K758)))</formula>
    </cfRule>
    <cfRule type="containsText" dxfId="9760" priority="9787" operator="containsText" text="Reasignación">
      <formula>NOT(ISERROR(SEARCH("Reasignación",K758)))</formula>
    </cfRule>
    <cfRule type="containsText" dxfId="9759" priority="9788" operator="containsText" text="RECHAZADA">
      <formula>NOT(ISERROR(SEARCH("RECHAZADA",K758)))</formula>
    </cfRule>
    <cfRule type="containsText" dxfId="9758" priority="9789" operator="containsText" text="Atendida">
      <formula>NOT(ISERROR(SEARCH("Atendida",K758)))</formula>
    </cfRule>
    <cfRule type="containsText" dxfId="9757" priority="9790" operator="containsText" text="Atendida">
      <formula>NOT(ISERROR(SEARCH("Atendida",K758)))</formula>
    </cfRule>
  </conditionalFormatting>
  <conditionalFormatting sqref="K759">
    <cfRule type="containsText" dxfId="9756" priority="9751" operator="containsText" text="Reasignación">
      <formula>NOT(ISERROR(SEARCH("Reasignación",K759)))</formula>
    </cfRule>
    <cfRule type="containsText" dxfId="9755" priority="9752" operator="containsText" text="RECHAZADA">
      <formula>NOT(ISERROR(SEARCH("RECHAZADA",K759)))</formula>
    </cfRule>
    <cfRule type="containsText" dxfId="9754" priority="9753" operator="containsText" text="Atendida">
      <formula>NOT(ISERROR(SEARCH("Atendida",K759)))</formula>
    </cfRule>
  </conditionalFormatting>
  <conditionalFormatting sqref="K759">
    <cfRule type="containsText" dxfId="9753" priority="9754" operator="containsText" text="Reasignación">
      <formula>NOT(ISERROR(SEARCH("Reasignación",K759)))</formula>
    </cfRule>
    <cfRule type="containsText" dxfId="9752" priority="9755" operator="containsText" text="RECHAZADA">
      <formula>NOT(ISERROR(SEARCH("RECHAZADA",K759)))</formula>
    </cfRule>
    <cfRule type="containsText" dxfId="9751" priority="9756" operator="containsText" text="Atendida">
      <formula>NOT(ISERROR(SEARCH("Atendida",K759)))</formula>
    </cfRule>
    <cfRule type="containsText" dxfId="9750" priority="9757" operator="containsText" text="Reasignación">
      <formula>NOT(ISERROR(SEARCH("Reasignación",K759)))</formula>
    </cfRule>
    <cfRule type="containsText" dxfId="9749" priority="9758" operator="containsText" text="RECHAZADA">
      <formula>NOT(ISERROR(SEARCH("RECHAZADA",K759)))</formula>
    </cfRule>
    <cfRule type="containsText" dxfId="9748" priority="9759" operator="containsText" text="Atendida">
      <formula>NOT(ISERROR(SEARCH("Atendida",K759)))</formula>
    </cfRule>
    <cfRule type="containsText" dxfId="9747" priority="9760" operator="containsText" text="Reasignación">
      <formula>NOT(ISERROR(SEARCH("Reasignación",K759)))</formula>
    </cfRule>
    <cfRule type="containsText" dxfId="9746" priority="9761" operator="containsText" text="RECHAZADA">
      <formula>NOT(ISERROR(SEARCH("RECHAZADA",K759)))</formula>
    </cfRule>
    <cfRule type="containsText" dxfId="9745" priority="9762" operator="containsText" text="Atendida">
      <formula>NOT(ISERROR(SEARCH("Atendida",K759)))</formula>
    </cfRule>
    <cfRule type="containsText" dxfId="9744" priority="9763" operator="containsText" text="Reasignación">
      <formula>NOT(ISERROR(SEARCH("Reasignación",K759)))</formula>
    </cfRule>
    <cfRule type="containsText" dxfId="9743" priority="9764" operator="containsText" text="RECHAZADA">
      <formula>NOT(ISERROR(SEARCH("RECHAZADA",K759)))</formula>
    </cfRule>
    <cfRule type="containsText" dxfId="9742" priority="9765" operator="containsText" text="Atendida">
      <formula>NOT(ISERROR(SEARCH("Atendida",K759)))</formula>
    </cfRule>
  </conditionalFormatting>
  <conditionalFormatting sqref="K759">
    <cfRule type="containsText" dxfId="9741" priority="9743" operator="containsText" text="RECHAZADA">
      <formula>NOT(ISERROR(SEARCH("RECHAZADA",K759)))</formula>
    </cfRule>
    <cfRule type="containsText" dxfId="9740" priority="9744" operator="containsText" text="Atendida">
      <formula>NOT(ISERROR(SEARCH("Atendida",K759)))</formula>
    </cfRule>
    <cfRule type="containsText" dxfId="9739" priority="9745" operator="containsText" text="Reasignación">
      <formula>NOT(ISERROR(SEARCH("Reasignación",K759)))</formula>
    </cfRule>
    <cfRule type="containsText" dxfId="9738" priority="9746" operator="containsText" text="RECHAZADA">
      <formula>NOT(ISERROR(SEARCH("RECHAZADA",K759)))</formula>
    </cfRule>
    <cfRule type="containsText" dxfId="9737" priority="9747" operator="containsText" text="Atendida">
      <formula>NOT(ISERROR(SEARCH("Atendida",K759)))</formula>
    </cfRule>
    <cfRule type="containsText" dxfId="9736" priority="9748" operator="containsText" text="Reasignación">
      <formula>NOT(ISERROR(SEARCH("Reasignación",K759)))</formula>
    </cfRule>
    <cfRule type="containsText" dxfId="9735" priority="9749" operator="containsText" text="RECHAZADA">
      <formula>NOT(ISERROR(SEARCH("RECHAZADA",K759)))</formula>
    </cfRule>
    <cfRule type="containsText" dxfId="9734" priority="9750" operator="containsText" text="Atendida">
      <formula>NOT(ISERROR(SEARCH("Atendida",K759)))</formula>
    </cfRule>
  </conditionalFormatting>
  <conditionalFormatting sqref="K759">
    <cfRule type="containsText" dxfId="9733" priority="9742" operator="containsText" text="Reasignación">
      <formula>NOT(ISERROR(SEARCH("Reasignación",K759)))</formula>
    </cfRule>
  </conditionalFormatting>
  <conditionalFormatting sqref="K759">
    <cfRule type="containsText" dxfId="9732" priority="9741" operator="containsText" text="Atendida">
      <formula>NOT(ISERROR(SEARCH("Atendida",K759)))</formula>
    </cfRule>
  </conditionalFormatting>
  <conditionalFormatting sqref="K759">
    <cfRule type="containsText" dxfId="9731" priority="9739" operator="containsText" text="Reasignación">
      <formula>NOT(ISERROR(SEARCH("Reasignación",K759)))</formula>
    </cfRule>
    <cfRule type="containsText" dxfId="9730" priority="9740" operator="containsText" text="RECHAZADA">
      <formula>NOT(ISERROR(SEARCH("RECHAZADA",K759)))</formula>
    </cfRule>
  </conditionalFormatting>
  <conditionalFormatting sqref="K759">
    <cfRule type="containsText" dxfId="9729" priority="9727" operator="containsText" text="Reasignación">
      <formula>NOT(ISERROR(SEARCH("Reasignación",K759)))</formula>
    </cfRule>
    <cfRule type="containsText" dxfId="9728" priority="9728" operator="containsText" text="RECHAZADA">
      <formula>NOT(ISERROR(SEARCH("RECHAZADA",K759)))</formula>
    </cfRule>
    <cfRule type="containsText" dxfId="9727" priority="9729" operator="containsText" text="Atendida">
      <formula>NOT(ISERROR(SEARCH("Atendida",K759)))</formula>
    </cfRule>
    <cfRule type="containsText" dxfId="9726" priority="9730" operator="containsText" text="Reasignación">
      <formula>NOT(ISERROR(SEARCH("Reasignación",K759)))</formula>
    </cfRule>
    <cfRule type="containsText" dxfId="9725" priority="9731" operator="containsText" text="RECHAZADA">
      <formula>NOT(ISERROR(SEARCH("RECHAZADA",K759)))</formula>
    </cfRule>
    <cfRule type="containsText" dxfId="9724" priority="9732" operator="containsText" text="Atendida">
      <formula>NOT(ISERROR(SEARCH("Atendida",K759)))</formula>
    </cfRule>
    <cfRule type="containsText" dxfId="9723" priority="9733" operator="containsText" text="Reasignación">
      <formula>NOT(ISERROR(SEARCH("Reasignación",K759)))</formula>
    </cfRule>
    <cfRule type="containsText" dxfId="9722" priority="9734" operator="containsText" text="RECHAZADA">
      <formula>NOT(ISERROR(SEARCH("RECHAZADA",K759)))</formula>
    </cfRule>
    <cfRule type="containsText" dxfId="9721" priority="9735" operator="containsText" text="Atendida">
      <formula>NOT(ISERROR(SEARCH("Atendida",K759)))</formula>
    </cfRule>
    <cfRule type="containsText" dxfId="9720" priority="9736" operator="containsText" text="Reasignación">
      <formula>NOT(ISERROR(SEARCH("Reasignación",K759)))</formula>
    </cfRule>
    <cfRule type="containsText" dxfId="9719" priority="9737" operator="containsText" text="RECHAZADA">
      <formula>NOT(ISERROR(SEARCH("RECHAZADA",K759)))</formula>
    </cfRule>
    <cfRule type="containsText" dxfId="9718" priority="9738" operator="containsText" text="Atendida">
      <formula>NOT(ISERROR(SEARCH("Atendida",K759)))</formula>
    </cfRule>
  </conditionalFormatting>
  <conditionalFormatting sqref="K759">
    <cfRule type="containsText" dxfId="9717" priority="9719" operator="containsText" text="RECHAZADA">
      <formula>NOT(ISERROR(SEARCH("RECHAZADA",K759)))</formula>
    </cfRule>
    <cfRule type="containsText" dxfId="9716" priority="9720" operator="containsText" text="Atendida">
      <formula>NOT(ISERROR(SEARCH("Atendida",K759)))</formula>
    </cfRule>
    <cfRule type="containsText" dxfId="9715" priority="9721" operator="containsText" text="Reasignación">
      <formula>NOT(ISERROR(SEARCH("Reasignación",K759)))</formula>
    </cfRule>
    <cfRule type="containsText" dxfId="9714" priority="9722" operator="containsText" text="RECHAZADA">
      <formula>NOT(ISERROR(SEARCH("RECHAZADA",K759)))</formula>
    </cfRule>
    <cfRule type="containsText" dxfId="9713" priority="9723" operator="containsText" text="Atendida">
      <formula>NOT(ISERROR(SEARCH("Atendida",K759)))</formula>
    </cfRule>
    <cfRule type="containsText" dxfId="9712" priority="9724" operator="containsText" text="Reasignación">
      <formula>NOT(ISERROR(SEARCH("Reasignación",K759)))</formula>
    </cfRule>
    <cfRule type="containsText" dxfId="9711" priority="9725" operator="containsText" text="RECHAZADA">
      <formula>NOT(ISERROR(SEARCH("RECHAZADA",K759)))</formula>
    </cfRule>
    <cfRule type="containsText" dxfId="9710" priority="9726" operator="containsText" text="Atendida">
      <formula>NOT(ISERROR(SEARCH("Atendida",K759)))</formula>
    </cfRule>
  </conditionalFormatting>
  <conditionalFormatting sqref="K759">
    <cfRule type="containsText" dxfId="9709" priority="9715" operator="containsText" text="Reasignación">
      <formula>NOT(ISERROR(SEARCH("Reasignación",K759)))</formula>
    </cfRule>
    <cfRule type="containsText" dxfId="9708" priority="9716" operator="containsText" text="RECHAZADA">
      <formula>NOT(ISERROR(SEARCH("RECHAZADA",K759)))</formula>
    </cfRule>
  </conditionalFormatting>
  <conditionalFormatting sqref="K759">
    <cfRule type="containsText" dxfId="9707" priority="9718" operator="containsText" text="Reasignación">
      <formula>NOT(ISERROR(SEARCH("Reasignación",K759)))</formula>
    </cfRule>
  </conditionalFormatting>
  <conditionalFormatting sqref="K759">
    <cfRule type="containsText" dxfId="9706" priority="9717" operator="containsText" text="Atendida">
      <formula>NOT(ISERROR(SEARCH("Atendida",K759)))</formula>
    </cfRule>
  </conditionalFormatting>
  <conditionalFormatting sqref="K759">
    <cfRule type="containsText" dxfId="9705" priority="9690" operator="containsText" text="Reasignación">
      <formula>NOT(ISERROR(SEARCH("Reasignación",K759)))</formula>
    </cfRule>
    <cfRule type="containsText" dxfId="9704" priority="9691" operator="containsText" text="RECHAZADA">
      <formula>NOT(ISERROR(SEARCH("RECHAZADA",K759)))</formula>
    </cfRule>
    <cfRule type="containsText" dxfId="9703" priority="9692" operator="containsText" text="Atendida">
      <formula>NOT(ISERROR(SEARCH("Atendida",K759)))</formula>
    </cfRule>
    <cfRule type="containsText" dxfId="9702" priority="9693" operator="containsText" text="Reasignación">
      <formula>NOT(ISERROR(SEARCH("Reasignación",K759)))</formula>
    </cfRule>
    <cfRule type="containsText" dxfId="9701" priority="9694" operator="containsText" text="RECHAZADA">
      <formula>NOT(ISERROR(SEARCH("RECHAZADA",K759)))</formula>
    </cfRule>
    <cfRule type="containsText" dxfId="9700" priority="9695" operator="containsText" text="Atendida">
      <formula>NOT(ISERROR(SEARCH("Atendida",K759)))</formula>
    </cfRule>
    <cfRule type="containsText" dxfId="9699" priority="9696" operator="containsText" text="Reasignación">
      <formula>NOT(ISERROR(SEARCH("Reasignación",K759)))</formula>
    </cfRule>
    <cfRule type="containsText" dxfId="9698" priority="9697" operator="containsText" text="RECHAZADA">
      <formula>NOT(ISERROR(SEARCH("RECHAZADA",K759)))</formula>
    </cfRule>
    <cfRule type="containsText" dxfId="9697" priority="9698" operator="containsText" text="Atendida">
      <formula>NOT(ISERROR(SEARCH("Atendida",K759)))</formula>
    </cfRule>
    <cfRule type="containsText" dxfId="9696" priority="9699" operator="containsText" text="Reasignación">
      <formula>NOT(ISERROR(SEARCH("Reasignación",K759)))</formula>
    </cfRule>
    <cfRule type="containsText" dxfId="9695" priority="9700" operator="containsText" text="RECHAZADA">
      <formula>NOT(ISERROR(SEARCH("RECHAZADA",K759)))</formula>
    </cfRule>
    <cfRule type="containsText" dxfId="9694" priority="9701" operator="containsText" text="Atendida">
      <formula>NOT(ISERROR(SEARCH("Atendida",K759)))</formula>
    </cfRule>
    <cfRule type="containsText" dxfId="9693" priority="9702" operator="containsText" text="Reasignación">
      <formula>NOT(ISERROR(SEARCH("Reasignación",K759)))</formula>
    </cfRule>
    <cfRule type="containsText" dxfId="9692" priority="9703" operator="containsText" text="RECHAZADA">
      <formula>NOT(ISERROR(SEARCH("RECHAZADA",K759)))</formula>
    </cfRule>
    <cfRule type="containsText" dxfId="9691" priority="9704" operator="containsText" text="Atendida">
      <formula>NOT(ISERROR(SEARCH("Atendida",K759)))</formula>
    </cfRule>
    <cfRule type="containsText" dxfId="9690" priority="9705" operator="containsText" text="Reasignación">
      <formula>NOT(ISERROR(SEARCH("Reasignación",K759)))</formula>
    </cfRule>
    <cfRule type="containsText" dxfId="9689" priority="9706" operator="containsText" text="RECHAZADA">
      <formula>NOT(ISERROR(SEARCH("RECHAZADA",K759)))</formula>
    </cfRule>
    <cfRule type="containsText" dxfId="9688" priority="9707" operator="containsText" text="Atendida">
      <formula>NOT(ISERROR(SEARCH("Atendida",K759)))</formula>
    </cfRule>
    <cfRule type="containsText" dxfId="9687" priority="9708" operator="containsText" text="Reasignación">
      <formula>NOT(ISERROR(SEARCH("Reasignación",K759)))</formula>
    </cfRule>
    <cfRule type="containsText" dxfId="9686" priority="9709" operator="containsText" text="RECHAZADA">
      <formula>NOT(ISERROR(SEARCH("RECHAZADA",K759)))</formula>
    </cfRule>
    <cfRule type="containsText" dxfId="9685" priority="9710" operator="containsText" text="Atendida">
      <formula>NOT(ISERROR(SEARCH("Atendida",K759)))</formula>
    </cfRule>
    <cfRule type="containsText" dxfId="9684" priority="9711" operator="containsText" text="Reasignación">
      <formula>NOT(ISERROR(SEARCH("Reasignación",K759)))</formula>
    </cfRule>
    <cfRule type="containsText" dxfId="9683" priority="9712" operator="containsText" text="RECHAZADA">
      <formula>NOT(ISERROR(SEARCH("RECHAZADA",K759)))</formula>
    </cfRule>
    <cfRule type="containsText" dxfId="9682" priority="9713" operator="containsText" text="Atendida">
      <formula>NOT(ISERROR(SEARCH("Atendida",K759)))</formula>
    </cfRule>
    <cfRule type="containsText" dxfId="9681" priority="9714" operator="containsText" text="Atendida">
      <formula>NOT(ISERROR(SEARCH("Atendida",K759)))</formula>
    </cfRule>
  </conditionalFormatting>
  <conditionalFormatting sqref="K760">
    <cfRule type="containsText" dxfId="9680" priority="9675" operator="containsText" text="Reasignación">
      <formula>NOT(ISERROR(SEARCH("Reasignación",K760)))</formula>
    </cfRule>
    <cfRule type="containsText" dxfId="9679" priority="9676" operator="containsText" text="RECHAZADA">
      <formula>NOT(ISERROR(SEARCH("RECHAZADA",K760)))</formula>
    </cfRule>
    <cfRule type="containsText" dxfId="9678" priority="9677" operator="containsText" text="Atendida">
      <formula>NOT(ISERROR(SEARCH("Atendida",K760)))</formula>
    </cfRule>
  </conditionalFormatting>
  <conditionalFormatting sqref="K760">
    <cfRule type="containsText" dxfId="9677" priority="9678" operator="containsText" text="Reasignación">
      <formula>NOT(ISERROR(SEARCH("Reasignación",K760)))</formula>
    </cfRule>
    <cfRule type="containsText" dxfId="9676" priority="9679" operator="containsText" text="RECHAZADA">
      <formula>NOT(ISERROR(SEARCH("RECHAZADA",K760)))</formula>
    </cfRule>
    <cfRule type="containsText" dxfId="9675" priority="9680" operator="containsText" text="Atendida">
      <formula>NOT(ISERROR(SEARCH("Atendida",K760)))</formula>
    </cfRule>
    <cfRule type="containsText" dxfId="9674" priority="9681" operator="containsText" text="Reasignación">
      <formula>NOT(ISERROR(SEARCH("Reasignación",K760)))</formula>
    </cfRule>
    <cfRule type="containsText" dxfId="9673" priority="9682" operator="containsText" text="RECHAZADA">
      <formula>NOT(ISERROR(SEARCH("RECHAZADA",K760)))</formula>
    </cfRule>
    <cfRule type="containsText" dxfId="9672" priority="9683" operator="containsText" text="Atendida">
      <formula>NOT(ISERROR(SEARCH("Atendida",K760)))</formula>
    </cfRule>
    <cfRule type="containsText" dxfId="9671" priority="9684" operator="containsText" text="Reasignación">
      <formula>NOT(ISERROR(SEARCH("Reasignación",K760)))</formula>
    </cfRule>
    <cfRule type="containsText" dxfId="9670" priority="9685" operator="containsText" text="RECHAZADA">
      <formula>NOT(ISERROR(SEARCH("RECHAZADA",K760)))</formula>
    </cfRule>
    <cfRule type="containsText" dxfId="9669" priority="9686" operator="containsText" text="Atendida">
      <formula>NOT(ISERROR(SEARCH("Atendida",K760)))</formula>
    </cfRule>
    <cfRule type="containsText" dxfId="9668" priority="9687" operator="containsText" text="Reasignación">
      <formula>NOT(ISERROR(SEARCH("Reasignación",K760)))</formula>
    </cfRule>
    <cfRule type="containsText" dxfId="9667" priority="9688" operator="containsText" text="RECHAZADA">
      <formula>NOT(ISERROR(SEARCH("RECHAZADA",K760)))</formula>
    </cfRule>
    <cfRule type="containsText" dxfId="9666" priority="9689" operator="containsText" text="Atendida">
      <formula>NOT(ISERROR(SEARCH("Atendida",K760)))</formula>
    </cfRule>
  </conditionalFormatting>
  <conditionalFormatting sqref="K760">
    <cfRule type="containsText" dxfId="9665" priority="9667" operator="containsText" text="RECHAZADA">
      <formula>NOT(ISERROR(SEARCH("RECHAZADA",K760)))</formula>
    </cfRule>
    <cfRule type="containsText" dxfId="9664" priority="9668" operator="containsText" text="Atendida">
      <formula>NOT(ISERROR(SEARCH("Atendida",K760)))</formula>
    </cfRule>
    <cfRule type="containsText" dxfId="9663" priority="9669" operator="containsText" text="Reasignación">
      <formula>NOT(ISERROR(SEARCH("Reasignación",K760)))</formula>
    </cfRule>
    <cfRule type="containsText" dxfId="9662" priority="9670" operator="containsText" text="RECHAZADA">
      <formula>NOT(ISERROR(SEARCH("RECHAZADA",K760)))</formula>
    </cfRule>
    <cfRule type="containsText" dxfId="9661" priority="9671" operator="containsText" text="Atendida">
      <formula>NOT(ISERROR(SEARCH("Atendida",K760)))</formula>
    </cfRule>
    <cfRule type="containsText" dxfId="9660" priority="9672" operator="containsText" text="Reasignación">
      <formula>NOT(ISERROR(SEARCH("Reasignación",K760)))</formula>
    </cfRule>
    <cfRule type="containsText" dxfId="9659" priority="9673" operator="containsText" text="RECHAZADA">
      <formula>NOT(ISERROR(SEARCH("RECHAZADA",K760)))</formula>
    </cfRule>
    <cfRule type="containsText" dxfId="9658" priority="9674" operator="containsText" text="Atendida">
      <formula>NOT(ISERROR(SEARCH("Atendida",K760)))</formula>
    </cfRule>
  </conditionalFormatting>
  <conditionalFormatting sqref="K760">
    <cfRule type="containsText" dxfId="9657" priority="9666" operator="containsText" text="Reasignación">
      <formula>NOT(ISERROR(SEARCH("Reasignación",K760)))</formula>
    </cfRule>
  </conditionalFormatting>
  <conditionalFormatting sqref="K760">
    <cfRule type="containsText" dxfId="9656" priority="9665" operator="containsText" text="Atendida">
      <formula>NOT(ISERROR(SEARCH("Atendida",K760)))</formula>
    </cfRule>
  </conditionalFormatting>
  <conditionalFormatting sqref="K760">
    <cfRule type="containsText" dxfId="9655" priority="9663" operator="containsText" text="Reasignación">
      <formula>NOT(ISERROR(SEARCH("Reasignación",K760)))</formula>
    </cfRule>
    <cfRule type="containsText" dxfId="9654" priority="9664" operator="containsText" text="RECHAZADA">
      <formula>NOT(ISERROR(SEARCH("RECHAZADA",K760)))</formula>
    </cfRule>
  </conditionalFormatting>
  <conditionalFormatting sqref="K760">
    <cfRule type="containsText" dxfId="9653" priority="9651" operator="containsText" text="Reasignación">
      <formula>NOT(ISERROR(SEARCH("Reasignación",K760)))</formula>
    </cfRule>
    <cfRule type="containsText" dxfId="9652" priority="9652" operator="containsText" text="RECHAZADA">
      <formula>NOT(ISERROR(SEARCH("RECHAZADA",K760)))</formula>
    </cfRule>
    <cfRule type="containsText" dxfId="9651" priority="9653" operator="containsText" text="Atendida">
      <formula>NOT(ISERROR(SEARCH("Atendida",K760)))</formula>
    </cfRule>
    <cfRule type="containsText" dxfId="9650" priority="9654" operator="containsText" text="Reasignación">
      <formula>NOT(ISERROR(SEARCH("Reasignación",K760)))</formula>
    </cfRule>
    <cfRule type="containsText" dxfId="9649" priority="9655" operator="containsText" text="RECHAZADA">
      <formula>NOT(ISERROR(SEARCH("RECHAZADA",K760)))</formula>
    </cfRule>
    <cfRule type="containsText" dxfId="9648" priority="9656" operator="containsText" text="Atendida">
      <formula>NOT(ISERROR(SEARCH("Atendida",K760)))</formula>
    </cfRule>
    <cfRule type="containsText" dxfId="9647" priority="9657" operator="containsText" text="Reasignación">
      <formula>NOT(ISERROR(SEARCH("Reasignación",K760)))</formula>
    </cfRule>
    <cfRule type="containsText" dxfId="9646" priority="9658" operator="containsText" text="RECHAZADA">
      <formula>NOT(ISERROR(SEARCH("RECHAZADA",K760)))</formula>
    </cfRule>
    <cfRule type="containsText" dxfId="9645" priority="9659" operator="containsText" text="Atendida">
      <formula>NOT(ISERROR(SEARCH("Atendida",K760)))</formula>
    </cfRule>
    <cfRule type="containsText" dxfId="9644" priority="9660" operator="containsText" text="Reasignación">
      <formula>NOT(ISERROR(SEARCH("Reasignación",K760)))</formula>
    </cfRule>
    <cfRule type="containsText" dxfId="9643" priority="9661" operator="containsText" text="RECHAZADA">
      <formula>NOT(ISERROR(SEARCH("RECHAZADA",K760)))</formula>
    </cfRule>
    <cfRule type="containsText" dxfId="9642" priority="9662" operator="containsText" text="Atendida">
      <formula>NOT(ISERROR(SEARCH("Atendida",K760)))</formula>
    </cfRule>
  </conditionalFormatting>
  <conditionalFormatting sqref="K760">
    <cfRule type="containsText" dxfId="9641" priority="9643" operator="containsText" text="RECHAZADA">
      <formula>NOT(ISERROR(SEARCH("RECHAZADA",K760)))</formula>
    </cfRule>
    <cfRule type="containsText" dxfId="9640" priority="9644" operator="containsText" text="Atendida">
      <formula>NOT(ISERROR(SEARCH("Atendida",K760)))</formula>
    </cfRule>
    <cfRule type="containsText" dxfId="9639" priority="9645" operator="containsText" text="Reasignación">
      <formula>NOT(ISERROR(SEARCH("Reasignación",K760)))</formula>
    </cfRule>
    <cfRule type="containsText" dxfId="9638" priority="9646" operator="containsText" text="RECHAZADA">
      <formula>NOT(ISERROR(SEARCH("RECHAZADA",K760)))</formula>
    </cfRule>
    <cfRule type="containsText" dxfId="9637" priority="9647" operator="containsText" text="Atendida">
      <formula>NOT(ISERROR(SEARCH("Atendida",K760)))</formula>
    </cfRule>
    <cfRule type="containsText" dxfId="9636" priority="9648" operator="containsText" text="Reasignación">
      <formula>NOT(ISERROR(SEARCH("Reasignación",K760)))</formula>
    </cfRule>
    <cfRule type="containsText" dxfId="9635" priority="9649" operator="containsText" text="RECHAZADA">
      <formula>NOT(ISERROR(SEARCH("RECHAZADA",K760)))</formula>
    </cfRule>
    <cfRule type="containsText" dxfId="9634" priority="9650" operator="containsText" text="Atendida">
      <formula>NOT(ISERROR(SEARCH("Atendida",K760)))</formula>
    </cfRule>
  </conditionalFormatting>
  <conditionalFormatting sqref="K760">
    <cfRule type="containsText" dxfId="9633" priority="9639" operator="containsText" text="Reasignación">
      <formula>NOT(ISERROR(SEARCH("Reasignación",K760)))</formula>
    </cfRule>
    <cfRule type="containsText" dxfId="9632" priority="9640" operator="containsText" text="RECHAZADA">
      <formula>NOT(ISERROR(SEARCH("RECHAZADA",K760)))</formula>
    </cfRule>
  </conditionalFormatting>
  <conditionalFormatting sqref="K760">
    <cfRule type="containsText" dxfId="9631" priority="9642" operator="containsText" text="Reasignación">
      <formula>NOT(ISERROR(SEARCH("Reasignación",K760)))</formula>
    </cfRule>
  </conditionalFormatting>
  <conditionalFormatting sqref="K760">
    <cfRule type="containsText" dxfId="9630" priority="9641" operator="containsText" text="Atendida">
      <formula>NOT(ISERROR(SEARCH("Atendida",K760)))</formula>
    </cfRule>
  </conditionalFormatting>
  <conditionalFormatting sqref="K760">
    <cfRule type="containsText" dxfId="9629" priority="9614" operator="containsText" text="Reasignación">
      <formula>NOT(ISERROR(SEARCH("Reasignación",K760)))</formula>
    </cfRule>
    <cfRule type="containsText" dxfId="9628" priority="9615" operator="containsText" text="RECHAZADA">
      <formula>NOT(ISERROR(SEARCH("RECHAZADA",K760)))</formula>
    </cfRule>
    <cfRule type="containsText" dxfId="9627" priority="9616" operator="containsText" text="Atendida">
      <formula>NOT(ISERROR(SEARCH("Atendida",K760)))</formula>
    </cfRule>
    <cfRule type="containsText" dxfId="9626" priority="9617" operator="containsText" text="Reasignación">
      <formula>NOT(ISERROR(SEARCH("Reasignación",K760)))</formula>
    </cfRule>
    <cfRule type="containsText" dxfId="9625" priority="9618" operator="containsText" text="RECHAZADA">
      <formula>NOT(ISERROR(SEARCH("RECHAZADA",K760)))</formula>
    </cfRule>
    <cfRule type="containsText" dxfId="9624" priority="9619" operator="containsText" text="Atendida">
      <formula>NOT(ISERROR(SEARCH("Atendida",K760)))</formula>
    </cfRule>
    <cfRule type="containsText" dxfId="9623" priority="9620" operator="containsText" text="Reasignación">
      <formula>NOT(ISERROR(SEARCH("Reasignación",K760)))</formula>
    </cfRule>
    <cfRule type="containsText" dxfId="9622" priority="9621" operator="containsText" text="RECHAZADA">
      <formula>NOT(ISERROR(SEARCH("RECHAZADA",K760)))</formula>
    </cfRule>
    <cfRule type="containsText" dxfId="9621" priority="9622" operator="containsText" text="Atendida">
      <formula>NOT(ISERROR(SEARCH("Atendida",K760)))</formula>
    </cfRule>
    <cfRule type="containsText" dxfId="9620" priority="9623" operator="containsText" text="Reasignación">
      <formula>NOT(ISERROR(SEARCH("Reasignación",K760)))</formula>
    </cfRule>
    <cfRule type="containsText" dxfId="9619" priority="9624" operator="containsText" text="RECHAZADA">
      <formula>NOT(ISERROR(SEARCH("RECHAZADA",K760)))</formula>
    </cfRule>
    <cfRule type="containsText" dxfId="9618" priority="9625" operator="containsText" text="Atendida">
      <formula>NOT(ISERROR(SEARCH("Atendida",K760)))</formula>
    </cfRule>
    <cfRule type="containsText" dxfId="9617" priority="9626" operator="containsText" text="Reasignación">
      <formula>NOT(ISERROR(SEARCH("Reasignación",K760)))</formula>
    </cfRule>
    <cfRule type="containsText" dxfId="9616" priority="9627" operator="containsText" text="RECHAZADA">
      <formula>NOT(ISERROR(SEARCH("RECHAZADA",K760)))</formula>
    </cfRule>
    <cfRule type="containsText" dxfId="9615" priority="9628" operator="containsText" text="Atendida">
      <formula>NOT(ISERROR(SEARCH("Atendida",K760)))</formula>
    </cfRule>
    <cfRule type="containsText" dxfId="9614" priority="9629" operator="containsText" text="Reasignación">
      <formula>NOT(ISERROR(SEARCH("Reasignación",K760)))</formula>
    </cfRule>
    <cfRule type="containsText" dxfId="9613" priority="9630" operator="containsText" text="RECHAZADA">
      <formula>NOT(ISERROR(SEARCH("RECHAZADA",K760)))</formula>
    </cfRule>
    <cfRule type="containsText" dxfId="9612" priority="9631" operator="containsText" text="Atendida">
      <formula>NOT(ISERROR(SEARCH("Atendida",K760)))</formula>
    </cfRule>
    <cfRule type="containsText" dxfId="9611" priority="9632" operator="containsText" text="Reasignación">
      <formula>NOT(ISERROR(SEARCH("Reasignación",K760)))</formula>
    </cfRule>
    <cfRule type="containsText" dxfId="9610" priority="9633" operator="containsText" text="RECHAZADA">
      <formula>NOT(ISERROR(SEARCH("RECHAZADA",K760)))</formula>
    </cfRule>
    <cfRule type="containsText" dxfId="9609" priority="9634" operator="containsText" text="Atendida">
      <formula>NOT(ISERROR(SEARCH("Atendida",K760)))</formula>
    </cfRule>
    <cfRule type="containsText" dxfId="9608" priority="9635" operator="containsText" text="Reasignación">
      <formula>NOT(ISERROR(SEARCH("Reasignación",K760)))</formula>
    </cfRule>
    <cfRule type="containsText" dxfId="9607" priority="9636" operator="containsText" text="RECHAZADA">
      <formula>NOT(ISERROR(SEARCH("RECHAZADA",K760)))</formula>
    </cfRule>
    <cfRule type="containsText" dxfId="9606" priority="9637" operator="containsText" text="Atendida">
      <formula>NOT(ISERROR(SEARCH("Atendida",K760)))</formula>
    </cfRule>
    <cfRule type="containsText" dxfId="9605" priority="9638" operator="containsText" text="Atendida">
      <formula>NOT(ISERROR(SEARCH("Atendida",K760)))</formula>
    </cfRule>
  </conditionalFormatting>
  <conditionalFormatting sqref="E773 E771 E761:E769">
    <cfRule type="duplicateValues" dxfId="9604" priority="9609"/>
  </conditionalFormatting>
  <conditionalFormatting sqref="M773 M771 M761:M769">
    <cfRule type="containsText" dxfId="9603" priority="9612" operator="containsText" text="Atendida">
      <formula>NOT(ISERROR(SEARCH("Atendida",M761)))</formula>
    </cfRule>
  </conditionalFormatting>
  <conditionalFormatting sqref="M773 M771 M761:M769">
    <cfRule type="containsText" dxfId="9602" priority="9611" operator="containsText" text="RECHAZADA">
      <formula>NOT(ISERROR(SEARCH("RECHAZADA",M761)))</formula>
    </cfRule>
  </conditionalFormatting>
  <conditionalFormatting sqref="M773 M771 M761:M769">
    <cfRule type="containsText" dxfId="9601" priority="9610" operator="containsText" text="CONFORME">
      <formula>NOT(ISERROR(SEARCH("CONFORME",M761)))</formula>
    </cfRule>
  </conditionalFormatting>
  <conditionalFormatting sqref="M773 M771 M761:M769">
    <cfRule type="containsText" dxfId="9600" priority="9608" operator="containsText" text="OBSERVADO">
      <formula>NOT(ISERROR(SEARCH("OBSERVADO",M761)))</formula>
    </cfRule>
  </conditionalFormatting>
  <conditionalFormatting sqref="K761">
    <cfRule type="containsText" dxfId="9599" priority="9593" operator="containsText" text="Reasignación">
      <formula>NOT(ISERROR(SEARCH("Reasignación",K761)))</formula>
    </cfRule>
    <cfRule type="containsText" dxfId="9598" priority="9594" operator="containsText" text="RECHAZADA">
      <formula>NOT(ISERROR(SEARCH("RECHAZADA",K761)))</formula>
    </cfRule>
    <cfRule type="containsText" dxfId="9597" priority="9595" operator="containsText" text="Atendida">
      <formula>NOT(ISERROR(SEARCH("Atendida",K761)))</formula>
    </cfRule>
  </conditionalFormatting>
  <conditionalFormatting sqref="K761">
    <cfRule type="containsText" dxfId="9596" priority="9596" operator="containsText" text="Reasignación">
      <formula>NOT(ISERROR(SEARCH("Reasignación",K761)))</formula>
    </cfRule>
    <cfRule type="containsText" dxfId="9595" priority="9597" operator="containsText" text="RECHAZADA">
      <formula>NOT(ISERROR(SEARCH("RECHAZADA",K761)))</formula>
    </cfRule>
    <cfRule type="containsText" dxfId="9594" priority="9598" operator="containsText" text="Atendida">
      <formula>NOT(ISERROR(SEARCH("Atendida",K761)))</formula>
    </cfRule>
    <cfRule type="containsText" dxfId="9593" priority="9599" operator="containsText" text="Reasignación">
      <formula>NOT(ISERROR(SEARCH("Reasignación",K761)))</formula>
    </cfRule>
    <cfRule type="containsText" dxfId="9592" priority="9600" operator="containsText" text="RECHAZADA">
      <formula>NOT(ISERROR(SEARCH("RECHAZADA",K761)))</formula>
    </cfRule>
    <cfRule type="containsText" dxfId="9591" priority="9601" operator="containsText" text="Atendida">
      <formula>NOT(ISERROR(SEARCH("Atendida",K761)))</formula>
    </cfRule>
    <cfRule type="containsText" dxfId="9590" priority="9602" operator="containsText" text="Reasignación">
      <formula>NOT(ISERROR(SEARCH("Reasignación",K761)))</formula>
    </cfRule>
    <cfRule type="containsText" dxfId="9589" priority="9603" operator="containsText" text="RECHAZADA">
      <formula>NOT(ISERROR(SEARCH("RECHAZADA",K761)))</formula>
    </cfRule>
    <cfRule type="containsText" dxfId="9588" priority="9604" operator="containsText" text="Atendida">
      <formula>NOT(ISERROR(SEARCH("Atendida",K761)))</formula>
    </cfRule>
    <cfRule type="containsText" dxfId="9587" priority="9605" operator="containsText" text="Reasignación">
      <formula>NOT(ISERROR(SEARCH("Reasignación",K761)))</formula>
    </cfRule>
    <cfRule type="containsText" dxfId="9586" priority="9606" operator="containsText" text="RECHAZADA">
      <formula>NOT(ISERROR(SEARCH("RECHAZADA",K761)))</formula>
    </cfRule>
    <cfRule type="containsText" dxfId="9585" priority="9607" operator="containsText" text="Atendida">
      <formula>NOT(ISERROR(SEARCH("Atendida",K761)))</formula>
    </cfRule>
  </conditionalFormatting>
  <conditionalFormatting sqref="K761">
    <cfRule type="containsText" dxfId="9584" priority="9585" operator="containsText" text="RECHAZADA">
      <formula>NOT(ISERROR(SEARCH("RECHAZADA",K761)))</formula>
    </cfRule>
    <cfRule type="containsText" dxfId="9583" priority="9586" operator="containsText" text="Atendida">
      <formula>NOT(ISERROR(SEARCH("Atendida",K761)))</formula>
    </cfRule>
    <cfRule type="containsText" dxfId="9582" priority="9587" operator="containsText" text="Reasignación">
      <formula>NOT(ISERROR(SEARCH("Reasignación",K761)))</formula>
    </cfRule>
    <cfRule type="containsText" dxfId="9581" priority="9588" operator="containsText" text="RECHAZADA">
      <formula>NOT(ISERROR(SEARCH("RECHAZADA",K761)))</formula>
    </cfRule>
    <cfRule type="containsText" dxfId="9580" priority="9589" operator="containsText" text="Atendida">
      <formula>NOT(ISERROR(SEARCH("Atendida",K761)))</formula>
    </cfRule>
    <cfRule type="containsText" dxfId="9579" priority="9590" operator="containsText" text="Reasignación">
      <formula>NOT(ISERROR(SEARCH("Reasignación",K761)))</formula>
    </cfRule>
    <cfRule type="containsText" dxfId="9578" priority="9591" operator="containsText" text="RECHAZADA">
      <formula>NOT(ISERROR(SEARCH("RECHAZADA",K761)))</formula>
    </cfRule>
    <cfRule type="containsText" dxfId="9577" priority="9592" operator="containsText" text="Atendida">
      <formula>NOT(ISERROR(SEARCH("Atendida",K761)))</formula>
    </cfRule>
  </conditionalFormatting>
  <conditionalFormatting sqref="K761">
    <cfRule type="containsText" dxfId="9576" priority="9584" operator="containsText" text="Reasignación">
      <formula>NOT(ISERROR(SEARCH("Reasignación",K761)))</formula>
    </cfRule>
  </conditionalFormatting>
  <conditionalFormatting sqref="K761">
    <cfRule type="containsText" dxfId="9575" priority="9583" operator="containsText" text="Atendida">
      <formula>NOT(ISERROR(SEARCH("Atendida",K761)))</formula>
    </cfRule>
  </conditionalFormatting>
  <conditionalFormatting sqref="K761">
    <cfRule type="containsText" dxfId="9574" priority="9581" operator="containsText" text="Reasignación">
      <formula>NOT(ISERROR(SEARCH("Reasignación",K761)))</formula>
    </cfRule>
    <cfRule type="containsText" dxfId="9573" priority="9582" operator="containsText" text="RECHAZADA">
      <formula>NOT(ISERROR(SEARCH("RECHAZADA",K761)))</formula>
    </cfRule>
  </conditionalFormatting>
  <conditionalFormatting sqref="K761">
    <cfRule type="containsText" dxfId="9572" priority="9569" operator="containsText" text="Reasignación">
      <formula>NOT(ISERROR(SEARCH("Reasignación",K761)))</formula>
    </cfRule>
    <cfRule type="containsText" dxfId="9571" priority="9570" operator="containsText" text="RECHAZADA">
      <formula>NOT(ISERROR(SEARCH("RECHAZADA",K761)))</formula>
    </cfRule>
    <cfRule type="containsText" dxfId="9570" priority="9571" operator="containsText" text="Atendida">
      <formula>NOT(ISERROR(SEARCH("Atendida",K761)))</formula>
    </cfRule>
    <cfRule type="containsText" dxfId="9569" priority="9572" operator="containsText" text="Reasignación">
      <formula>NOT(ISERROR(SEARCH("Reasignación",K761)))</formula>
    </cfRule>
    <cfRule type="containsText" dxfId="9568" priority="9573" operator="containsText" text="RECHAZADA">
      <formula>NOT(ISERROR(SEARCH("RECHAZADA",K761)))</formula>
    </cfRule>
    <cfRule type="containsText" dxfId="9567" priority="9574" operator="containsText" text="Atendida">
      <formula>NOT(ISERROR(SEARCH("Atendida",K761)))</formula>
    </cfRule>
    <cfRule type="containsText" dxfId="9566" priority="9575" operator="containsText" text="Reasignación">
      <formula>NOT(ISERROR(SEARCH("Reasignación",K761)))</formula>
    </cfRule>
    <cfRule type="containsText" dxfId="9565" priority="9576" operator="containsText" text="RECHAZADA">
      <formula>NOT(ISERROR(SEARCH("RECHAZADA",K761)))</formula>
    </cfRule>
    <cfRule type="containsText" dxfId="9564" priority="9577" operator="containsText" text="Atendida">
      <formula>NOT(ISERROR(SEARCH("Atendida",K761)))</formula>
    </cfRule>
    <cfRule type="containsText" dxfId="9563" priority="9578" operator="containsText" text="Reasignación">
      <formula>NOT(ISERROR(SEARCH("Reasignación",K761)))</formula>
    </cfRule>
    <cfRule type="containsText" dxfId="9562" priority="9579" operator="containsText" text="RECHAZADA">
      <formula>NOT(ISERROR(SEARCH("RECHAZADA",K761)))</formula>
    </cfRule>
    <cfRule type="containsText" dxfId="9561" priority="9580" operator="containsText" text="Atendida">
      <formula>NOT(ISERROR(SEARCH("Atendida",K761)))</formula>
    </cfRule>
  </conditionalFormatting>
  <conditionalFormatting sqref="K761">
    <cfRule type="containsText" dxfId="9560" priority="9561" operator="containsText" text="RECHAZADA">
      <formula>NOT(ISERROR(SEARCH("RECHAZADA",K761)))</formula>
    </cfRule>
    <cfRule type="containsText" dxfId="9559" priority="9562" operator="containsText" text="Atendida">
      <formula>NOT(ISERROR(SEARCH("Atendida",K761)))</formula>
    </cfRule>
    <cfRule type="containsText" dxfId="9558" priority="9563" operator="containsText" text="Reasignación">
      <formula>NOT(ISERROR(SEARCH("Reasignación",K761)))</formula>
    </cfRule>
    <cfRule type="containsText" dxfId="9557" priority="9564" operator="containsText" text="RECHAZADA">
      <formula>NOT(ISERROR(SEARCH("RECHAZADA",K761)))</formula>
    </cfRule>
    <cfRule type="containsText" dxfId="9556" priority="9565" operator="containsText" text="Atendida">
      <formula>NOT(ISERROR(SEARCH("Atendida",K761)))</formula>
    </cfRule>
    <cfRule type="containsText" dxfId="9555" priority="9566" operator="containsText" text="Reasignación">
      <formula>NOT(ISERROR(SEARCH("Reasignación",K761)))</formula>
    </cfRule>
    <cfRule type="containsText" dxfId="9554" priority="9567" operator="containsText" text="RECHAZADA">
      <formula>NOT(ISERROR(SEARCH("RECHAZADA",K761)))</formula>
    </cfRule>
    <cfRule type="containsText" dxfId="9553" priority="9568" operator="containsText" text="Atendida">
      <formula>NOT(ISERROR(SEARCH("Atendida",K761)))</formula>
    </cfRule>
  </conditionalFormatting>
  <conditionalFormatting sqref="K761">
    <cfRule type="containsText" dxfId="9552" priority="9557" operator="containsText" text="Reasignación">
      <formula>NOT(ISERROR(SEARCH("Reasignación",K761)))</formula>
    </cfRule>
    <cfRule type="containsText" dxfId="9551" priority="9558" operator="containsText" text="RECHAZADA">
      <formula>NOT(ISERROR(SEARCH("RECHAZADA",K761)))</formula>
    </cfRule>
  </conditionalFormatting>
  <conditionalFormatting sqref="K761">
    <cfRule type="containsText" dxfId="9550" priority="9560" operator="containsText" text="Reasignación">
      <formula>NOT(ISERROR(SEARCH("Reasignación",K761)))</formula>
    </cfRule>
  </conditionalFormatting>
  <conditionalFormatting sqref="K761">
    <cfRule type="containsText" dxfId="9549" priority="9559" operator="containsText" text="Atendida">
      <formula>NOT(ISERROR(SEARCH("Atendida",K761)))</formula>
    </cfRule>
  </conditionalFormatting>
  <conditionalFormatting sqref="K761">
    <cfRule type="containsText" dxfId="9548" priority="9532" operator="containsText" text="Reasignación">
      <formula>NOT(ISERROR(SEARCH("Reasignación",K761)))</formula>
    </cfRule>
    <cfRule type="containsText" dxfId="9547" priority="9533" operator="containsText" text="RECHAZADA">
      <formula>NOT(ISERROR(SEARCH("RECHAZADA",K761)))</formula>
    </cfRule>
    <cfRule type="containsText" dxfId="9546" priority="9534" operator="containsText" text="Atendida">
      <formula>NOT(ISERROR(SEARCH("Atendida",K761)))</formula>
    </cfRule>
    <cfRule type="containsText" dxfId="9545" priority="9535" operator="containsText" text="Reasignación">
      <formula>NOT(ISERROR(SEARCH("Reasignación",K761)))</formula>
    </cfRule>
    <cfRule type="containsText" dxfId="9544" priority="9536" operator="containsText" text="RECHAZADA">
      <formula>NOT(ISERROR(SEARCH("RECHAZADA",K761)))</formula>
    </cfRule>
    <cfRule type="containsText" dxfId="9543" priority="9537" operator="containsText" text="Atendida">
      <formula>NOT(ISERROR(SEARCH("Atendida",K761)))</formula>
    </cfRule>
    <cfRule type="containsText" dxfId="9542" priority="9538" operator="containsText" text="Reasignación">
      <formula>NOT(ISERROR(SEARCH("Reasignación",K761)))</formula>
    </cfRule>
    <cfRule type="containsText" dxfId="9541" priority="9539" operator="containsText" text="RECHAZADA">
      <formula>NOT(ISERROR(SEARCH("RECHAZADA",K761)))</formula>
    </cfRule>
    <cfRule type="containsText" dxfId="9540" priority="9540" operator="containsText" text="Atendida">
      <formula>NOT(ISERROR(SEARCH("Atendida",K761)))</formula>
    </cfRule>
    <cfRule type="containsText" dxfId="9539" priority="9541" operator="containsText" text="Reasignación">
      <formula>NOT(ISERROR(SEARCH("Reasignación",K761)))</formula>
    </cfRule>
    <cfRule type="containsText" dxfId="9538" priority="9542" operator="containsText" text="RECHAZADA">
      <formula>NOT(ISERROR(SEARCH("RECHAZADA",K761)))</formula>
    </cfRule>
    <cfRule type="containsText" dxfId="9537" priority="9543" operator="containsText" text="Atendida">
      <formula>NOT(ISERROR(SEARCH("Atendida",K761)))</formula>
    </cfRule>
    <cfRule type="containsText" dxfId="9536" priority="9544" operator="containsText" text="Reasignación">
      <formula>NOT(ISERROR(SEARCH("Reasignación",K761)))</formula>
    </cfRule>
    <cfRule type="containsText" dxfId="9535" priority="9545" operator="containsText" text="RECHAZADA">
      <formula>NOT(ISERROR(SEARCH("RECHAZADA",K761)))</formula>
    </cfRule>
    <cfRule type="containsText" dxfId="9534" priority="9546" operator="containsText" text="Atendida">
      <formula>NOT(ISERROR(SEARCH("Atendida",K761)))</formula>
    </cfRule>
    <cfRule type="containsText" dxfId="9533" priority="9547" operator="containsText" text="Reasignación">
      <formula>NOT(ISERROR(SEARCH("Reasignación",K761)))</formula>
    </cfRule>
    <cfRule type="containsText" dxfId="9532" priority="9548" operator="containsText" text="RECHAZADA">
      <formula>NOT(ISERROR(SEARCH("RECHAZADA",K761)))</formula>
    </cfRule>
    <cfRule type="containsText" dxfId="9531" priority="9549" operator="containsText" text="Atendida">
      <formula>NOT(ISERROR(SEARCH("Atendida",K761)))</formula>
    </cfRule>
    <cfRule type="containsText" dxfId="9530" priority="9550" operator="containsText" text="Reasignación">
      <formula>NOT(ISERROR(SEARCH("Reasignación",K761)))</formula>
    </cfRule>
    <cfRule type="containsText" dxfId="9529" priority="9551" operator="containsText" text="RECHAZADA">
      <formula>NOT(ISERROR(SEARCH("RECHAZADA",K761)))</formula>
    </cfRule>
    <cfRule type="containsText" dxfId="9528" priority="9552" operator="containsText" text="Atendida">
      <formula>NOT(ISERROR(SEARCH("Atendida",K761)))</formula>
    </cfRule>
    <cfRule type="containsText" dxfId="9527" priority="9553" operator="containsText" text="Reasignación">
      <formula>NOT(ISERROR(SEARCH("Reasignación",K761)))</formula>
    </cfRule>
    <cfRule type="containsText" dxfId="9526" priority="9554" operator="containsText" text="RECHAZADA">
      <formula>NOT(ISERROR(SEARCH("RECHAZADA",K761)))</formula>
    </cfRule>
    <cfRule type="containsText" dxfId="9525" priority="9555" operator="containsText" text="Atendida">
      <formula>NOT(ISERROR(SEARCH("Atendida",K761)))</formula>
    </cfRule>
    <cfRule type="containsText" dxfId="9524" priority="9556" operator="containsText" text="Atendida">
      <formula>NOT(ISERROR(SEARCH("Atendida",K761)))</formula>
    </cfRule>
  </conditionalFormatting>
  <conditionalFormatting sqref="K762">
    <cfRule type="containsText" dxfId="9523" priority="9517" operator="containsText" text="Reasignación">
      <formula>NOT(ISERROR(SEARCH("Reasignación",K762)))</formula>
    </cfRule>
    <cfRule type="containsText" dxfId="9522" priority="9518" operator="containsText" text="RECHAZADA">
      <formula>NOT(ISERROR(SEARCH("RECHAZADA",K762)))</formula>
    </cfRule>
    <cfRule type="containsText" dxfId="9521" priority="9519" operator="containsText" text="Atendida">
      <formula>NOT(ISERROR(SEARCH("Atendida",K762)))</formula>
    </cfRule>
  </conditionalFormatting>
  <conditionalFormatting sqref="K762">
    <cfRule type="containsText" dxfId="9520" priority="9520" operator="containsText" text="Reasignación">
      <formula>NOT(ISERROR(SEARCH("Reasignación",K762)))</formula>
    </cfRule>
    <cfRule type="containsText" dxfId="9519" priority="9521" operator="containsText" text="RECHAZADA">
      <formula>NOT(ISERROR(SEARCH("RECHAZADA",K762)))</formula>
    </cfRule>
    <cfRule type="containsText" dxfId="9518" priority="9522" operator="containsText" text="Atendida">
      <formula>NOT(ISERROR(SEARCH("Atendida",K762)))</formula>
    </cfRule>
    <cfRule type="containsText" dxfId="9517" priority="9523" operator="containsText" text="Reasignación">
      <formula>NOT(ISERROR(SEARCH("Reasignación",K762)))</formula>
    </cfRule>
    <cfRule type="containsText" dxfId="9516" priority="9524" operator="containsText" text="RECHAZADA">
      <formula>NOT(ISERROR(SEARCH("RECHAZADA",K762)))</formula>
    </cfRule>
    <cfRule type="containsText" dxfId="9515" priority="9525" operator="containsText" text="Atendida">
      <formula>NOT(ISERROR(SEARCH("Atendida",K762)))</formula>
    </cfRule>
    <cfRule type="containsText" dxfId="9514" priority="9526" operator="containsText" text="Reasignación">
      <formula>NOT(ISERROR(SEARCH("Reasignación",K762)))</formula>
    </cfRule>
    <cfRule type="containsText" dxfId="9513" priority="9527" operator="containsText" text="RECHAZADA">
      <formula>NOT(ISERROR(SEARCH("RECHAZADA",K762)))</formula>
    </cfRule>
    <cfRule type="containsText" dxfId="9512" priority="9528" operator="containsText" text="Atendida">
      <formula>NOT(ISERROR(SEARCH("Atendida",K762)))</formula>
    </cfRule>
    <cfRule type="containsText" dxfId="9511" priority="9529" operator="containsText" text="Reasignación">
      <formula>NOT(ISERROR(SEARCH("Reasignación",K762)))</formula>
    </cfRule>
    <cfRule type="containsText" dxfId="9510" priority="9530" operator="containsText" text="RECHAZADA">
      <formula>NOT(ISERROR(SEARCH("RECHAZADA",K762)))</formula>
    </cfRule>
    <cfRule type="containsText" dxfId="9509" priority="9531" operator="containsText" text="Atendida">
      <formula>NOT(ISERROR(SEARCH("Atendida",K762)))</formula>
    </cfRule>
  </conditionalFormatting>
  <conditionalFormatting sqref="K762">
    <cfRule type="containsText" dxfId="9508" priority="9509" operator="containsText" text="RECHAZADA">
      <formula>NOT(ISERROR(SEARCH("RECHAZADA",K762)))</formula>
    </cfRule>
    <cfRule type="containsText" dxfId="9507" priority="9510" operator="containsText" text="Atendida">
      <formula>NOT(ISERROR(SEARCH("Atendida",K762)))</formula>
    </cfRule>
    <cfRule type="containsText" dxfId="9506" priority="9511" operator="containsText" text="Reasignación">
      <formula>NOT(ISERROR(SEARCH("Reasignación",K762)))</formula>
    </cfRule>
    <cfRule type="containsText" dxfId="9505" priority="9512" operator="containsText" text="RECHAZADA">
      <formula>NOT(ISERROR(SEARCH("RECHAZADA",K762)))</formula>
    </cfRule>
    <cfRule type="containsText" dxfId="9504" priority="9513" operator="containsText" text="Atendida">
      <formula>NOT(ISERROR(SEARCH("Atendida",K762)))</formula>
    </cfRule>
    <cfRule type="containsText" dxfId="9503" priority="9514" operator="containsText" text="Reasignación">
      <formula>NOT(ISERROR(SEARCH("Reasignación",K762)))</formula>
    </cfRule>
    <cfRule type="containsText" dxfId="9502" priority="9515" operator="containsText" text="RECHAZADA">
      <formula>NOT(ISERROR(SEARCH("RECHAZADA",K762)))</formula>
    </cfRule>
    <cfRule type="containsText" dxfId="9501" priority="9516" operator="containsText" text="Atendida">
      <formula>NOT(ISERROR(SEARCH("Atendida",K762)))</formula>
    </cfRule>
  </conditionalFormatting>
  <conditionalFormatting sqref="K762">
    <cfRule type="containsText" dxfId="9500" priority="9508" operator="containsText" text="Reasignación">
      <formula>NOT(ISERROR(SEARCH("Reasignación",K762)))</formula>
    </cfRule>
  </conditionalFormatting>
  <conditionalFormatting sqref="K762">
    <cfRule type="containsText" dxfId="9499" priority="9507" operator="containsText" text="Atendida">
      <formula>NOT(ISERROR(SEARCH("Atendida",K762)))</formula>
    </cfRule>
  </conditionalFormatting>
  <conditionalFormatting sqref="K762">
    <cfRule type="containsText" dxfId="9498" priority="9505" operator="containsText" text="Reasignación">
      <formula>NOT(ISERROR(SEARCH("Reasignación",K762)))</formula>
    </cfRule>
    <cfRule type="containsText" dxfId="9497" priority="9506" operator="containsText" text="RECHAZADA">
      <formula>NOT(ISERROR(SEARCH("RECHAZADA",K762)))</formula>
    </cfRule>
  </conditionalFormatting>
  <conditionalFormatting sqref="K762">
    <cfRule type="containsText" dxfId="9496" priority="9493" operator="containsText" text="Reasignación">
      <formula>NOT(ISERROR(SEARCH("Reasignación",K762)))</formula>
    </cfRule>
    <cfRule type="containsText" dxfId="9495" priority="9494" operator="containsText" text="RECHAZADA">
      <formula>NOT(ISERROR(SEARCH("RECHAZADA",K762)))</formula>
    </cfRule>
    <cfRule type="containsText" dxfId="9494" priority="9495" operator="containsText" text="Atendida">
      <formula>NOT(ISERROR(SEARCH("Atendida",K762)))</formula>
    </cfRule>
    <cfRule type="containsText" dxfId="9493" priority="9496" operator="containsText" text="Reasignación">
      <formula>NOT(ISERROR(SEARCH("Reasignación",K762)))</formula>
    </cfRule>
    <cfRule type="containsText" dxfId="9492" priority="9497" operator="containsText" text="RECHAZADA">
      <formula>NOT(ISERROR(SEARCH("RECHAZADA",K762)))</formula>
    </cfRule>
    <cfRule type="containsText" dxfId="9491" priority="9498" operator="containsText" text="Atendida">
      <formula>NOT(ISERROR(SEARCH("Atendida",K762)))</formula>
    </cfRule>
    <cfRule type="containsText" dxfId="9490" priority="9499" operator="containsText" text="Reasignación">
      <formula>NOT(ISERROR(SEARCH("Reasignación",K762)))</formula>
    </cfRule>
    <cfRule type="containsText" dxfId="9489" priority="9500" operator="containsText" text="RECHAZADA">
      <formula>NOT(ISERROR(SEARCH("RECHAZADA",K762)))</formula>
    </cfRule>
    <cfRule type="containsText" dxfId="9488" priority="9501" operator="containsText" text="Atendida">
      <formula>NOT(ISERROR(SEARCH("Atendida",K762)))</formula>
    </cfRule>
    <cfRule type="containsText" dxfId="9487" priority="9502" operator="containsText" text="Reasignación">
      <formula>NOT(ISERROR(SEARCH("Reasignación",K762)))</formula>
    </cfRule>
    <cfRule type="containsText" dxfId="9486" priority="9503" operator="containsText" text="RECHAZADA">
      <formula>NOT(ISERROR(SEARCH("RECHAZADA",K762)))</formula>
    </cfRule>
    <cfRule type="containsText" dxfId="9485" priority="9504" operator="containsText" text="Atendida">
      <formula>NOT(ISERROR(SEARCH("Atendida",K762)))</formula>
    </cfRule>
  </conditionalFormatting>
  <conditionalFormatting sqref="K762">
    <cfRule type="containsText" dxfId="9484" priority="9485" operator="containsText" text="RECHAZADA">
      <formula>NOT(ISERROR(SEARCH("RECHAZADA",K762)))</formula>
    </cfRule>
    <cfRule type="containsText" dxfId="9483" priority="9486" operator="containsText" text="Atendida">
      <formula>NOT(ISERROR(SEARCH("Atendida",K762)))</formula>
    </cfRule>
    <cfRule type="containsText" dxfId="9482" priority="9487" operator="containsText" text="Reasignación">
      <formula>NOT(ISERROR(SEARCH("Reasignación",K762)))</formula>
    </cfRule>
    <cfRule type="containsText" dxfId="9481" priority="9488" operator="containsText" text="RECHAZADA">
      <formula>NOT(ISERROR(SEARCH("RECHAZADA",K762)))</formula>
    </cfRule>
    <cfRule type="containsText" dxfId="9480" priority="9489" operator="containsText" text="Atendida">
      <formula>NOT(ISERROR(SEARCH("Atendida",K762)))</formula>
    </cfRule>
    <cfRule type="containsText" dxfId="9479" priority="9490" operator="containsText" text="Reasignación">
      <formula>NOT(ISERROR(SEARCH("Reasignación",K762)))</formula>
    </cfRule>
    <cfRule type="containsText" dxfId="9478" priority="9491" operator="containsText" text="RECHAZADA">
      <formula>NOT(ISERROR(SEARCH("RECHAZADA",K762)))</formula>
    </cfRule>
    <cfRule type="containsText" dxfId="9477" priority="9492" operator="containsText" text="Atendida">
      <formula>NOT(ISERROR(SEARCH("Atendida",K762)))</formula>
    </cfRule>
  </conditionalFormatting>
  <conditionalFormatting sqref="K762">
    <cfRule type="containsText" dxfId="9476" priority="9481" operator="containsText" text="Reasignación">
      <formula>NOT(ISERROR(SEARCH("Reasignación",K762)))</formula>
    </cfRule>
    <cfRule type="containsText" dxfId="9475" priority="9482" operator="containsText" text="RECHAZADA">
      <formula>NOT(ISERROR(SEARCH("RECHAZADA",K762)))</formula>
    </cfRule>
  </conditionalFormatting>
  <conditionalFormatting sqref="K762">
    <cfRule type="containsText" dxfId="9474" priority="9484" operator="containsText" text="Reasignación">
      <formula>NOT(ISERROR(SEARCH("Reasignación",K762)))</formula>
    </cfRule>
  </conditionalFormatting>
  <conditionalFormatting sqref="K762">
    <cfRule type="containsText" dxfId="9473" priority="9483" operator="containsText" text="Atendida">
      <formula>NOT(ISERROR(SEARCH("Atendida",K762)))</formula>
    </cfRule>
  </conditionalFormatting>
  <conditionalFormatting sqref="K762">
    <cfRule type="containsText" dxfId="9472" priority="9456" operator="containsText" text="Reasignación">
      <formula>NOT(ISERROR(SEARCH("Reasignación",K762)))</formula>
    </cfRule>
    <cfRule type="containsText" dxfId="9471" priority="9457" operator="containsText" text="RECHAZADA">
      <formula>NOT(ISERROR(SEARCH("RECHAZADA",K762)))</formula>
    </cfRule>
    <cfRule type="containsText" dxfId="9470" priority="9458" operator="containsText" text="Atendida">
      <formula>NOT(ISERROR(SEARCH("Atendida",K762)))</formula>
    </cfRule>
    <cfRule type="containsText" dxfId="9469" priority="9459" operator="containsText" text="Reasignación">
      <formula>NOT(ISERROR(SEARCH("Reasignación",K762)))</formula>
    </cfRule>
    <cfRule type="containsText" dxfId="9468" priority="9460" operator="containsText" text="RECHAZADA">
      <formula>NOT(ISERROR(SEARCH("RECHAZADA",K762)))</formula>
    </cfRule>
    <cfRule type="containsText" dxfId="9467" priority="9461" operator="containsText" text="Atendida">
      <formula>NOT(ISERROR(SEARCH("Atendida",K762)))</formula>
    </cfRule>
    <cfRule type="containsText" dxfId="9466" priority="9462" operator="containsText" text="Reasignación">
      <formula>NOT(ISERROR(SEARCH("Reasignación",K762)))</formula>
    </cfRule>
    <cfRule type="containsText" dxfId="9465" priority="9463" operator="containsText" text="RECHAZADA">
      <formula>NOT(ISERROR(SEARCH("RECHAZADA",K762)))</formula>
    </cfRule>
    <cfRule type="containsText" dxfId="9464" priority="9464" operator="containsText" text="Atendida">
      <formula>NOT(ISERROR(SEARCH("Atendida",K762)))</formula>
    </cfRule>
    <cfRule type="containsText" dxfId="9463" priority="9465" operator="containsText" text="Reasignación">
      <formula>NOT(ISERROR(SEARCH("Reasignación",K762)))</formula>
    </cfRule>
    <cfRule type="containsText" dxfId="9462" priority="9466" operator="containsText" text="RECHAZADA">
      <formula>NOT(ISERROR(SEARCH("RECHAZADA",K762)))</formula>
    </cfRule>
    <cfRule type="containsText" dxfId="9461" priority="9467" operator="containsText" text="Atendida">
      <formula>NOT(ISERROR(SEARCH("Atendida",K762)))</formula>
    </cfRule>
    <cfRule type="containsText" dxfId="9460" priority="9468" operator="containsText" text="Reasignación">
      <formula>NOT(ISERROR(SEARCH("Reasignación",K762)))</formula>
    </cfRule>
    <cfRule type="containsText" dxfId="9459" priority="9469" operator="containsText" text="RECHAZADA">
      <formula>NOT(ISERROR(SEARCH("RECHAZADA",K762)))</formula>
    </cfRule>
    <cfRule type="containsText" dxfId="9458" priority="9470" operator="containsText" text="Atendida">
      <formula>NOT(ISERROR(SEARCH("Atendida",K762)))</formula>
    </cfRule>
    <cfRule type="containsText" dxfId="9457" priority="9471" operator="containsText" text="Reasignación">
      <formula>NOT(ISERROR(SEARCH("Reasignación",K762)))</formula>
    </cfRule>
    <cfRule type="containsText" dxfId="9456" priority="9472" operator="containsText" text="RECHAZADA">
      <formula>NOT(ISERROR(SEARCH("RECHAZADA",K762)))</formula>
    </cfRule>
    <cfRule type="containsText" dxfId="9455" priority="9473" operator="containsText" text="Atendida">
      <formula>NOT(ISERROR(SEARCH("Atendida",K762)))</formula>
    </cfRule>
    <cfRule type="containsText" dxfId="9454" priority="9474" operator="containsText" text="Reasignación">
      <formula>NOT(ISERROR(SEARCH("Reasignación",K762)))</formula>
    </cfRule>
    <cfRule type="containsText" dxfId="9453" priority="9475" operator="containsText" text="RECHAZADA">
      <formula>NOT(ISERROR(SEARCH("RECHAZADA",K762)))</formula>
    </cfRule>
    <cfRule type="containsText" dxfId="9452" priority="9476" operator="containsText" text="Atendida">
      <formula>NOT(ISERROR(SEARCH("Atendida",K762)))</formula>
    </cfRule>
    <cfRule type="containsText" dxfId="9451" priority="9477" operator="containsText" text="Reasignación">
      <formula>NOT(ISERROR(SEARCH("Reasignación",K762)))</formula>
    </cfRule>
    <cfRule type="containsText" dxfId="9450" priority="9478" operator="containsText" text="RECHAZADA">
      <formula>NOT(ISERROR(SEARCH("RECHAZADA",K762)))</formula>
    </cfRule>
    <cfRule type="containsText" dxfId="9449" priority="9479" operator="containsText" text="Atendida">
      <formula>NOT(ISERROR(SEARCH("Atendida",K762)))</formula>
    </cfRule>
    <cfRule type="containsText" dxfId="9448" priority="9480" operator="containsText" text="Atendida">
      <formula>NOT(ISERROR(SEARCH("Atendida",K762)))</formula>
    </cfRule>
  </conditionalFormatting>
  <conditionalFormatting sqref="B766:B767 B761:B764">
    <cfRule type="duplicateValues" dxfId="9447" priority="9613"/>
  </conditionalFormatting>
  <conditionalFormatting sqref="K763">
    <cfRule type="containsText" dxfId="9446" priority="9441" operator="containsText" text="Reasignación">
      <formula>NOT(ISERROR(SEARCH("Reasignación",K763)))</formula>
    </cfRule>
    <cfRule type="containsText" dxfId="9445" priority="9442" operator="containsText" text="RECHAZADA">
      <formula>NOT(ISERROR(SEARCH("RECHAZADA",K763)))</formula>
    </cfRule>
    <cfRule type="containsText" dxfId="9444" priority="9443" operator="containsText" text="Atendida">
      <formula>NOT(ISERROR(SEARCH("Atendida",K763)))</formula>
    </cfRule>
  </conditionalFormatting>
  <conditionalFormatting sqref="K763">
    <cfRule type="containsText" dxfId="9443" priority="9444" operator="containsText" text="Reasignación">
      <formula>NOT(ISERROR(SEARCH("Reasignación",K763)))</formula>
    </cfRule>
    <cfRule type="containsText" dxfId="9442" priority="9445" operator="containsText" text="RECHAZADA">
      <formula>NOT(ISERROR(SEARCH("RECHAZADA",K763)))</formula>
    </cfRule>
    <cfRule type="containsText" dxfId="9441" priority="9446" operator="containsText" text="Atendida">
      <formula>NOT(ISERROR(SEARCH("Atendida",K763)))</formula>
    </cfRule>
    <cfRule type="containsText" dxfId="9440" priority="9447" operator="containsText" text="Reasignación">
      <formula>NOT(ISERROR(SEARCH("Reasignación",K763)))</formula>
    </cfRule>
    <cfRule type="containsText" dxfId="9439" priority="9448" operator="containsText" text="RECHAZADA">
      <formula>NOT(ISERROR(SEARCH("RECHAZADA",K763)))</formula>
    </cfRule>
    <cfRule type="containsText" dxfId="9438" priority="9449" operator="containsText" text="Atendida">
      <formula>NOT(ISERROR(SEARCH("Atendida",K763)))</formula>
    </cfRule>
    <cfRule type="containsText" dxfId="9437" priority="9450" operator="containsText" text="Reasignación">
      <formula>NOT(ISERROR(SEARCH("Reasignación",K763)))</formula>
    </cfRule>
    <cfRule type="containsText" dxfId="9436" priority="9451" operator="containsText" text="RECHAZADA">
      <formula>NOT(ISERROR(SEARCH("RECHAZADA",K763)))</formula>
    </cfRule>
    <cfRule type="containsText" dxfId="9435" priority="9452" operator="containsText" text="Atendida">
      <formula>NOT(ISERROR(SEARCH("Atendida",K763)))</formula>
    </cfRule>
    <cfRule type="containsText" dxfId="9434" priority="9453" operator="containsText" text="Reasignación">
      <formula>NOT(ISERROR(SEARCH("Reasignación",K763)))</formula>
    </cfRule>
    <cfRule type="containsText" dxfId="9433" priority="9454" operator="containsText" text="RECHAZADA">
      <formula>NOT(ISERROR(SEARCH("RECHAZADA",K763)))</formula>
    </cfRule>
    <cfRule type="containsText" dxfId="9432" priority="9455" operator="containsText" text="Atendida">
      <formula>NOT(ISERROR(SEARCH("Atendida",K763)))</formula>
    </cfRule>
  </conditionalFormatting>
  <conditionalFormatting sqref="K763">
    <cfRule type="containsText" dxfId="9431" priority="9433" operator="containsText" text="RECHAZADA">
      <formula>NOT(ISERROR(SEARCH("RECHAZADA",K763)))</formula>
    </cfRule>
    <cfRule type="containsText" dxfId="9430" priority="9434" operator="containsText" text="Atendida">
      <formula>NOT(ISERROR(SEARCH("Atendida",K763)))</formula>
    </cfRule>
    <cfRule type="containsText" dxfId="9429" priority="9435" operator="containsText" text="Reasignación">
      <formula>NOT(ISERROR(SEARCH("Reasignación",K763)))</formula>
    </cfRule>
    <cfRule type="containsText" dxfId="9428" priority="9436" operator="containsText" text="RECHAZADA">
      <formula>NOT(ISERROR(SEARCH("RECHAZADA",K763)))</formula>
    </cfRule>
    <cfRule type="containsText" dxfId="9427" priority="9437" operator="containsText" text="Atendida">
      <formula>NOT(ISERROR(SEARCH("Atendida",K763)))</formula>
    </cfRule>
    <cfRule type="containsText" dxfId="9426" priority="9438" operator="containsText" text="Reasignación">
      <formula>NOT(ISERROR(SEARCH("Reasignación",K763)))</formula>
    </cfRule>
    <cfRule type="containsText" dxfId="9425" priority="9439" operator="containsText" text="RECHAZADA">
      <formula>NOT(ISERROR(SEARCH("RECHAZADA",K763)))</formula>
    </cfRule>
    <cfRule type="containsText" dxfId="9424" priority="9440" operator="containsText" text="Atendida">
      <formula>NOT(ISERROR(SEARCH("Atendida",K763)))</formula>
    </cfRule>
  </conditionalFormatting>
  <conditionalFormatting sqref="K763">
    <cfRule type="containsText" dxfId="9423" priority="9432" operator="containsText" text="Reasignación">
      <formula>NOT(ISERROR(SEARCH("Reasignación",K763)))</formula>
    </cfRule>
  </conditionalFormatting>
  <conditionalFormatting sqref="K763">
    <cfRule type="containsText" dxfId="9422" priority="9431" operator="containsText" text="Atendida">
      <formula>NOT(ISERROR(SEARCH("Atendida",K763)))</formula>
    </cfRule>
  </conditionalFormatting>
  <conditionalFormatting sqref="K763">
    <cfRule type="containsText" dxfId="9421" priority="9429" operator="containsText" text="Reasignación">
      <formula>NOT(ISERROR(SEARCH("Reasignación",K763)))</formula>
    </cfRule>
    <cfRule type="containsText" dxfId="9420" priority="9430" operator="containsText" text="RECHAZADA">
      <formula>NOT(ISERROR(SEARCH("RECHAZADA",K763)))</formula>
    </cfRule>
  </conditionalFormatting>
  <conditionalFormatting sqref="K763">
    <cfRule type="containsText" dxfId="9419" priority="9417" operator="containsText" text="Reasignación">
      <formula>NOT(ISERROR(SEARCH("Reasignación",K763)))</formula>
    </cfRule>
    <cfRule type="containsText" dxfId="9418" priority="9418" operator="containsText" text="RECHAZADA">
      <formula>NOT(ISERROR(SEARCH("RECHAZADA",K763)))</formula>
    </cfRule>
    <cfRule type="containsText" dxfId="9417" priority="9419" operator="containsText" text="Atendida">
      <formula>NOT(ISERROR(SEARCH("Atendida",K763)))</formula>
    </cfRule>
    <cfRule type="containsText" dxfId="9416" priority="9420" operator="containsText" text="Reasignación">
      <formula>NOT(ISERROR(SEARCH("Reasignación",K763)))</formula>
    </cfRule>
    <cfRule type="containsText" dxfId="9415" priority="9421" operator="containsText" text="RECHAZADA">
      <formula>NOT(ISERROR(SEARCH("RECHAZADA",K763)))</formula>
    </cfRule>
    <cfRule type="containsText" dxfId="9414" priority="9422" operator="containsText" text="Atendida">
      <formula>NOT(ISERROR(SEARCH("Atendida",K763)))</formula>
    </cfRule>
    <cfRule type="containsText" dxfId="9413" priority="9423" operator="containsText" text="Reasignación">
      <formula>NOT(ISERROR(SEARCH("Reasignación",K763)))</formula>
    </cfRule>
    <cfRule type="containsText" dxfId="9412" priority="9424" operator="containsText" text="RECHAZADA">
      <formula>NOT(ISERROR(SEARCH("RECHAZADA",K763)))</formula>
    </cfRule>
    <cfRule type="containsText" dxfId="9411" priority="9425" operator="containsText" text="Atendida">
      <formula>NOT(ISERROR(SEARCH("Atendida",K763)))</formula>
    </cfRule>
    <cfRule type="containsText" dxfId="9410" priority="9426" operator="containsText" text="Reasignación">
      <formula>NOT(ISERROR(SEARCH("Reasignación",K763)))</formula>
    </cfRule>
    <cfRule type="containsText" dxfId="9409" priority="9427" operator="containsText" text="RECHAZADA">
      <formula>NOT(ISERROR(SEARCH("RECHAZADA",K763)))</formula>
    </cfRule>
    <cfRule type="containsText" dxfId="9408" priority="9428" operator="containsText" text="Atendida">
      <formula>NOT(ISERROR(SEARCH("Atendida",K763)))</formula>
    </cfRule>
  </conditionalFormatting>
  <conditionalFormatting sqref="K763">
    <cfRule type="containsText" dxfId="9407" priority="9409" operator="containsText" text="RECHAZADA">
      <formula>NOT(ISERROR(SEARCH("RECHAZADA",K763)))</formula>
    </cfRule>
    <cfRule type="containsText" dxfId="9406" priority="9410" operator="containsText" text="Atendida">
      <formula>NOT(ISERROR(SEARCH("Atendida",K763)))</formula>
    </cfRule>
    <cfRule type="containsText" dxfId="9405" priority="9411" operator="containsText" text="Reasignación">
      <formula>NOT(ISERROR(SEARCH("Reasignación",K763)))</formula>
    </cfRule>
    <cfRule type="containsText" dxfId="9404" priority="9412" operator="containsText" text="RECHAZADA">
      <formula>NOT(ISERROR(SEARCH("RECHAZADA",K763)))</formula>
    </cfRule>
    <cfRule type="containsText" dxfId="9403" priority="9413" operator="containsText" text="Atendida">
      <formula>NOT(ISERROR(SEARCH("Atendida",K763)))</formula>
    </cfRule>
    <cfRule type="containsText" dxfId="9402" priority="9414" operator="containsText" text="Reasignación">
      <formula>NOT(ISERROR(SEARCH("Reasignación",K763)))</formula>
    </cfRule>
    <cfRule type="containsText" dxfId="9401" priority="9415" operator="containsText" text="RECHAZADA">
      <formula>NOT(ISERROR(SEARCH("RECHAZADA",K763)))</formula>
    </cfRule>
    <cfRule type="containsText" dxfId="9400" priority="9416" operator="containsText" text="Atendida">
      <formula>NOT(ISERROR(SEARCH("Atendida",K763)))</formula>
    </cfRule>
  </conditionalFormatting>
  <conditionalFormatting sqref="K763">
    <cfRule type="containsText" dxfId="9399" priority="9405" operator="containsText" text="Reasignación">
      <formula>NOT(ISERROR(SEARCH("Reasignación",K763)))</formula>
    </cfRule>
    <cfRule type="containsText" dxfId="9398" priority="9406" operator="containsText" text="RECHAZADA">
      <formula>NOT(ISERROR(SEARCH("RECHAZADA",K763)))</formula>
    </cfRule>
  </conditionalFormatting>
  <conditionalFormatting sqref="K763">
    <cfRule type="containsText" dxfId="9397" priority="9408" operator="containsText" text="Reasignación">
      <formula>NOT(ISERROR(SEARCH("Reasignación",K763)))</formula>
    </cfRule>
  </conditionalFormatting>
  <conditionalFormatting sqref="K763">
    <cfRule type="containsText" dxfId="9396" priority="9407" operator="containsText" text="Atendida">
      <formula>NOT(ISERROR(SEARCH("Atendida",K763)))</formula>
    </cfRule>
  </conditionalFormatting>
  <conditionalFormatting sqref="K763">
    <cfRule type="containsText" dxfId="9395" priority="9380" operator="containsText" text="Reasignación">
      <formula>NOT(ISERROR(SEARCH("Reasignación",K763)))</formula>
    </cfRule>
    <cfRule type="containsText" dxfId="9394" priority="9381" operator="containsText" text="RECHAZADA">
      <formula>NOT(ISERROR(SEARCH("RECHAZADA",K763)))</formula>
    </cfRule>
    <cfRule type="containsText" dxfId="9393" priority="9382" operator="containsText" text="Atendida">
      <formula>NOT(ISERROR(SEARCH("Atendida",K763)))</formula>
    </cfRule>
    <cfRule type="containsText" dxfId="9392" priority="9383" operator="containsText" text="Reasignación">
      <formula>NOT(ISERROR(SEARCH("Reasignación",K763)))</formula>
    </cfRule>
    <cfRule type="containsText" dxfId="9391" priority="9384" operator="containsText" text="RECHAZADA">
      <formula>NOT(ISERROR(SEARCH("RECHAZADA",K763)))</formula>
    </cfRule>
    <cfRule type="containsText" dxfId="9390" priority="9385" operator="containsText" text="Atendida">
      <formula>NOT(ISERROR(SEARCH("Atendida",K763)))</formula>
    </cfRule>
    <cfRule type="containsText" dxfId="9389" priority="9386" operator="containsText" text="Reasignación">
      <formula>NOT(ISERROR(SEARCH("Reasignación",K763)))</formula>
    </cfRule>
    <cfRule type="containsText" dxfId="9388" priority="9387" operator="containsText" text="RECHAZADA">
      <formula>NOT(ISERROR(SEARCH("RECHAZADA",K763)))</formula>
    </cfRule>
    <cfRule type="containsText" dxfId="9387" priority="9388" operator="containsText" text="Atendida">
      <formula>NOT(ISERROR(SEARCH("Atendida",K763)))</formula>
    </cfRule>
    <cfRule type="containsText" dxfId="9386" priority="9389" operator="containsText" text="Reasignación">
      <formula>NOT(ISERROR(SEARCH("Reasignación",K763)))</formula>
    </cfRule>
    <cfRule type="containsText" dxfId="9385" priority="9390" operator="containsText" text="RECHAZADA">
      <formula>NOT(ISERROR(SEARCH("RECHAZADA",K763)))</formula>
    </cfRule>
    <cfRule type="containsText" dxfId="9384" priority="9391" operator="containsText" text="Atendida">
      <formula>NOT(ISERROR(SEARCH("Atendida",K763)))</formula>
    </cfRule>
    <cfRule type="containsText" dxfId="9383" priority="9392" operator="containsText" text="Reasignación">
      <formula>NOT(ISERROR(SEARCH("Reasignación",K763)))</formula>
    </cfRule>
    <cfRule type="containsText" dxfId="9382" priority="9393" operator="containsText" text="RECHAZADA">
      <formula>NOT(ISERROR(SEARCH("RECHAZADA",K763)))</formula>
    </cfRule>
    <cfRule type="containsText" dxfId="9381" priority="9394" operator="containsText" text="Atendida">
      <formula>NOT(ISERROR(SEARCH("Atendida",K763)))</formula>
    </cfRule>
    <cfRule type="containsText" dxfId="9380" priority="9395" operator="containsText" text="Reasignación">
      <formula>NOT(ISERROR(SEARCH("Reasignación",K763)))</formula>
    </cfRule>
    <cfRule type="containsText" dxfId="9379" priority="9396" operator="containsText" text="RECHAZADA">
      <formula>NOT(ISERROR(SEARCH("RECHAZADA",K763)))</formula>
    </cfRule>
    <cfRule type="containsText" dxfId="9378" priority="9397" operator="containsText" text="Atendida">
      <formula>NOT(ISERROR(SEARCH("Atendida",K763)))</formula>
    </cfRule>
    <cfRule type="containsText" dxfId="9377" priority="9398" operator="containsText" text="Reasignación">
      <formula>NOT(ISERROR(SEARCH("Reasignación",K763)))</formula>
    </cfRule>
    <cfRule type="containsText" dxfId="9376" priority="9399" operator="containsText" text="RECHAZADA">
      <formula>NOT(ISERROR(SEARCH("RECHAZADA",K763)))</formula>
    </cfRule>
    <cfRule type="containsText" dxfId="9375" priority="9400" operator="containsText" text="Atendida">
      <formula>NOT(ISERROR(SEARCH("Atendida",K763)))</formula>
    </cfRule>
    <cfRule type="containsText" dxfId="9374" priority="9401" operator="containsText" text="Reasignación">
      <formula>NOT(ISERROR(SEARCH("Reasignación",K763)))</formula>
    </cfRule>
    <cfRule type="containsText" dxfId="9373" priority="9402" operator="containsText" text="RECHAZADA">
      <formula>NOT(ISERROR(SEARCH("RECHAZADA",K763)))</formula>
    </cfRule>
    <cfRule type="containsText" dxfId="9372" priority="9403" operator="containsText" text="Atendida">
      <formula>NOT(ISERROR(SEARCH("Atendida",K763)))</formula>
    </cfRule>
    <cfRule type="containsText" dxfId="9371" priority="9404" operator="containsText" text="Atendida">
      <formula>NOT(ISERROR(SEARCH("Atendida",K763)))</formula>
    </cfRule>
  </conditionalFormatting>
  <conditionalFormatting sqref="K764">
    <cfRule type="containsText" dxfId="9370" priority="9341" operator="containsText" text="Reasignación">
      <formula>NOT(ISERROR(SEARCH("Reasignación",K764)))</formula>
    </cfRule>
    <cfRule type="containsText" dxfId="9369" priority="9342" operator="containsText" text="RECHAZADA">
      <formula>NOT(ISERROR(SEARCH("RECHAZADA",K764)))</formula>
    </cfRule>
    <cfRule type="containsText" dxfId="9368" priority="9343" operator="containsText" text="Atendida">
      <formula>NOT(ISERROR(SEARCH("Atendida",K764)))</formula>
    </cfRule>
    <cfRule type="containsText" dxfId="9367" priority="9344" operator="containsText" text="Reasignación">
      <formula>NOT(ISERROR(SEARCH("Reasignación",K764)))</formula>
    </cfRule>
    <cfRule type="containsText" dxfId="9366" priority="9345" operator="containsText" text="RECHAZADA">
      <formula>NOT(ISERROR(SEARCH("RECHAZADA",K764)))</formula>
    </cfRule>
    <cfRule type="containsText" dxfId="9365" priority="9346" operator="containsText" text="Atendida">
      <formula>NOT(ISERROR(SEARCH("Atendida",K764)))</formula>
    </cfRule>
    <cfRule type="containsText" dxfId="9364" priority="9347" operator="containsText" text="Reasignación">
      <formula>NOT(ISERROR(SEARCH("Reasignación",K764)))</formula>
    </cfRule>
    <cfRule type="containsText" dxfId="9363" priority="9348" operator="containsText" text="RECHAZADA">
      <formula>NOT(ISERROR(SEARCH("RECHAZADA",K764)))</formula>
    </cfRule>
    <cfRule type="containsText" dxfId="9362" priority="9349" operator="containsText" text="Atendida">
      <formula>NOT(ISERROR(SEARCH("Atendida",K764)))</formula>
    </cfRule>
    <cfRule type="containsText" dxfId="9361" priority="9350" operator="containsText" text="Reasignación">
      <formula>NOT(ISERROR(SEARCH("Reasignación",K764)))</formula>
    </cfRule>
    <cfRule type="containsText" dxfId="9360" priority="9351" operator="containsText" text="RECHAZADA">
      <formula>NOT(ISERROR(SEARCH("RECHAZADA",K764)))</formula>
    </cfRule>
    <cfRule type="containsText" dxfId="9359" priority="9352" operator="containsText" text="Atendida">
      <formula>NOT(ISERROR(SEARCH("Atendida",K764)))</formula>
    </cfRule>
  </conditionalFormatting>
  <conditionalFormatting sqref="K764">
    <cfRule type="containsText" dxfId="9358" priority="9365" operator="containsText" text="Reasignación">
      <formula>NOT(ISERROR(SEARCH("Reasignación",K764)))</formula>
    </cfRule>
    <cfRule type="containsText" dxfId="9357" priority="9366" operator="containsText" text="RECHAZADA">
      <formula>NOT(ISERROR(SEARCH("RECHAZADA",K764)))</formula>
    </cfRule>
    <cfRule type="containsText" dxfId="9356" priority="9367" operator="containsText" text="Atendida">
      <formula>NOT(ISERROR(SEARCH("Atendida",K764)))</formula>
    </cfRule>
  </conditionalFormatting>
  <conditionalFormatting sqref="K764">
    <cfRule type="containsText" dxfId="9355" priority="9368" operator="containsText" text="Reasignación">
      <formula>NOT(ISERROR(SEARCH("Reasignación",K764)))</formula>
    </cfRule>
    <cfRule type="containsText" dxfId="9354" priority="9369" operator="containsText" text="RECHAZADA">
      <formula>NOT(ISERROR(SEARCH("RECHAZADA",K764)))</formula>
    </cfRule>
    <cfRule type="containsText" dxfId="9353" priority="9370" operator="containsText" text="Atendida">
      <formula>NOT(ISERROR(SEARCH("Atendida",K764)))</formula>
    </cfRule>
    <cfRule type="containsText" dxfId="9352" priority="9371" operator="containsText" text="Reasignación">
      <formula>NOT(ISERROR(SEARCH("Reasignación",K764)))</formula>
    </cfRule>
    <cfRule type="containsText" dxfId="9351" priority="9372" operator="containsText" text="RECHAZADA">
      <formula>NOT(ISERROR(SEARCH("RECHAZADA",K764)))</formula>
    </cfRule>
    <cfRule type="containsText" dxfId="9350" priority="9373" operator="containsText" text="Atendida">
      <formula>NOT(ISERROR(SEARCH("Atendida",K764)))</formula>
    </cfRule>
    <cfRule type="containsText" dxfId="9349" priority="9374" operator="containsText" text="Reasignación">
      <formula>NOT(ISERROR(SEARCH("Reasignación",K764)))</formula>
    </cfRule>
    <cfRule type="containsText" dxfId="9348" priority="9375" operator="containsText" text="RECHAZADA">
      <formula>NOT(ISERROR(SEARCH("RECHAZADA",K764)))</formula>
    </cfRule>
    <cfRule type="containsText" dxfId="9347" priority="9376" operator="containsText" text="Atendida">
      <formula>NOT(ISERROR(SEARCH("Atendida",K764)))</formula>
    </cfRule>
    <cfRule type="containsText" dxfId="9346" priority="9377" operator="containsText" text="Reasignación">
      <formula>NOT(ISERROR(SEARCH("Reasignación",K764)))</formula>
    </cfRule>
    <cfRule type="containsText" dxfId="9345" priority="9378" operator="containsText" text="RECHAZADA">
      <formula>NOT(ISERROR(SEARCH("RECHAZADA",K764)))</formula>
    </cfRule>
    <cfRule type="containsText" dxfId="9344" priority="9379" operator="containsText" text="Atendida">
      <formula>NOT(ISERROR(SEARCH("Atendida",K764)))</formula>
    </cfRule>
  </conditionalFormatting>
  <conditionalFormatting sqref="K764">
    <cfRule type="containsText" dxfId="9343" priority="9357" operator="containsText" text="RECHAZADA">
      <formula>NOT(ISERROR(SEARCH("RECHAZADA",K764)))</formula>
    </cfRule>
    <cfRule type="containsText" dxfId="9342" priority="9358" operator="containsText" text="Atendida">
      <formula>NOT(ISERROR(SEARCH("Atendida",K764)))</formula>
    </cfRule>
    <cfRule type="containsText" dxfId="9341" priority="9359" operator="containsText" text="Reasignación">
      <formula>NOT(ISERROR(SEARCH("Reasignación",K764)))</formula>
    </cfRule>
    <cfRule type="containsText" dxfId="9340" priority="9360" operator="containsText" text="RECHAZADA">
      <formula>NOT(ISERROR(SEARCH("RECHAZADA",K764)))</formula>
    </cfRule>
    <cfRule type="containsText" dxfId="9339" priority="9361" operator="containsText" text="Atendida">
      <formula>NOT(ISERROR(SEARCH("Atendida",K764)))</formula>
    </cfRule>
    <cfRule type="containsText" dxfId="9338" priority="9362" operator="containsText" text="Reasignación">
      <formula>NOT(ISERROR(SEARCH("Reasignación",K764)))</formula>
    </cfRule>
    <cfRule type="containsText" dxfId="9337" priority="9363" operator="containsText" text="RECHAZADA">
      <formula>NOT(ISERROR(SEARCH("RECHAZADA",K764)))</formula>
    </cfRule>
    <cfRule type="containsText" dxfId="9336" priority="9364" operator="containsText" text="Atendida">
      <formula>NOT(ISERROR(SEARCH("Atendida",K764)))</formula>
    </cfRule>
  </conditionalFormatting>
  <conditionalFormatting sqref="K764">
    <cfRule type="containsText" dxfId="9335" priority="9356" operator="containsText" text="Reasignación">
      <formula>NOT(ISERROR(SEARCH("Reasignación",K764)))</formula>
    </cfRule>
  </conditionalFormatting>
  <conditionalFormatting sqref="K764">
    <cfRule type="containsText" dxfId="9334" priority="9355" operator="containsText" text="Atendida">
      <formula>NOT(ISERROR(SEARCH("Atendida",K764)))</formula>
    </cfRule>
  </conditionalFormatting>
  <conditionalFormatting sqref="K764">
    <cfRule type="containsText" dxfId="9333" priority="9353" operator="containsText" text="Reasignación">
      <formula>NOT(ISERROR(SEARCH("Reasignación",K764)))</formula>
    </cfRule>
    <cfRule type="containsText" dxfId="9332" priority="9354" operator="containsText" text="RECHAZADA">
      <formula>NOT(ISERROR(SEARCH("RECHAZADA",K764)))</formula>
    </cfRule>
  </conditionalFormatting>
  <conditionalFormatting sqref="K764">
    <cfRule type="containsText" dxfId="9331" priority="9333" operator="containsText" text="RECHAZADA">
      <formula>NOT(ISERROR(SEARCH("RECHAZADA",K764)))</formula>
    </cfRule>
    <cfRule type="containsText" dxfId="9330" priority="9334" operator="containsText" text="Atendida">
      <formula>NOT(ISERROR(SEARCH("Atendida",K764)))</formula>
    </cfRule>
    <cfRule type="containsText" dxfId="9329" priority="9335" operator="containsText" text="Reasignación">
      <formula>NOT(ISERROR(SEARCH("Reasignación",K764)))</formula>
    </cfRule>
    <cfRule type="containsText" dxfId="9328" priority="9336" operator="containsText" text="RECHAZADA">
      <formula>NOT(ISERROR(SEARCH("RECHAZADA",K764)))</formula>
    </cfRule>
    <cfRule type="containsText" dxfId="9327" priority="9337" operator="containsText" text="Atendida">
      <formula>NOT(ISERROR(SEARCH("Atendida",K764)))</formula>
    </cfRule>
    <cfRule type="containsText" dxfId="9326" priority="9338" operator="containsText" text="Reasignación">
      <formula>NOT(ISERROR(SEARCH("Reasignación",K764)))</formula>
    </cfRule>
    <cfRule type="containsText" dxfId="9325" priority="9339" operator="containsText" text="RECHAZADA">
      <formula>NOT(ISERROR(SEARCH("RECHAZADA",K764)))</formula>
    </cfRule>
    <cfRule type="containsText" dxfId="9324" priority="9340" operator="containsText" text="Atendida">
      <formula>NOT(ISERROR(SEARCH("Atendida",K764)))</formula>
    </cfRule>
  </conditionalFormatting>
  <conditionalFormatting sqref="K764">
    <cfRule type="containsText" dxfId="9323" priority="9329" operator="containsText" text="Reasignación">
      <formula>NOT(ISERROR(SEARCH("Reasignación",K764)))</formula>
    </cfRule>
    <cfRule type="containsText" dxfId="9322" priority="9330" operator="containsText" text="RECHAZADA">
      <formula>NOT(ISERROR(SEARCH("RECHAZADA",K764)))</formula>
    </cfRule>
  </conditionalFormatting>
  <conditionalFormatting sqref="K764">
    <cfRule type="containsText" dxfId="9321" priority="9332" operator="containsText" text="Reasignación">
      <formula>NOT(ISERROR(SEARCH("Reasignación",K764)))</formula>
    </cfRule>
  </conditionalFormatting>
  <conditionalFormatting sqref="K764">
    <cfRule type="containsText" dxfId="9320" priority="9331" operator="containsText" text="Atendida">
      <formula>NOT(ISERROR(SEARCH("Atendida",K764)))</formula>
    </cfRule>
  </conditionalFormatting>
  <conditionalFormatting sqref="K764">
    <cfRule type="containsText" dxfId="9319" priority="9304" operator="containsText" text="Reasignación">
      <formula>NOT(ISERROR(SEARCH("Reasignación",K764)))</formula>
    </cfRule>
    <cfRule type="containsText" dxfId="9318" priority="9305" operator="containsText" text="RECHAZADA">
      <formula>NOT(ISERROR(SEARCH("RECHAZADA",K764)))</formula>
    </cfRule>
    <cfRule type="containsText" dxfId="9317" priority="9306" operator="containsText" text="Atendida">
      <formula>NOT(ISERROR(SEARCH("Atendida",K764)))</formula>
    </cfRule>
    <cfRule type="containsText" dxfId="9316" priority="9307" operator="containsText" text="Reasignación">
      <formula>NOT(ISERROR(SEARCH("Reasignación",K764)))</formula>
    </cfRule>
    <cfRule type="containsText" dxfId="9315" priority="9308" operator="containsText" text="RECHAZADA">
      <formula>NOT(ISERROR(SEARCH("RECHAZADA",K764)))</formula>
    </cfRule>
    <cfRule type="containsText" dxfId="9314" priority="9309" operator="containsText" text="Atendida">
      <formula>NOT(ISERROR(SEARCH("Atendida",K764)))</formula>
    </cfRule>
    <cfRule type="containsText" dxfId="9313" priority="9310" operator="containsText" text="Reasignación">
      <formula>NOT(ISERROR(SEARCH("Reasignación",K764)))</formula>
    </cfRule>
    <cfRule type="containsText" dxfId="9312" priority="9311" operator="containsText" text="RECHAZADA">
      <formula>NOT(ISERROR(SEARCH("RECHAZADA",K764)))</formula>
    </cfRule>
    <cfRule type="containsText" dxfId="9311" priority="9312" operator="containsText" text="Atendida">
      <formula>NOT(ISERROR(SEARCH("Atendida",K764)))</formula>
    </cfRule>
    <cfRule type="containsText" dxfId="9310" priority="9313" operator="containsText" text="Reasignación">
      <formula>NOT(ISERROR(SEARCH("Reasignación",K764)))</formula>
    </cfRule>
    <cfRule type="containsText" dxfId="9309" priority="9314" operator="containsText" text="RECHAZADA">
      <formula>NOT(ISERROR(SEARCH("RECHAZADA",K764)))</formula>
    </cfRule>
    <cfRule type="containsText" dxfId="9308" priority="9315" operator="containsText" text="Atendida">
      <formula>NOT(ISERROR(SEARCH("Atendida",K764)))</formula>
    </cfRule>
    <cfRule type="containsText" dxfId="9307" priority="9316" operator="containsText" text="Reasignación">
      <formula>NOT(ISERROR(SEARCH("Reasignación",K764)))</formula>
    </cfRule>
    <cfRule type="containsText" dxfId="9306" priority="9317" operator="containsText" text="RECHAZADA">
      <formula>NOT(ISERROR(SEARCH("RECHAZADA",K764)))</formula>
    </cfRule>
    <cfRule type="containsText" dxfId="9305" priority="9318" operator="containsText" text="Atendida">
      <formula>NOT(ISERROR(SEARCH("Atendida",K764)))</formula>
    </cfRule>
    <cfRule type="containsText" dxfId="9304" priority="9319" operator="containsText" text="Reasignación">
      <formula>NOT(ISERROR(SEARCH("Reasignación",K764)))</formula>
    </cfRule>
    <cfRule type="containsText" dxfId="9303" priority="9320" operator="containsText" text="RECHAZADA">
      <formula>NOT(ISERROR(SEARCH("RECHAZADA",K764)))</formula>
    </cfRule>
    <cfRule type="containsText" dxfId="9302" priority="9321" operator="containsText" text="Atendida">
      <formula>NOT(ISERROR(SEARCH("Atendida",K764)))</formula>
    </cfRule>
    <cfRule type="containsText" dxfId="9301" priority="9322" operator="containsText" text="Reasignación">
      <formula>NOT(ISERROR(SEARCH("Reasignación",K764)))</formula>
    </cfRule>
    <cfRule type="containsText" dxfId="9300" priority="9323" operator="containsText" text="RECHAZADA">
      <formula>NOT(ISERROR(SEARCH("RECHAZADA",K764)))</formula>
    </cfRule>
    <cfRule type="containsText" dxfId="9299" priority="9324" operator="containsText" text="Atendida">
      <formula>NOT(ISERROR(SEARCH("Atendida",K764)))</formula>
    </cfRule>
    <cfRule type="containsText" dxfId="9298" priority="9325" operator="containsText" text="Reasignación">
      <formula>NOT(ISERROR(SEARCH("Reasignación",K764)))</formula>
    </cfRule>
    <cfRule type="containsText" dxfId="9297" priority="9326" operator="containsText" text="RECHAZADA">
      <formula>NOT(ISERROR(SEARCH("RECHAZADA",K764)))</formula>
    </cfRule>
    <cfRule type="containsText" dxfId="9296" priority="9327" operator="containsText" text="Atendida">
      <formula>NOT(ISERROR(SEARCH("Atendida",K764)))</formula>
    </cfRule>
    <cfRule type="containsText" dxfId="9295" priority="9328" operator="containsText" text="Atendida">
      <formula>NOT(ISERROR(SEARCH("Atendida",K764)))</formula>
    </cfRule>
  </conditionalFormatting>
  <conditionalFormatting sqref="K765">
    <cfRule type="containsText" dxfId="9294" priority="9289" operator="containsText" text="Reasignación">
      <formula>NOT(ISERROR(SEARCH("Reasignación",K765)))</formula>
    </cfRule>
    <cfRule type="containsText" dxfId="9293" priority="9290" operator="containsText" text="RECHAZADA">
      <formula>NOT(ISERROR(SEARCH("RECHAZADA",K765)))</formula>
    </cfRule>
    <cfRule type="containsText" dxfId="9292" priority="9291" operator="containsText" text="Atendida">
      <formula>NOT(ISERROR(SEARCH("Atendida",K765)))</formula>
    </cfRule>
  </conditionalFormatting>
  <conditionalFormatting sqref="K765">
    <cfRule type="containsText" dxfId="9291" priority="9292" operator="containsText" text="Reasignación">
      <formula>NOT(ISERROR(SEARCH("Reasignación",K765)))</formula>
    </cfRule>
    <cfRule type="containsText" dxfId="9290" priority="9293" operator="containsText" text="RECHAZADA">
      <formula>NOT(ISERROR(SEARCH("RECHAZADA",K765)))</formula>
    </cfRule>
    <cfRule type="containsText" dxfId="9289" priority="9294" operator="containsText" text="Atendida">
      <formula>NOT(ISERROR(SEARCH("Atendida",K765)))</formula>
    </cfRule>
    <cfRule type="containsText" dxfId="9288" priority="9295" operator="containsText" text="Reasignación">
      <formula>NOT(ISERROR(SEARCH("Reasignación",K765)))</formula>
    </cfRule>
    <cfRule type="containsText" dxfId="9287" priority="9296" operator="containsText" text="RECHAZADA">
      <formula>NOT(ISERROR(SEARCH("RECHAZADA",K765)))</formula>
    </cfRule>
    <cfRule type="containsText" dxfId="9286" priority="9297" operator="containsText" text="Atendida">
      <formula>NOT(ISERROR(SEARCH("Atendida",K765)))</formula>
    </cfRule>
    <cfRule type="containsText" dxfId="9285" priority="9298" operator="containsText" text="Reasignación">
      <formula>NOT(ISERROR(SEARCH("Reasignación",K765)))</formula>
    </cfRule>
    <cfRule type="containsText" dxfId="9284" priority="9299" operator="containsText" text="RECHAZADA">
      <formula>NOT(ISERROR(SEARCH("RECHAZADA",K765)))</formula>
    </cfRule>
    <cfRule type="containsText" dxfId="9283" priority="9300" operator="containsText" text="Atendida">
      <formula>NOT(ISERROR(SEARCH("Atendida",K765)))</formula>
    </cfRule>
    <cfRule type="containsText" dxfId="9282" priority="9301" operator="containsText" text="Reasignación">
      <formula>NOT(ISERROR(SEARCH("Reasignación",K765)))</formula>
    </cfRule>
    <cfRule type="containsText" dxfId="9281" priority="9302" operator="containsText" text="RECHAZADA">
      <formula>NOT(ISERROR(SEARCH("RECHAZADA",K765)))</formula>
    </cfRule>
    <cfRule type="containsText" dxfId="9280" priority="9303" operator="containsText" text="Atendida">
      <formula>NOT(ISERROR(SEARCH("Atendida",K765)))</formula>
    </cfRule>
  </conditionalFormatting>
  <conditionalFormatting sqref="B765">
    <cfRule type="duplicateValues" dxfId="9279" priority="9288"/>
  </conditionalFormatting>
  <conditionalFormatting sqref="K766">
    <cfRule type="containsText" dxfId="9278" priority="9285" operator="containsText" text="Reasignación">
      <formula>NOT(ISERROR(SEARCH("Reasignación",K766)))</formula>
    </cfRule>
    <cfRule type="containsText" dxfId="9277" priority="9286" operator="containsText" text="RECHAZADA">
      <formula>NOT(ISERROR(SEARCH("RECHAZADA",K766)))</formula>
    </cfRule>
    <cfRule type="containsText" dxfId="9276" priority="9287" operator="containsText" text="Atendida">
      <formula>NOT(ISERROR(SEARCH("Atendida",K766)))</formula>
    </cfRule>
  </conditionalFormatting>
  <conditionalFormatting sqref="K766">
    <cfRule type="containsText" dxfId="9275" priority="9270" operator="containsText" text="Reasignación">
      <formula>NOT(ISERROR(SEARCH("Reasignación",K766)))</formula>
    </cfRule>
    <cfRule type="containsText" dxfId="9274" priority="9271" operator="containsText" text="RECHAZADA">
      <formula>NOT(ISERROR(SEARCH("RECHAZADA",K766)))</formula>
    </cfRule>
    <cfRule type="containsText" dxfId="9273" priority="9272" operator="containsText" text="Atendida">
      <formula>NOT(ISERROR(SEARCH("Atendida",K766)))</formula>
    </cfRule>
  </conditionalFormatting>
  <conditionalFormatting sqref="K766">
    <cfRule type="containsText" dxfId="9272" priority="9273" operator="containsText" text="Reasignación">
      <formula>NOT(ISERROR(SEARCH("Reasignación",K766)))</formula>
    </cfRule>
    <cfRule type="containsText" dxfId="9271" priority="9274" operator="containsText" text="RECHAZADA">
      <formula>NOT(ISERROR(SEARCH("RECHAZADA",K766)))</formula>
    </cfRule>
    <cfRule type="containsText" dxfId="9270" priority="9275" operator="containsText" text="Atendida">
      <formula>NOT(ISERROR(SEARCH("Atendida",K766)))</formula>
    </cfRule>
    <cfRule type="containsText" dxfId="9269" priority="9276" operator="containsText" text="Reasignación">
      <formula>NOT(ISERROR(SEARCH("Reasignación",K766)))</formula>
    </cfRule>
    <cfRule type="containsText" dxfId="9268" priority="9277" operator="containsText" text="RECHAZADA">
      <formula>NOT(ISERROR(SEARCH("RECHAZADA",K766)))</formula>
    </cfRule>
    <cfRule type="containsText" dxfId="9267" priority="9278" operator="containsText" text="Atendida">
      <formula>NOT(ISERROR(SEARCH("Atendida",K766)))</formula>
    </cfRule>
    <cfRule type="containsText" dxfId="9266" priority="9279" operator="containsText" text="Reasignación">
      <formula>NOT(ISERROR(SEARCH("Reasignación",K766)))</formula>
    </cfRule>
    <cfRule type="containsText" dxfId="9265" priority="9280" operator="containsText" text="RECHAZADA">
      <formula>NOT(ISERROR(SEARCH("RECHAZADA",K766)))</formula>
    </cfRule>
    <cfRule type="containsText" dxfId="9264" priority="9281" operator="containsText" text="Atendida">
      <formula>NOT(ISERROR(SEARCH("Atendida",K766)))</formula>
    </cfRule>
    <cfRule type="containsText" dxfId="9263" priority="9282" operator="containsText" text="Reasignación">
      <formula>NOT(ISERROR(SEARCH("Reasignación",K766)))</formula>
    </cfRule>
    <cfRule type="containsText" dxfId="9262" priority="9283" operator="containsText" text="RECHAZADA">
      <formula>NOT(ISERROR(SEARCH("RECHAZADA",K766)))</formula>
    </cfRule>
    <cfRule type="containsText" dxfId="9261" priority="9284" operator="containsText" text="Atendida">
      <formula>NOT(ISERROR(SEARCH("Atendida",K766)))</formula>
    </cfRule>
  </conditionalFormatting>
  <conditionalFormatting sqref="K767">
    <cfRule type="containsText" dxfId="9260" priority="9255" operator="containsText" text="Reasignación">
      <formula>NOT(ISERROR(SEARCH("Reasignación",K767)))</formula>
    </cfRule>
    <cfRule type="containsText" dxfId="9259" priority="9256" operator="containsText" text="RECHAZADA">
      <formula>NOT(ISERROR(SEARCH("RECHAZADA",K767)))</formula>
    </cfRule>
    <cfRule type="containsText" dxfId="9258" priority="9257" operator="containsText" text="Atendida">
      <formula>NOT(ISERROR(SEARCH("Atendida",K767)))</formula>
    </cfRule>
  </conditionalFormatting>
  <conditionalFormatting sqref="K767">
    <cfRule type="containsText" dxfId="9257" priority="9258" operator="containsText" text="Reasignación">
      <formula>NOT(ISERROR(SEARCH("Reasignación",K767)))</formula>
    </cfRule>
    <cfRule type="containsText" dxfId="9256" priority="9259" operator="containsText" text="RECHAZADA">
      <formula>NOT(ISERROR(SEARCH("RECHAZADA",K767)))</formula>
    </cfRule>
    <cfRule type="containsText" dxfId="9255" priority="9260" operator="containsText" text="Atendida">
      <formula>NOT(ISERROR(SEARCH("Atendida",K767)))</formula>
    </cfRule>
    <cfRule type="containsText" dxfId="9254" priority="9261" operator="containsText" text="Reasignación">
      <formula>NOT(ISERROR(SEARCH("Reasignación",K767)))</formula>
    </cfRule>
    <cfRule type="containsText" dxfId="9253" priority="9262" operator="containsText" text="RECHAZADA">
      <formula>NOT(ISERROR(SEARCH("RECHAZADA",K767)))</formula>
    </cfRule>
    <cfRule type="containsText" dxfId="9252" priority="9263" operator="containsText" text="Atendida">
      <formula>NOT(ISERROR(SEARCH("Atendida",K767)))</formula>
    </cfRule>
    <cfRule type="containsText" dxfId="9251" priority="9264" operator="containsText" text="Reasignación">
      <formula>NOT(ISERROR(SEARCH("Reasignación",K767)))</formula>
    </cfRule>
    <cfRule type="containsText" dxfId="9250" priority="9265" operator="containsText" text="RECHAZADA">
      <formula>NOT(ISERROR(SEARCH("RECHAZADA",K767)))</formula>
    </cfRule>
    <cfRule type="containsText" dxfId="9249" priority="9266" operator="containsText" text="Atendida">
      <formula>NOT(ISERROR(SEARCH("Atendida",K767)))</formula>
    </cfRule>
    <cfRule type="containsText" dxfId="9248" priority="9267" operator="containsText" text="Reasignación">
      <formula>NOT(ISERROR(SEARCH("Reasignación",K767)))</formula>
    </cfRule>
    <cfRule type="containsText" dxfId="9247" priority="9268" operator="containsText" text="RECHAZADA">
      <formula>NOT(ISERROR(SEARCH("RECHAZADA",K767)))</formula>
    </cfRule>
    <cfRule type="containsText" dxfId="9246" priority="9269" operator="containsText" text="Atendida">
      <formula>NOT(ISERROR(SEARCH("Atendida",K767)))</formula>
    </cfRule>
  </conditionalFormatting>
  <conditionalFormatting sqref="B773 B771 B768:B769">
    <cfRule type="duplicateValues" dxfId="9245" priority="9254"/>
  </conditionalFormatting>
  <conditionalFormatting sqref="K768">
    <cfRule type="containsText" dxfId="9244" priority="9251" operator="containsText" text="Reasignación">
      <formula>NOT(ISERROR(SEARCH("Reasignación",K768)))</formula>
    </cfRule>
    <cfRule type="containsText" dxfId="9243" priority="9252" operator="containsText" text="RECHAZADA">
      <formula>NOT(ISERROR(SEARCH("RECHAZADA",K768)))</formula>
    </cfRule>
    <cfRule type="containsText" dxfId="9242" priority="9253" operator="containsText" text="Atendida">
      <formula>NOT(ISERROR(SEARCH("Atendida",K768)))</formula>
    </cfRule>
  </conditionalFormatting>
  <conditionalFormatting sqref="K768">
    <cfRule type="containsText" dxfId="9241" priority="9239" operator="containsText" text="Reasignación">
      <formula>NOT(ISERROR(SEARCH("Reasignación",K768)))</formula>
    </cfRule>
    <cfRule type="containsText" dxfId="9240" priority="9240" operator="containsText" text="RECHAZADA">
      <formula>NOT(ISERROR(SEARCH("RECHAZADA",K768)))</formula>
    </cfRule>
    <cfRule type="containsText" dxfId="9239" priority="9241" operator="containsText" text="Atendida">
      <formula>NOT(ISERROR(SEARCH("Atendida",K768)))</formula>
    </cfRule>
    <cfRule type="containsText" dxfId="9238" priority="9242" operator="containsText" text="Reasignación">
      <formula>NOT(ISERROR(SEARCH("Reasignación",K768)))</formula>
    </cfRule>
    <cfRule type="containsText" dxfId="9237" priority="9243" operator="containsText" text="RECHAZADA">
      <formula>NOT(ISERROR(SEARCH("RECHAZADA",K768)))</formula>
    </cfRule>
    <cfRule type="containsText" dxfId="9236" priority="9244" operator="containsText" text="Atendida">
      <formula>NOT(ISERROR(SEARCH("Atendida",K768)))</formula>
    </cfRule>
    <cfRule type="containsText" dxfId="9235" priority="9245" operator="containsText" text="Reasignación">
      <formula>NOT(ISERROR(SEARCH("Reasignación",K768)))</formula>
    </cfRule>
    <cfRule type="containsText" dxfId="9234" priority="9246" operator="containsText" text="RECHAZADA">
      <formula>NOT(ISERROR(SEARCH("RECHAZADA",K768)))</formula>
    </cfRule>
    <cfRule type="containsText" dxfId="9233" priority="9247" operator="containsText" text="Atendida">
      <formula>NOT(ISERROR(SEARCH("Atendida",K768)))</formula>
    </cfRule>
    <cfRule type="containsText" dxfId="9232" priority="9248" operator="containsText" text="Reasignación">
      <formula>NOT(ISERROR(SEARCH("Reasignación",K768)))</formula>
    </cfRule>
    <cfRule type="containsText" dxfId="9231" priority="9249" operator="containsText" text="RECHAZADA">
      <formula>NOT(ISERROR(SEARCH("RECHAZADA",K768)))</formula>
    </cfRule>
    <cfRule type="containsText" dxfId="9230" priority="9250" operator="containsText" text="Atendida">
      <formula>NOT(ISERROR(SEARCH("Atendida",K768)))</formula>
    </cfRule>
  </conditionalFormatting>
  <conditionalFormatting sqref="K768">
    <cfRule type="containsText" dxfId="9229" priority="9227" operator="containsText" text="Reasignación">
      <formula>NOT(ISERROR(SEARCH("Reasignación",K768)))</formula>
    </cfRule>
    <cfRule type="containsText" dxfId="9228" priority="9228" operator="containsText" text="RECHAZADA">
      <formula>NOT(ISERROR(SEARCH("RECHAZADA",K768)))</formula>
    </cfRule>
    <cfRule type="containsText" dxfId="9227" priority="9229" operator="containsText" text="Atendida">
      <formula>NOT(ISERROR(SEARCH("Atendida",K768)))</formula>
    </cfRule>
    <cfRule type="containsText" dxfId="9226" priority="9230" operator="containsText" text="Reasignación">
      <formula>NOT(ISERROR(SEARCH("Reasignación",K768)))</formula>
    </cfRule>
    <cfRule type="containsText" dxfId="9225" priority="9231" operator="containsText" text="RECHAZADA">
      <formula>NOT(ISERROR(SEARCH("RECHAZADA",K768)))</formula>
    </cfRule>
    <cfRule type="containsText" dxfId="9224" priority="9232" operator="containsText" text="Atendida">
      <formula>NOT(ISERROR(SEARCH("Atendida",K768)))</formula>
    </cfRule>
    <cfRule type="containsText" dxfId="9223" priority="9233" operator="containsText" text="Reasignación">
      <formula>NOT(ISERROR(SEARCH("Reasignación",K768)))</formula>
    </cfRule>
    <cfRule type="containsText" dxfId="9222" priority="9234" operator="containsText" text="RECHAZADA">
      <formula>NOT(ISERROR(SEARCH("RECHAZADA",K768)))</formula>
    </cfRule>
    <cfRule type="containsText" dxfId="9221" priority="9235" operator="containsText" text="Atendida">
      <formula>NOT(ISERROR(SEARCH("Atendida",K768)))</formula>
    </cfRule>
    <cfRule type="containsText" dxfId="9220" priority="9236" operator="containsText" text="Reasignación">
      <formula>NOT(ISERROR(SEARCH("Reasignación",K768)))</formula>
    </cfRule>
    <cfRule type="containsText" dxfId="9219" priority="9237" operator="containsText" text="RECHAZADA">
      <formula>NOT(ISERROR(SEARCH("RECHAZADA",K768)))</formula>
    </cfRule>
    <cfRule type="containsText" dxfId="9218" priority="9238" operator="containsText" text="Atendida">
      <formula>NOT(ISERROR(SEARCH("Atendida",K768)))</formula>
    </cfRule>
  </conditionalFormatting>
  <conditionalFormatting sqref="K768">
    <cfRule type="containsText" dxfId="9217" priority="9212" operator="containsText" text="Reasignación">
      <formula>NOT(ISERROR(SEARCH("Reasignación",K768)))</formula>
    </cfRule>
    <cfRule type="containsText" dxfId="9216" priority="9213" operator="containsText" text="RECHAZADA">
      <formula>NOT(ISERROR(SEARCH("RECHAZADA",K768)))</formula>
    </cfRule>
    <cfRule type="containsText" dxfId="9215" priority="9214" operator="containsText" text="Atendida">
      <formula>NOT(ISERROR(SEARCH("Atendida",K768)))</formula>
    </cfRule>
  </conditionalFormatting>
  <conditionalFormatting sqref="K768">
    <cfRule type="containsText" dxfId="9214" priority="9215" operator="containsText" text="Reasignación">
      <formula>NOT(ISERROR(SEARCH("Reasignación",K768)))</formula>
    </cfRule>
    <cfRule type="containsText" dxfId="9213" priority="9216" operator="containsText" text="RECHAZADA">
      <formula>NOT(ISERROR(SEARCH("RECHAZADA",K768)))</formula>
    </cfRule>
    <cfRule type="containsText" dxfId="9212" priority="9217" operator="containsText" text="Atendida">
      <formula>NOT(ISERROR(SEARCH("Atendida",K768)))</formula>
    </cfRule>
    <cfRule type="containsText" dxfId="9211" priority="9218" operator="containsText" text="Reasignación">
      <formula>NOT(ISERROR(SEARCH("Reasignación",K768)))</formula>
    </cfRule>
    <cfRule type="containsText" dxfId="9210" priority="9219" operator="containsText" text="RECHAZADA">
      <formula>NOT(ISERROR(SEARCH("RECHAZADA",K768)))</formula>
    </cfRule>
    <cfRule type="containsText" dxfId="9209" priority="9220" operator="containsText" text="Atendida">
      <formula>NOT(ISERROR(SEARCH("Atendida",K768)))</formula>
    </cfRule>
    <cfRule type="containsText" dxfId="9208" priority="9221" operator="containsText" text="Reasignación">
      <formula>NOT(ISERROR(SEARCH("Reasignación",K768)))</formula>
    </cfRule>
    <cfRule type="containsText" dxfId="9207" priority="9222" operator="containsText" text="RECHAZADA">
      <formula>NOT(ISERROR(SEARCH("RECHAZADA",K768)))</formula>
    </cfRule>
    <cfRule type="containsText" dxfId="9206" priority="9223" operator="containsText" text="Atendida">
      <formula>NOT(ISERROR(SEARCH("Atendida",K768)))</formula>
    </cfRule>
    <cfRule type="containsText" dxfId="9205" priority="9224" operator="containsText" text="Reasignación">
      <formula>NOT(ISERROR(SEARCH("Reasignación",K768)))</formula>
    </cfRule>
    <cfRule type="containsText" dxfId="9204" priority="9225" operator="containsText" text="RECHAZADA">
      <formula>NOT(ISERROR(SEARCH("RECHAZADA",K768)))</formula>
    </cfRule>
    <cfRule type="containsText" dxfId="9203" priority="9226" operator="containsText" text="Atendida">
      <formula>NOT(ISERROR(SEARCH("Atendida",K768)))</formula>
    </cfRule>
  </conditionalFormatting>
  <conditionalFormatting sqref="E770">
    <cfRule type="duplicateValues" dxfId="9202" priority="9207"/>
  </conditionalFormatting>
  <conditionalFormatting sqref="M770">
    <cfRule type="containsText" dxfId="9201" priority="9210" operator="containsText" text="Atendida">
      <formula>NOT(ISERROR(SEARCH("Atendida",M770)))</formula>
    </cfRule>
  </conditionalFormatting>
  <conditionalFormatting sqref="M770">
    <cfRule type="containsText" dxfId="9200" priority="9209" operator="containsText" text="RECHAZADA">
      <formula>NOT(ISERROR(SEARCH("RECHAZADA",M770)))</formula>
    </cfRule>
  </conditionalFormatting>
  <conditionalFormatting sqref="M770">
    <cfRule type="containsText" dxfId="9199" priority="9208" operator="containsText" text="CONFORME">
      <formula>NOT(ISERROR(SEARCH("CONFORME",M770)))</formula>
    </cfRule>
  </conditionalFormatting>
  <conditionalFormatting sqref="M770">
    <cfRule type="containsText" dxfId="9198" priority="9206" operator="containsText" text="OBSERVADO">
      <formula>NOT(ISERROR(SEARCH("OBSERVADO",M770)))</formula>
    </cfRule>
  </conditionalFormatting>
  <conditionalFormatting sqref="B770">
    <cfRule type="duplicateValues" dxfId="9197" priority="9211"/>
  </conditionalFormatting>
  <conditionalFormatting sqref="K770">
    <cfRule type="containsText" dxfId="9196" priority="9191" operator="containsText" text="Reasignación">
      <formula>NOT(ISERROR(SEARCH("Reasignación",K770)))</formula>
    </cfRule>
    <cfRule type="containsText" dxfId="9195" priority="9192" operator="containsText" text="RECHAZADA">
      <formula>NOT(ISERROR(SEARCH("RECHAZADA",K770)))</formula>
    </cfRule>
    <cfRule type="containsText" dxfId="9194" priority="9193" operator="containsText" text="Atendida">
      <formula>NOT(ISERROR(SEARCH("Atendida",K770)))</formula>
    </cfRule>
  </conditionalFormatting>
  <conditionalFormatting sqref="K770">
    <cfRule type="containsText" dxfId="9193" priority="9194" operator="containsText" text="Reasignación">
      <formula>NOT(ISERROR(SEARCH("Reasignación",K770)))</formula>
    </cfRule>
    <cfRule type="containsText" dxfId="9192" priority="9195" operator="containsText" text="RECHAZADA">
      <formula>NOT(ISERROR(SEARCH("RECHAZADA",K770)))</formula>
    </cfRule>
    <cfRule type="containsText" dxfId="9191" priority="9196" operator="containsText" text="Atendida">
      <formula>NOT(ISERROR(SEARCH("Atendida",K770)))</formula>
    </cfRule>
    <cfRule type="containsText" dxfId="9190" priority="9197" operator="containsText" text="Reasignación">
      <formula>NOT(ISERROR(SEARCH("Reasignación",K770)))</formula>
    </cfRule>
    <cfRule type="containsText" dxfId="9189" priority="9198" operator="containsText" text="RECHAZADA">
      <formula>NOT(ISERROR(SEARCH("RECHAZADA",K770)))</formula>
    </cfRule>
    <cfRule type="containsText" dxfId="9188" priority="9199" operator="containsText" text="Atendida">
      <formula>NOT(ISERROR(SEARCH("Atendida",K770)))</formula>
    </cfRule>
    <cfRule type="containsText" dxfId="9187" priority="9200" operator="containsText" text="Reasignación">
      <formula>NOT(ISERROR(SEARCH("Reasignación",K770)))</formula>
    </cfRule>
    <cfRule type="containsText" dxfId="9186" priority="9201" operator="containsText" text="RECHAZADA">
      <formula>NOT(ISERROR(SEARCH("RECHAZADA",K770)))</formula>
    </cfRule>
    <cfRule type="containsText" dxfId="9185" priority="9202" operator="containsText" text="Atendida">
      <formula>NOT(ISERROR(SEARCH("Atendida",K770)))</formula>
    </cfRule>
    <cfRule type="containsText" dxfId="9184" priority="9203" operator="containsText" text="Reasignación">
      <formula>NOT(ISERROR(SEARCH("Reasignación",K770)))</formula>
    </cfRule>
    <cfRule type="containsText" dxfId="9183" priority="9204" operator="containsText" text="RECHAZADA">
      <formula>NOT(ISERROR(SEARCH("RECHAZADA",K770)))</formula>
    </cfRule>
    <cfRule type="containsText" dxfId="9182" priority="9205" operator="containsText" text="Atendida">
      <formula>NOT(ISERROR(SEARCH("Atendida",K770)))</formula>
    </cfRule>
  </conditionalFormatting>
  <conditionalFormatting sqref="K770">
    <cfRule type="containsText" dxfId="9181" priority="9183" operator="containsText" text="RECHAZADA">
      <formula>NOT(ISERROR(SEARCH("RECHAZADA",K770)))</formula>
    </cfRule>
    <cfRule type="containsText" dxfId="9180" priority="9184" operator="containsText" text="Atendida">
      <formula>NOT(ISERROR(SEARCH("Atendida",K770)))</formula>
    </cfRule>
    <cfRule type="containsText" dxfId="9179" priority="9185" operator="containsText" text="Reasignación">
      <formula>NOT(ISERROR(SEARCH("Reasignación",K770)))</formula>
    </cfRule>
    <cfRule type="containsText" dxfId="9178" priority="9186" operator="containsText" text="RECHAZADA">
      <formula>NOT(ISERROR(SEARCH("RECHAZADA",K770)))</formula>
    </cfRule>
    <cfRule type="containsText" dxfId="9177" priority="9187" operator="containsText" text="Atendida">
      <formula>NOT(ISERROR(SEARCH("Atendida",K770)))</formula>
    </cfRule>
    <cfRule type="containsText" dxfId="9176" priority="9188" operator="containsText" text="Reasignación">
      <formula>NOT(ISERROR(SEARCH("Reasignación",K770)))</formula>
    </cfRule>
    <cfRule type="containsText" dxfId="9175" priority="9189" operator="containsText" text="RECHAZADA">
      <formula>NOT(ISERROR(SEARCH("RECHAZADA",K770)))</formula>
    </cfRule>
    <cfRule type="containsText" dxfId="9174" priority="9190" operator="containsText" text="Atendida">
      <formula>NOT(ISERROR(SEARCH("Atendida",K770)))</formula>
    </cfRule>
  </conditionalFormatting>
  <conditionalFormatting sqref="K770">
    <cfRule type="containsText" dxfId="9173" priority="9182" operator="containsText" text="Reasignación">
      <formula>NOT(ISERROR(SEARCH("Reasignación",K770)))</formula>
    </cfRule>
  </conditionalFormatting>
  <conditionalFormatting sqref="K770">
    <cfRule type="containsText" dxfId="9172" priority="9181" operator="containsText" text="Atendida">
      <formula>NOT(ISERROR(SEARCH("Atendida",K770)))</formula>
    </cfRule>
  </conditionalFormatting>
  <conditionalFormatting sqref="K770">
    <cfRule type="containsText" dxfId="9171" priority="9179" operator="containsText" text="Reasignación">
      <formula>NOT(ISERROR(SEARCH("Reasignación",K770)))</formula>
    </cfRule>
    <cfRule type="containsText" dxfId="9170" priority="9180" operator="containsText" text="RECHAZADA">
      <formula>NOT(ISERROR(SEARCH("RECHAZADA",K770)))</formula>
    </cfRule>
  </conditionalFormatting>
  <conditionalFormatting sqref="K770">
    <cfRule type="containsText" dxfId="9169" priority="9167" operator="containsText" text="Reasignación">
      <formula>NOT(ISERROR(SEARCH("Reasignación",K770)))</formula>
    </cfRule>
    <cfRule type="containsText" dxfId="9168" priority="9168" operator="containsText" text="RECHAZADA">
      <formula>NOT(ISERROR(SEARCH("RECHAZADA",K770)))</formula>
    </cfRule>
    <cfRule type="containsText" dxfId="9167" priority="9169" operator="containsText" text="Atendida">
      <formula>NOT(ISERROR(SEARCH("Atendida",K770)))</formula>
    </cfRule>
    <cfRule type="containsText" dxfId="9166" priority="9170" operator="containsText" text="Reasignación">
      <formula>NOT(ISERROR(SEARCH("Reasignación",K770)))</formula>
    </cfRule>
    <cfRule type="containsText" dxfId="9165" priority="9171" operator="containsText" text="RECHAZADA">
      <formula>NOT(ISERROR(SEARCH("RECHAZADA",K770)))</formula>
    </cfRule>
    <cfRule type="containsText" dxfId="9164" priority="9172" operator="containsText" text="Atendida">
      <formula>NOT(ISERROR(SEARCH("Atendida",K770)))</formula>
    </cfRule>
    <cfRule type="containsText" dxfId="9163" priority="9173" operator="containsText" text="Reasignación">
      <formula>NOT(ISERROR(SEARCH("Reasignación",K770)))</formula>
    </cfRule>
    <cfRule type="containsText" dxfId="9162" priority="9174" operator="containsText" text="RECHAZADA">
      <formula>NOT(ISERROR(SEARCH("RECHAZADA",K770)))</formula>
    </cfRule>
    <cfRule type="containsText" dxfId="9161" priority="9175" operator="containsText" text="Atendida">
      <formula>NOT(ISERROR(SEARCH("Atendida",K770)))</formula>
    </cfRule>
    <cfRule type="containsText" dxfId="9160" priority="9176" operator="containsText" text="Reasignación">
      <formula>NOT(ISERROR(SEARCH("Reasignación",K770)))</formula>
    </cfRule>
    <cfRule type="containsText" dxfId="9159" priority="9177" operator="containsText" text="RECHAZADA">
      <formula>NOT(ISERROR(SEARCH("RECHAZADA",K770)))</formula>
    </cfRule>
    <cfRule type="containsText" dxfId="9158" priority="9178" operator="containsText" text="Atendida">
      <formula>NOT(ISERROR(SEARCH("Atendida",K770)))</formula>
    </cfRule>
  </conditionalFormatting>
  <conditionalFormatting sqref="K770">
    <cfRule type="containsText" dxfId="9157" priority="9159" operator="containsText" text="RECHAZADA">
      <formula>NOT(ISERROR(SEARCH("RECHAZADA",K770)))</formula>
    </cfRule>
    <cfRule type="containsText" dxfId="9156" priority="9160" operator="containsText" text="Atendida">
      <formula>NOT(ISERROR(SEARCH("Atendida",K770)))</formula>
    </cfRule>
    <cfRule type="containsText" dxfId="9155" priority="9161" operator="containsText" text="Reasignación">
      <formula>NOT(ISERROR(SEARCH("Reasignación",K770)))</formula>
    </cfRule>
    <cfRule type="containsText" dxfId="9154" priority="9162" operator="containsText" text="RECHAZADA">
      <formula>NOT(ISERROR(SEARCH("RECHAZADA",K770)))</formula>
    </cfRule>
    <cfRule type="containsText" dxfId="9153" priority="9163" operator="containsText" text="Atendida">
      <formula>NOT(ISERROR(SEARCH("Atendida",K770)))</formula>
    </cfRule>
    <cfRule type="containsText" dxfId="9152" priority="9164" operator="containsText" text="Reasignación">
      <formula>NOT(ISERROR(SEARCH("Reasignación",K770)))</formula>
    </cfRule>
    <cfRule type="containsText" dxfId="9151" priority="9165" operator="containsText" text="RECHAZADA">
      <formula>NOT(ISERROR(SEARCH("RECHAZADA",K770)))</formula>
    </cfRule>
    <cfRule type="containsText" dxfId="9150" priority="9166" operator="containsText" text="Atendida">
      <formula>NOT(ISERROR(SEARCH("Atendida",K770)))</formula>
    </cfRule>
  </conditionalFormatting>
  <conditionalFormatting sqref="K770">
    <cfRule type="containsText" dxfId="9149" priority="9155" operator="containsText" text="Reasignación">
      <formula>NOT(ISERROR(SEARCH("Reasignación",K770)))</formula>
    </cfRule>
    <cfRule type="containsText" dxfId="9148" priority="9156" operator="containsText" text="RECHAZADA">
      <formula>NOT(ISERROR(SEARCH("RECHAZADA",K770)))</formula>
    </cfRule>
  </conditionalFormatting>
  <conditionalFormatting sqref="K770">
    <cfRule type="containsText" dxfId="9147" priority="9158" operator="containsText" text="Reasignación">
      <formula>NOT(ISERROR(SEARCH("Reasignación",K770)))</formula>
    </cfRule>
  </conditionalFormatting>
  <conditionalFormatting sqref="K770">
    <cfRule type="containsText" dxfId="9146" priority="9157" operator="containsText" text="Atendida">
      <formula>NOT(ISERROR(SEARCH("Atendida",K770)))</formula>
    </cfRule>
  </conditionalFormatting>
  <conditionalFormatting sqref="K770">
    <cfRule type="containsText" dxfId="9145" priority="9130" operator="containsText" text="Reasignación">
      <formula>NOT(ISERROR(SEARCH("Reasignación",K770)))</formula>
    </cfRule>
    <cfRule type="containsText" dxfId="9144" priority="9131" operator="containsText" text="RECHAZADA">
      <formula>NOT(ISERROR(SEARCH("RECHAZADA",K770)))</formula>
    </cfRule>
    <cfRule type="containsText" dxfId="9143" priority="9132" operator="containsText" text="Atendida">
      <formula>NOT(ISERROR(SEARCH("Atendida",K770)))</formula>
    </cfRule>
    <cfRule type="containsText" dxfId="9142" priority="9133" operator="containsText" text="Reasignación">
      <formula>NOT(ISERROR(SEARCH("Reasignación",K770)))</formula>
    </cfRule>
    <cfRule type="containsText" dxfId="9141" priority="9134" operator="containsText" text="RECHAZADA">
      <formula>NOT(ISERROR(SEARCH("RECHAZADA",K770)))</formula>
    </cfRule>
    <cfRule type="containsText" dxfId="9140" priority="9135" operator="containsText" text="Atendida">
      <formula>NOT(ISERROR(SEARCH("Atendida",K770)))</formula>
    </cfRule>
    <cfRule type="containsText" dxfId="9139" priority="9136" operator="containsText" text="Reasignación">
      <formula>NOT(ISERROR(SEARCH("Reasignación",K770)))</formula>
    </cfRule>
    <cfRule type="containsText" dxfId="9138" priority="9137" operator="containsText" text="RECHAZADA">
      <formula>NOT(ISERROR(SEARCH("RECHAZADA",K770)))</formula>
    </cfRule>
    <cfRule type="containsText" dxfId="9137" priority="9138" operator="containsText" text="Atendida">
      <formula>NOT(ISERROR(SEARCH("Atendida",K770)))</formula>
    </cfRule>
    <cfRule type="containsText" dxfId="9136" priority="9139" operator="containsText" text="Reasignación">
      <formula>NOT(ISERROR(SEARCH("Reasignación",K770)))</formula>
    </cfRule>
    <cfRule type="containsText" dxfId="9135" priority="9140" operator="containsText" text="RECHAZADA">
      <formula>NOT(ISERROR(SEARCH("RECHAZADA",K770)))</formula>
    </cfRule>
    <cfRule type="containsText" dxfId="9134" priority="9141" operator="containsText" text="Atendida">
      <formula>NOT(ISERROR(SEARCH("Atendida",K770)))</formula>
    </cfRule>
    <cfRule type="containsText" dxfId="9133" priority="9142" operator="containsText" text="Reasignación">
      <formula>NOT(ISERROR(SEARCH("Reasignación",K770)))</formula>
    </cfRule>
    <cfRule type="containsText" dxfId="9132" priority="9143" operator="containsText" text="RECHAZADA">
      <formula>NOT(ISERROR(SEARCH("RECHAZADA",K770)))</formula>
    </cfRule>
    <cfRule type="containsText" dxfId="9131" priority="9144" operator="containsText" text="Atendida">
      <formula>NOT(ISERROR(SEARCH("Atendida",K770)))</formula>
    </cfRule>
    <cfRule type="containsText" dxfId="9130" priority="9145" operator="containsText" text="Reasignación">
      <formula>NOT(ISERROR(SEARCH("Reasignación",K770)))</formula>
    </cfRule>
    <cfRule type="containsText" dxfId="9129" priority="9146" operator="containsText" text="RECHAZADA">
      <formula>NOT(ISERROR(SEARCH("RECHAZADA",K770)))</formula>
    </cfRule>
    <cfRule type="containsText" dxfId="9128" priority="9147" operator="containsText" text="Atendida">
      <formula>NOT(ISERROR(SEARCH("Atendida",K770)))</formula>
    </cfRule>
    <cfRule type="containsText" dxfId="9127" priority="9148" operator="containsText" text="Reasignación">
      <formula>NOT(ISERROR(SEARCH("Reasignación",K770)))</formula>
    </cfRule>
    <cfRule type="containsText" dxfId="9126" priority="9149" operator="containsText" text="RECHAZADA">
      <formula>NOT(ISERROR(SEARCH("RECHAZADA",K770)))</formula>
    </cfRule>
    <cfRule type="containsText" dxfId="9125" priority="9150" operator="containsText" text="Atendida">
      <formula>NOT(ISERROR(SEARCH("Atendida",K770)))</formula>
    </cfRule>
    <cfRule type="containsText" dxfId="9124" priority="9151" operator="containsText" text="Reasignación">
      <formula>NOT(ISERROR(SEARCH("Reasignación",K770)))</formula>
    </cfRule>
    <cfRule type="containsText" dxfId="9123" priority="9152" operator="containsText" text="RECHAZADA">
      <formula>NOT(ISERROR(SEARCH("RECHAZADA",K770)))</formula>
    </cfRule>
    <cfRule type="containsText" dxfId="9122" priority="9153" operator="containsText" text="Atendida">
      <formula>NOT(ISERROR(SEARCH("Atendida",K770)))</formula>
    </cfRule>
    <cfRule type="containsText" dxfId="9121" priority="9154" operator="containsText" text="Atendida">
      <formula>NOT(ISERROR(SEARCH("Atendida",K770)))</formula>
    </cfRule>
  </conditionalFormatting>
  <conditionalFormatting sqref="K769">
    <cfRule type="containsText" dxfId="9120" priority="9115" operator="containsText" text="Reasignación">
      <formula>NOT(ISERROR(SEARCH("Reasignación",K769)))</formula>
    </cfRule>
    <cfRule type="containsText" dxfId="9119" priority="9116" operator="containsText" text="RECHAZADA">
      <formula>NOT(ISERROR(SEARCH("RECHAZADA",K769)))</formula>
    </cfRule>
    <cfRule type="containsText" dxfId="9118" priority="9117" operator="containsText" text="Atendida">
      <formula>NOT(ISERROR(SEARCH("Atendida",K769)))</formula>
    </cfRule>
  </conditionalFormatting>
  <conditionalFormatting sqref="K769">
    <cfRule type="containsText" dxfId="9117" priority="9118" operator="containsText" text="Reasignación">
      <formula>NOT(ISERROR(SEARCH("Reasignación",K769)))</formula>
    </cfRule>
    <cfRule type="containsText" dxfId="9116" priority="9119" operator="containsText" text="RECHAZADA">
      <formula>NOT(ISERROR(SEARCH("RECHAZADA",K769)))</formula>
    </cfRule>
    <cfRule type="containsText" dxfId="9115" priority="9120" operator="containsText" text="Atendida">
      <formula>NOT(ISERROR(SEARCH("Atendida",K769)))</formula>
    </cfRule>
    <cfRule type="containsText" dxfId="9114" priority="9121" operator="containsText" text="Reasignación">
      <formula>NOT(ISERROR(SEARCH("Reasignación",K769)))</formula>
    </cfRule>
    <cfRule type="containsText" dxfId="9113" priority="9122" operator="containsText" text="RECHAZADA">
      <formula>NOT(ISERROR(SEARCH("RECHAZADA",K769)))</formula>
    </cfRule>
    <cfRule type="containsText" dxfId="9112" priority="9123" operator="containsText" text="Atendida">
      <formula>NOT(ISERROR(SEARCH("Atendida",K769)))</formula>
    </cfRule>
    <cfRule type="containsText" dxfId="9111" priority="9124" operator="containsText" text="Reasignación">
      <formula>NOT(ISERROR(SEARCH("Reasignación",K769)))</formula>
    </cfRule>
    <cfRule type="containsText" dxfId="9110" priority="9125" operator="containsText" text="RECHAZADA">
      <formula>NOT(ISERROR(SEARCH("RECHAZADA",K769)))</formula>
    </cfRule>
    <cfRule type="containsText" dxfId="9109" priority="9126" operator="containsText" text="Atendida">
      <formula>NOT(ISERROR(SEARCH("Atendida",K769)))</formula>
    </cfRule>
    <cfRule type="containsText" dxfId="9108" priority="9127" operator="containsText" text="Reasignación">
      <formula>NOT(ISERROR(SEARCH("Reasignación",K769)))</formula>
    </cfRule>
    <cfRule type="containsText" dxfId="9107" priority="9128" operator="containsText" text="RECHAZADA">
      <formula>NOT(ISERROR(SEARCH("RECHAZADA",K769)))</formula>
    </cfRule>
    <cfRule type="containsText" dxfId="9106" priority="9129" operator="containsText" text="Atendida">
      <formula>NOT(ISERROR(SEARCH("Atendida",K769)))</formula>
    </cfRule>
  </conditionalFormatting>
  <conditionalFormatting sqref="K769">
    <cfRule type="containsText" dxfId="9105" priority="9107" operator="containsText" text="RECHAZADA">
      <formula>NOT(ISERROR(SEARCH("RECHAZADA",K769)))</formula>
    </cfRule>
    <cfRule type="containsText" dxfId="9104" priority="9108" operator="containsText" text="Atendida">
      <formula>NOT(ISERROR(SEARCH("Atendida",K769)))</formula>
    </cfRule>
    <cfRule type="containsText" dxfId="9103" priority="9109" operator="containsText" text="Reasignación">
      <formula>NOT(ISERROR(SEARCH("Reasignación",K769)))</formula>
    </cfRule>
    <cfRule type="containsText" dxfId="9102" priority="9110" operator="containsText" text="RECHAZADA">
      <formula>NOT(ISERROR(SEARCH("RECHAZADA",K769)))</formula>
    </cfRule>
    <cfRule type="containsText" dxfId="9101" priority="9111" operator="containsText" text="Atendida">
      <formula>NOT(ISERROR(SEARCH("Atendida",K769)))</formula>
    </cfRule>
    <cfRule type="containsText" dxfId="9100" priority="9112" operator="containsText" text="Reasignación">
      <formula>NOT(ISERROR(SEARCH("Reasignación",K769)))</formula>
    </cfRule>
    <cfRule type="containsText" dxfId="9099" priority="9113" operator="containsText" text="RECHAZADA">
      <formula>NOT(ISERROR(SEARCH("RECHAZADA",K769)))</formula>
    </cfRule>
    <cfRule type="containsText" dxfId="9098" priority="9114" operator="containsText" text="Atendida">
      <formula>NOT(ISERROR(SEARCH("Atendida",K769)))</formula>
    </cfRule>
  </conditionalFormatting>
  <conditionalFormatting sqref="K769">
    <cfRule type="containsText" dxfId="9097" priority="9106" operator="containsText" text="Reasignación">
      <formula>NOT(ISERROR(SEARCH("Reasignación",K769)))</formula>
    </cfRule>
  </conditionalFormatting>
  <conditionalFormatting sqref="K769">
    <cfRule type="containsText" dxfId="9096" priority="9105" operator="containsText" text="Atendida">
      <formula>NOT(ISERROR(SEARCH("Atendida",K769)))</formula>
    </cfRule>
  </conditionalFormatting>
  <conditionalFormatting sqref="K769">
    <cfRule type="containsText" dxfId="9095" priority="9103" operator="containsText" text="Reasignación">
      <formula>NOT(ISERROR(SEARCH("Reasignación",K769)))</formula>
    </cfRule>
    <cfRule type="containsText" dxfId="9094" priority="9104" operator="containsText" text="RECHAZADA">
      <formula>NOT(ISERROR(SEARCH("RECHAZADA",K769)))</formula>
    </cfRule>
  </conditionalFormatting>
  <conditionalFormatting sqref="K769">
    <cfRule type="containsText" dxfId="9093" priority="9091" operator="containsText" text="Reasignación">
      <formula>NOT(ISERROR(SEARCH("Reasignación",K769)))</formula>
    </cfRule>
    <cfRule type="containsText" dxfId="9092" priority="9092" operator="containsText" text="RECHAZADA">
      <formula>NOT(ISERROR(SEARCH("RECHAZADA",K769)))</formula>
    </cfRule>
    <cfRule type="containsText" dxfId="9091" priority="9093" operator="containsText" text="Atendida">
      <formula>NOT(ISERROR(SEARCH("Atendida",K769)))</formula>
    </cfRule>
    <cfRule type="containsText" dxfId="9090" priority="9094" operator="containsText" text="Reasignación">
      <formula>NOT(ISERROR(SEARCH("Reasignación",K769)))</formula>
    </cfRule>
    <cfRule type="containsText" dxfId="9089" priority="9095" operator="containsText" text="RECHAZADA">
      <formula>NOT(ISERROR(SEARCH("RECHAZADA",K769)))</formula>
    </cfRule>
    <cfRule type="containsText" dxfId="9088" priority="9096" operator="containsText" text="Atendida">
      <formula>NOT(ISERROR(SEARCH("Atendida",K769)))</formula>
    </cfRule>
    <cfRule type="containsText" dxfId="9087" priority="9097" operator="containsText" text="Reasignación">
      <formula>NOT(ISERROR(SEARCH("Reasignación",K769)))</formula>
    </cfRule>
    <cfRule type="containsText" dxfId="9086" priority="9098" operator="containsText" text="RECHAZADA">
      <formula>NOT(ISERROR(SEARCH("RECHAZADA",K769)))</formula>
    </cfRule>
    <cfRule type="containsText" dxfId="9085" priority="9099" operator="containsText" text="Atendida">
      <formula>NOT(ISERROR(SEARCH("Atendida",K769)))</formula>
    </cfRule>
    <cfRule type="containsText" dxfId="9084" priority="9100" operator="containsText" text="Reasignación">
      <formula>NOT(ISERROR(SEARCH("Reasignación",K769)))</formula>
    </cfRule>
    <cfRule type="containsText" dxfId="9083" priority="9101" operator="containsText" text="RECHAZADA">
      <formula>NOT(ISERROR(SEARCH("RECHAZADA",K769)))</formula>
    </cfRule>
    <cfRule type="containsText" dxfId="9082" priority="9102" operator="containsText" text="Atendida">
      <formula>NOT(ISERROR(SEARCH("Atendida",K769)))</formula>
    </cfRule>
  </conditionalFormatting>
  <conditionalFormatting sqref="K769">
    <cfRule type="containsText" dxfId="9081" priority="9083" operator="containsText" text="RECHAZADA">
      <formula>NOT(ISERROR(SEARCH("RECHAZADA",K769)))</formula>
    </cfRule>
    <cfRule type="containsText" dxfId="9080" priority="9084" operator="containsText" text="Atendida">
      <formula>NOT(ISERROR(SEARCH("Atendida",K769)))</formula>
    </cfRule>
    <cfRule type="containsText" dxfId="9079" priority="9085" operator="containsText" text="Reasignación">
      <formula>NOT(ISERROR(SEARCH("Reasignación",K769)))</formula>
    </cfRule>
    <cfRule type="containsText" dxfId="9078" priority="9086" operator="containsText" text="RECHAZADA">
      <formula>NOT(ISERROR(SEARCH("RECHAZADA",K769)))</formula>
    </cfRule>
    <cfRule type="containsText" dxfId="9077" priority="9087" operator="containsText" text="Atendida">
      <formula>NOT(ISERROR(SEARCH("Atendida",K769)))</formula>
    </cfRule>
    <cfRule type="containsText" dxfId="9076" priority="9088" operator="containsText" text="Reasignación">
      <formula>NOT(ISERROR(SEARCH("Reasignación",K769)))</formula>
    </cfRule>
    <cfRule type="containsText" dxfId="9075" priority="9089" operator="containsText" text="RECHAZADA">
      <formula>NOT(ISERROR(SEARCH("RECHAZADA",K769)))</formula>
    </cfRule>
    <cfRule type="containsText" dxfId="9074" priority="9090" operator="containsText" text="Atendida">
      <formula>NOT(ISERROR(SEARCH("Atendida",K769)))</formula>
    </cfRule>
  </conditionalFormatting>
  <conditionalFormatting sqref="K769">
    <cfRule type="containsText" dxfId="9073" priority="9079" operator="containsText" text="Reasignación">
      <formula>NOT(ISERROR(SEARCH("Reasignación",K769)))</formula>
    </cfRule>
    <cfRule type="containsText" dxfId="9072" priority="9080" operator="containsText" text="RECHAZADA">
      <formula>NOT(ISERROR(SEARCH("RECHAZADA",K769)))</formula>
    </cfRule>
  </conditionalFormatting>
  <conditionalFormatting sqref="K769">
    <cfRule type="containsText" dxfId="9071" priority="9082" operator="containsText" text="Reasignación">
      <formula>NOT(ISERROR(SEARCH("Reasignación",K769)))</formula>
    </cfRule>
  </conditionalFormatting>
  <conditionalFormatting sqref="K769">
    <cfRule type="containsText" dxfId="9070" priority="9081" operator="containsText" text="Atendida">
      <formula>NOT(ISERROR(SEARCH("Atendida",K769)))</formula>
    </cfRule>
  </conditionalFormatting>
  <conditionalFormatting sqref="K769">
    <cfRule type="containsText" dxfId="9069" priority="9054" operator="containsText" text="Reasignación">
      <formula>NOT(ISERROR(SEARCH("Reasignación",K769)))</formula>
    </cfRule>
    <cfRule type="containsText" dxfId="9068" priority="9055" operator="containsText" text="RECHAZADA">
      <formula>NOT(ISERROR(SEARCH("RECHAZADA",K769)))</formula>
    </cfRule>
    <cfRule type="containsText" dxfId="9067" priority="9056" operator="containsText" text="Atendida">
      <formula>NOT(ISERROR(SEARCH("Atendida",K769)))</formula>
    </cfRule>
    <cfRule type="containsText" dxfId="9066" priority="9057" operator="containsText" text="Reasignación">
      <formula>NOT(ISERROR(SEARCH("Reasignación",K769)))</formula>
    </cfRule>
    <cfRule type="containsText" dxfId="9065" priority="9058" operator="containsText" text="RECHAZADA">
      <formula>NOT(ISERROR(SEARCH("RECHAZADA",K769)))</formula>
    </cfRule>
    <cfRule type="containsText" dxfId="9064" priority="9059" operator="containsText" text="Atendida">
      <formula>NOT(ISERROR(SEARCH("Atendida",K769)))</formula>
    </cfRule>
    <cfRule type="containsText" dxfId="9063" priority="9060" operator="containsText" text="Reasignación">
      <formula>NOT(ISERROR(SEARCH("Reasignación",K769)))</formula>
    </cfRule>
    <cfRule type="containsText" dxfId="9062" priority="9061" operator="containsText" text="RECHAZADA">
      <formula>NOT(ISERROR(SEARCH("RECHAZADA",K769)))</formula>
    </cfRule>
    <cfRule type="containsText" dxfId="9061" priority="9062" operator="containsText" text="Atendida">
      <formula>NOT(ISERROR(SEARCH("Atendida",K769)))</formula>
    </cfRule>
    <cfRule type="containsText" dxfId="9060" priority="9063" operator="containsText" text="Reasignación">
      <formula>NOT(ISERROR(SEARCH("Reasignación",K769)))</formula>
    </cfRule>
    <cfRule type="containsText" dxfId="9059" priority="9064" operator="containsText" text="RECHAZADA">
      <formula>NOT(ISERROR(SEARCH("RECHAZADA",K769)))</formula>
    </cfRule>
    <cfRule type="containsText" dxfId="9058" priority="9065" operator="containsText" text="Atendida">
      <formula>NOT(ISERROR(SEARCH("Atendida",K769)))</formula>
    </cfRule>
    <cfRule type="containsText" dxfId="9057" priority="9066" operator="containsText" text="Reasignación">
      <formula>NOT(ISERROR(SEARCH("Reasignación",K769)))</formula>
    </cfRule>
    <cfRule type="containsText" dxfId="9056" priority="9067" operator="containsText" text="RECHAZADA">
      <formula>NOT(ISERROR(SEARCH("RECHAZADA",K769)))</formula>
    </cfRule>
    <cfRule type="containsText" dxfId="9055" priority="9068" operator="containsText" text="Atendida">
      <formula>NOT(ISERROR(SEARCH("Atendida",K769)))</formula>
    </cfRule>
    <cfRule type="containsText" dxfId="9054" priority="9069" operator="containsText" text="Reasignación">
      <formula>NOT(ISERROR(SEARCH("Reasignación",K769)))</formula>
    </cfRule>
    <cfRule type="containsText" dxfId="9053" priority="9070" operator="containsText" text="RECHAZADA">
      <formula>NOT(ISERROR(SEARCH("RECHAZADA",K769)))</formula>
    </cfRule>
    <cfRule type="containsText" dxfId="9052" priority="9071" operator="containsText" text="Atendida">
      <formula>NOT(ISERROR(SEARCH("Atendida",K769)))</formula>
    </cfRule>
    <cfRule type="containsText" dxfId="9051" priority="9072" operator="containsText" text="Reasignación">
      <formula>NOT(ISERROR(SEARCH("Reasignación",K769)))</formula>
    </cfRule>
    <cfRule type="containsText" dxfId="9050" priority="9073" operator="containsText" text="RECHAZADA">
      <formula>NOT(ISERROR(SEARCH("RECHAZADA",K769)))</formula>
    </cfRule>
    <cfRule type="containsText" dxfId="9049" priority="9074" operator="containsText" text="Atendida">
      <formula>NOT(ISERROR(SEARCH("Atendida",K769)))</formula>
    </cfRule>
    <cfRule type="containsText" dxfId="9048" priority="9075" operator="containsText" text="Reasignación">
      <formula>NOT(ISERROR(SEARCH("Reasignación",K769)))</formula>
    </cfRule>
    <cfRule type="containsText" dxfId="9047" priority="9076" operator="containsText" text="RECHAZADA">
      <formula>NOT(ISERROR(SEARCH("RECHAZADA",K769)))</formula>
    </cfRule>
    <cfRule type="containsText" dxfId="9046" priority="9077" operator="containsText" text="Atendida">
      <formula>NOT(ISERROR(SEARCH("Atendida",K769)))</formula>
    </cfRule>
    <cfRule type="containsText" dxfId="9045" priority="9078" operator="containsText" text="Atendida">
      <formula>NOT(ISERROR(SEARCH("Atendida",K769)))</formula>
    </cfRule>
  </conditionalFormatting>
  <conditionalFormatting sqref="K771">
    <cfRule type="containsText" dxfId="9044" priority="9039" operator="containsText" text="Reasignación">
      <formula>NOT(ISERROR(SEARCH("Reasignación",K771)))</formula>
    </cfRule>
    <cfRule type="containsText" dxfId="9043" priority="9040" operator="containsText" text="RECHAZADA">
      <formula>NOT(ISERROR(SEARCH("RECHAZADA",K771)))</formula>
    </cfRule>
    <cfRule type="containsText" dxfId="9042" priority="9041" operator="containsText" text="Atendida">
      <formula>NOT(ISERROR(SEARCH("Atendida",K771)))</formula>
    </cfRule>
  </conditionalFormatting>
  <conditionalFormatting sqref="K771">
    <cfRule type="containsText" dxfId="9041" priority="9042" operator="containsText" text="Reasignación">
      <formula>NOT(ISERROR(SEARCH("Reasignación",K771)))</formula>
    </cfRule>
    <cfRule type="containsText" dxfId="9040" priority="9043" operator="containsText" text="RECHAZADA">
      <formula>NOT(ISERROR(SEARCH("RECHAZADA",K771)))</formula>
    </cfRule>
    <cfRule type="containsText" dxfId="9039" priority="9044" operator="containsText" text="Atendida">
      <formula>NOT(ISERROR(SEARCH("Atendida",K771)))</formula>
    </cfRule>
    <cfRule type="containsText" dxfId="9038" priority="9045" operator="containsText" text="Reasignación">
      <formula>NOT(ISERROR(SEARCH("Reasignación",K771)))</formula>
    </cfRule>
    <cfRule type="containsText" dxfId="9037" priority="9046" operator="containsText" text="RECHAZADA">
      <formula>NOT(ISERROR(SEARCH("RECHAZADA",K771)))</formula>
    </cfRule>
    <cfRule type="containsText" dxfId="9036" priority="9047" operator="containsText" text="Atendida">
      <formula>NOT(ISERROR(SEARCH("Atendida",K771)))</formula>
    </cfRule>
    <cfRule type="containsText" dxfId="9035" priority="9048" operator="containsText" text="Reasignación">
      <formula>NOT(ISERROR(SEARCH("Reasignación",K771)))</formula>
    </cfRule>
    <cfRule type="containsText" dxfId="9034" priority="9049" operator="containsText" text="RECHAZADA">
      <formula>NOT(ISERROR(SEARCH("RECHAZADA",K771)))</formula>
    </cfRule>
    <cfRule type="containsText" dxfId="9033" priority="9050" operator="containsText" text="Atendida">
      <formula>NOT(ISERROR(SEARCH("Atendida",K771)))</formula>
    </cfRule>
    <cfRule type="containsText" dxfId="9032" priority="9051" operator="containsText" text="Reasignación">
      <formula>NOT(ISERROR(SEARCH("Reasignación",K771)))</formula>
    </cfRule>
    <cfRule type="containsText" dxfId="9031" priority="9052" operator="containsText" text="RECHAZADA">
      <formula>NOT(ISERROR(SEARCH("RECHAZADA",K771)))</formula>
    </cfRule>
    <cfRule type="containsText" dxfId="9030" priority="9053" operator="containsText" text="Atendida">
      <formula>NOT(ISERROR(SEARCH("Atendida",K771)))</formula>
    </cfRule>
  </conditionalFormatting>
  <conditionalFormatting sqref="E772">
    <cfRule type="duplicateValues" dxfId="9029" priority="9034"/>
  </conditionalFormatting>
  <conditionalFormatting sqref="M772">
    <cfRule type="containsText" dxfId="9028" priority="9037" operator="containsText" text="Atendida">
      <formula>NOT(ISERROR(SEARCH("Atendida",M772)))</formula>
    </cfRule>
  </conditionalFormatting>
  <conditionalFormatting sqref="M772">
    <cfRule type="containsText" dxfId="9027" priority="9036" operator="containsText" text="RECHAZADA">
      <formula>NOT(ISERROR(SEARCH("RECHAZADA",M772)))</formula>
    </cfRule>
  </conditionalFormatting>
  <conditionalFormatting sqref="M772">
    <cfRule type="containsText" dxfId="9026" priority="9035" operator="containsText" text="CONFORME">
      <formula>NOT(ISERROR(SEARCH("CONFORME",M772)))</formula>
    </cfRule>
  </conditionalFormatting>
  <conditionalFormatting sqref="M772">
    <cfRule type="containsText" dxfId="9025" priority="9033" operator="containsText" text="OBSERVADO">
      <formula>NOT(ISERROR(SEARCH("OBSERVADO",M772)))</formula>
    </cfRule>
  </conditionalFormatting>
  <conditionalFormatting sqref="B772">
    <cfRule type="duplicateValues" dxfId="9024" priority="9038"/>
  </conditionalFormatting>
  <conditionalFormatting sqref="K773">
    <cfRule type="containsText" dxfId="9023" priority="9018" operator="containsText" text="Reasignación">
      <formula>NOT(ISERROR(SEARCH("Reasignación",K773)))</formula>
    </cfRule>
    <cfRule type="containsText" dxfId="9022" priority="9019" operator="containsText" text="RECHAZADA">
      <formula>NOT(ISERROR(SEARCH("RECHAZADA",K773)))</formula>
    </cfRule>
    <cfRule type="containsText" dxfId="9021" priority="9020" operator="containsText" text="Atendida">
      <formula>NOT(ISERROR(SEARCH("Atendida",K773)))</formula>
    </cfRule>
  </conditionalFormatting>
  <conditionalFormatting sqref="K773">
    <cfRule type="containsText" dxfId="9020" priority="9021" operator="containsText" text="Reasignación">
      <formula>NOT(ISERROR(SEARCH("Reasignación",K773)))</formula>
    </cfRule>
    <cfRule type="containsText" dxfId="9019" priority="9022" operator="containsText" text="RECHAZADA">
      <formula>NOT(ISERROR(SEARCH("RECHAZADA",K773)))</formula>
    </cfRule>
    <cfRule type="containsText" dxfId="9018" priority="9023" operator="containsText" text="Atendida">
      <formula>NOT(ISERROR(SEARCH("Atendida",K773)))</formula>
    </cfRule>
    <cfRule type="containsText" dxfId="9017" priority="9024" operator="containsText" text="Reasignación">
      <formula>NOT(ISERROR(SEARCH("Reasignación",K773)))</formula>
    </cfRule>
    <cfRule type="containsText" dxfId="9016" priority="9025" operator="containsText" text="RECHAZADA">
      <formula>NOT(ISERROR(SEARCH("RECHAZADA",K773)))</formula>
    </cfRule>
    <cfRule type="containsText" dxfId="9015" priority="9026" operator="containsText" text="Atendida">
      <formula>NOT(ISERROR(SEARCH("Atendida",K773)))</formula>
    </cfRule>
    <cfRule type="containsText" dxfId="9014" priority="9027" operator="containsText" text="Reasignación">
      <formula>NOT(ISERROR(SEARCH("Reasignación",K773)))</formula>
    </cfRule>
    <cfRule type="containsText" dxfId="9013" priority="9028" operator="containsText" text="RECHAZADA">
      <formula>NOT(ISERROR(SEARCH("RECHAZADA",K773)))</formula>
    </cfRule>
    <cfRule type="containsText" dxfId="9012" priority="9029" operator="containsText" text="Atendida">
      <formula>NOT(ISERROR(SEARCH("Atendida",K773)))</formula>
    </cfRule>
    <cfRule type="containsText" dxfId="9011" priority="9030" operator="containsText" text="Reasignación">
      <formula>NOT(ISERROR(SEARCH("Reasignación",K773)))</formula>
    </cfRule>
    <cfRule type="containsText" dxfId="9010" priority="9031" operator="containsText" text="RECHAZADA">
      <formula>NOT(ISERROR(SEARCH("RECHAZADA",K773)))</formula>
    </cfRule>
    <cfRule type="containsText" dxfId="9009" priority="9032" operator="containsText" text="Atendida">
      <formula>NOT(ISERROR(SEARCH("Atendida",K773)))</formula>
    </cfRule>
  </conditionalFormatting>
  <conditionalFormatting sqref="K772">
    <cfRule type="containsText" dxfId="9008" priority="9015" operator="containsText" text="Reasignación">
      <formula>NOT(ISERROR(SEARCH("Reasignación",K772)))</formula>
    </cfRule>
    <cfRule type="containsText" dxfId="9007" priority="9016" operator="containsText" text="RECHAZADA">
      <formula>NOT(ISERROR(SEARCH("RECHAZADA",K772)))</formula>
    </cfRule>
    <cfRule type="containsText" dxfId="9006" priority="9017" operator="containsText" text="Atendida">
      <formula>NOT(ISERROR(SEARCH("Atendida",K772)))</formula>
    </cfRule>
  </conditionalFormatting>
  <conditionalFormatting sqref="K772">
    <cfRule type="containsText" dxfId="9005" priority="9003" operator="containsText" text="Reasignación">
      <formula>NOT(ISERROR(SEARCH("Reasignación",K772)))</formula>
    </cfRule>
    <cfRule type="containsText" dxfId="9004" priority="9004" operator="containsText" text="RECHAZADA">
      <formula>NOT(ISERROR(SEARCH("RECHAZADA",K772)))</formula>
    </cfRule>
    <cfRule type="containsText" dxfId="9003" priority="9005" operator="containsText" text="Atendida">
      <formula>NOT(ISERROR(SEARCH("Atendida",K772)))</formula>
    </cfRule>
    <cfRule type="containsText" dxfId="9002" priority="9006" operator="containsText" text="Reasignación">
      <formula>NOT(ISERROR(SEARCH("Reasignación",K772)))</formula>
    </cfRule>
    <cfRule type="containsText" dxfId="9001" priority="9007" operator="containsText" text="RECHAZADA">
      <formula>NOT(ISERROR(SEARCH("RECHAZADA",K772)))</formula>
    </cfRule>
    <cfRule type="containsText" dxfId="9000" priority="9008" operator="containsText" text="Atendida">
      <formula>NOT(ISERROR(SEARCH("Atendida",K772)))</formula>
    </cfRule>
    <cfRule type="containsText" dxfId="8999" priority="9009" operator="containsText" text="Reasignación">
      <formula>NOT(ISERROR(SEARCH("Reasignación",K772)))</formula>
    </cfRule>
    <cfRule type="containsText" dxfId="8998" priority="9010" operator="containsText" text="RECHAZADA">
      <formula>NOT(ISERROR(SEARCH("RECHAZADA",K772)))</formula>
    </cfRule>
    <cfRule type="containsText" dxfId="8997" priority="9011" operator="containsText" text="Atendida">
      <formula>NOT(ISERROR(SEARCH("Atendida",K772)))</formula>
    </cfRule>
    <cfRule type="containsText" dxfId="8996" priority="9012" operator="containsText" text="Reasignación">
      <formula>NOT(ISERROR(SEARCH("Reasignación",K772)))</formula>
    </cfRule>
    <cfRule type="containsText" dxfId="8995" priority="9013" operator="containsText" text="RECHAZADA">
      <formula>NOT(ISERROR(SEARCH("RECHAZADA",K772)))</formula>
    </cfRule>
    <cfRule type="containsText" dxfId="8994" priority="9014" operator="containsText" text="Atendida">
      <formula>NOT(ISERROR(SEARCH("Atendida",K772)))</formula>
    </cfRule>
  </conditionalFormatting>
  <conditionalFormatting sqref="K772">
    <cfRule type="containsText" dxfId="8993" priority="8991" operator="containsText" text="Reasignación">
      <formula>NOT(ISERROR(SEARCH("Reasignación",K772)))</formula>
    </cfRule>
    <cfRule type="containsText" dxfId="8992" priority="8992" operator="containsText" text="RECHAZADA">
      <formula>NOT(ISERROR(SEARCH("RECHAZADA",K772)))</formula>
    </cfRule>
    <cfRule type="containsText" dxfId="8991" priority="8993" operator="containsText" text="Atendida">
      <formula>NOT(ISERROR(SEARCH("Atendida",K772)))</formula>
    </cfRule>
    <cfRule type="containsText" dxfId="8990" priority="8994" operator="containsText" text="Reasignación">
      <formula>NOT(ISERROR(SEARCH("Reasignación",K772)))</formula>
    </cfRule>
    <cfRule type="containsText" dxfId="8989" priority="8995" operator="containsText" text="RECHAZADA">
      <formula>NOT(ISERROR(SEARCH("RECHAZADA",K772)))</formula>
    </cfRule>
    <cfRule type="containsText" dxfId="8988" priority="8996" operator="containsText" text="Atendida">
      <formula>NOT(ISERROR(SEARCH("Atendida",K772)))</formula>
    </cfRule>
    <cfRule type="containsText" dxfId="8987" priority="8997" operator="containsText" text="Reasignación">
      <formula>NOT(ISERROR(SEARCH("Reasignación",K772)))</formula>
    </cfRule>
    <cfRule type="containsText" dxfId="8986" priority="8998" operator="containsText" text="RECHAZADA">
      <formula>NOT(ISERROR(SEARCH("RECHAZADA",K772)))</formula>
    </cfRule>
    <cfRule type="containsText" dxfId="8985" priority="8999" operator="containsText" text="Atendida">
      <formula>NOT(ISERROR(SEARCH("Atendida",K772)))</formula>
    </cfRule>
    <cfRule type="containsText" dxfId="8984" priority="9000" operator="containsText" text="Reasignación">
      <formula>NOT(ISERROR(SEARCH("Reasignación",K772)))</formula>
    </cfRule>
    <cfRule type="containsText" dxfId="8983" priority="9001" operator="containsText" text="RECHAZADA">
      <formula>NOT(ISERROR(SEARCH("RECHAZADA",K772)))</formula>
    </cfRule>
    <cfRule type="containsText" dxfId="8982" priority="9002" operator="containsText" text="Atendida">
      <formula>NOT(ISERROR(SEARCH("Atendida",K772)))</formula>
    </cfRule>
  </conditionalFormatting>
  <conditionalFormatting sqref="K772">
    <cfRule type="containsText" dxfId="8981" priority="8976" operator="containsText" text="Reasignación">
      <formula>NOT(ISERROR(SEARCH("Reasignación",K772)))</formula>
    </cfRule>
    <cfRule type="containsText" dxfId="8980" priority="8977" operator="containsText" text="RECHAZADA">
      <formula>NOT(ISERROR(SEARCH("RECHAZADA",K772)))</formula>
    </cfRule>
    <cfRule type="containsText" dxfId="8979" priority="8978" operator="containsText" text="Atendida">
      <formula>NOT(ISERROR(SEARCH("Atendida",K772)))</formula>
    </cfRule>
  </conditionalFormatting>
  <conditionalFormatting sqref="K772">
    <cfRule type="containsText" dxfId="8978" priority="8979" operator="containsText" text="Reasignación">
      <formula>NOT(ISERROR(SEARCH("Reasignación",K772)))</formula>
    </cfRule>
    <cfRule type="containsText" dxfId="8977" priority="8980" operator="containsText" text="RECHAZADA">
      <formula>NOT(ISERROR(SEARCH("RECHAZADA",K772)))</formula>
    </cfRule>
    <cfRule type="containsText" dxfId="8976" priority="8981" operator="containsText" text="Atendida">
      <formula>NOT(ISERROR(SEARCH("Atendida",K772)))</formula>
    </cfRule>
    <cfRule type="containsText" dxfId="8975" priority="8982" operator="containsText" text="Reasignación">
      <formula>NOT(ISERROR(SEARCH("Reasignación",K772)))</formula>
    </cfRule>
    <cfRule type="containsText" dxfId="8974" priority="8983" operator="containsText" text="RECHAZADA">
      <formula>NOT(ISERROR(SEARCH("RECHAZADA",K772)))</formula>
    </cfRule>
    <cfRule type="containsText" dxfId="8973" priority="8984" operator="containsText" text="Atendida">
      <formula>NOT(ISERROR(SEARCH("Atendida",K772)))</formula>
    </cfRule>
    <cfRule type="containsText" dxfId="8972" priority="8985" operator="containsText" text="Reasignación">
      <formula>NOT(ISERROR(SEARCH("Reasignación",K772)))</formula>
    </cfRule>
    <cfRule type="containsText" dxfId="8971" priority="8986" operator="containsText" text="RECHAZADA">
      <formula>NOT(ISERROR(SEARCH("RECHAZADA",K772)))</formula>
    </cfRule>
    <cfRule type="containsText" dxfId="8970" priority="8987" operator="containsText" text="Atendida">
      <formula>NOT(ISERROR(SEARCH("Atendida",K772)))</formula>
    </cfRule>
    <cfRule type="containsText" dxfId="8969" priority="8988" operator="containsText" text="Reasignación">
      <formula>NOT(ISERROR(SEARCH("Reasignación",K772)))</formula>
    </cfRule>
    <cfRule type="containsText" dxfId="8968" priority="8989" operator="containsText" text="RECHAZADA">
      <formula>NOT(ISERROR(SEARCH("RECHAZADA",K772)))</formula>
    </cfRule>
    <cfRule type="containsText" dxfId="8967" priority="8990" operator="containsText" text="Atendida">
      <formula>NOT(ISERROR(SEARCH("Atendida",K772)))</formula>
    </cfRule>
  </conditionalFormatting>
  <conditionalFormatting sqref="E774">
    <cfRule type="duplicateValues" dxfId="8966" priority="8971"/>
  </conditionalFormatting>
  <conditionalFormatting sqref="M774">
    <cfRule type="containsText" dxfId="8965" priority="8974" operator="containsText" text="Atendida">
      <formula>NOT(ISERROR(SEARCH("Atendida",M774)))</formula>
    </cfRule>
  </conditionalFormatting>
  <conditionalFormatting sqref="M774">
    <cfRule type="containsText" dxfId="8964" priority="8973" operator="containsText" text="RECHAZADA">
      <formula>NOT(ISERROR(SEARCH("RECHAZADA",M774)))</formula>
    </cfRule>
  </conditionalFormatting>
  <conditionalFormatting sqref="M774">
    <cfRule type="containsText" dxfId="8963" priority="8972" operator="containsText" text="CONFORME">
      <formula>NOT(ISERROR(SEARCH("CONFORME",M774)))</formula>
    </cfRule>
  </conditionalFormatting>
  <conditionalFormatting sqref="M774">
    <cfRule type="containsText" dxfId="8962" priority="8970" operator="containsText" text="OBSERVADO">
      <formula>NOT(ISERROR(SEARCH("OBSERVADO",M774)))</formula>
    </cfRule>
  </conditionalFormatting>
  <conditionalFormatting sqref="B774">
    <cfRule type="duplicateValues" dxfId="8961" priority="8975"/>
  </conditionalFormatting>
  <conditionalFormatting sqref="K774">
    <cfRule type="containsText" dxfId="8960" priority="8967" operator="containsText" text="Reasignación">
      <formula>NOT(ISERROR(SEARCH("Reasignación",K774)))</formula>
    </cfRule>
    <cfRule type="containsText" dxfId="8959" priority="8968" operator="containsText" text="RECHAZADA">
      <formula>NOT(ISERROR(SEARCH("RECHAZADA",K774)))</formula>
    </cfRule>
    <cfRule type="containsText" dxfId="8958" priority="8969" operator="containsText" text="Atendida">
      <formula>NOT(ISERROR(SEARCH("Atendida",K774)))</formula>
    </cfRule>
  </conditionalFormatting>
  <conditionalFormatting sqref="K774">
    <cfRule type="containsText" dxfId="8957" priority="8955" operator="containsText" text="Reasignación">
      <formula>NOT(ISERROR(SEARCH("Reasignación",K774)))</formula>
    </cfRule>
    <cfRule type="containsText" dxfId="8956" priority="8956" operator="containsText" text="RECHAZADA">
      <formula>NOT(ISERROR(SEARCH("RECHAZADA",K774)))</formula>
    </cfRule>
    <cfRule type="containsText" dxfId="8955" priority="8957" operator="containsText" text="Atendida">
      <formula>NOT(ISERROR(SEARCH("Atendida",K774)))</formula>
    </cfRule>
    <cfRule type="containsText" dxfId="8954" priority="8958" operator="containsText" text="Reasignación">
      <formula>NOT(ISERROR(SEARCH("Reasignación",K774)))</formula>
    </cfRule>
    <cfRule type="containsText" dxfId="8953" priority="8959" operator="containsText" text="RECHAZADA">
      <formula>NOT(ISERROR(SEARCH("RECHAZADA",K774)))</formula>
    </cfRule>
    <cfRule type="containsText" dxfId="8952" priority="8960" operator="containsText" text="Atendida">
      <formula>NOT(ISERROR(SEARCH("Atendida",K774)))</formula>
    </cfRule>
    <cfRule type="containsText" dxfId="8951" priority="8961" operator="containsText" text="Reasignación">
      <formula>NOT(ISERROR(SEARCH("Reasignación",K774)))</formula>
    </cfRule>
    <cfRule type="containsText" dxfId="8950" priority="8962" operator="containsText" text="RECHAZADA">
      <formula>NOT(ISERROR(SEARCH("RECHAZADA",K774)))</formula>
    </cfRule>
    <cfRule type="containsText" dxfId="8949" priority="8963" operator="containsText" text="Atendida">
      <formula>NOT(ISERROR(SEARCH("Atendida",K774)))</formula>
    </cfRule>
    <cfRule type="containsText" dxfId="8948" priority="8964" operator="containsText" text="Reasignación">
      <formula>NOT(ISERROR(SEARCH("Reasignación",K774)))</formula>
    </cfRule>
    <cfRule type="containsText" dxfId="8947" priority="8965" operator="containsText" text="RECHAZADA">
      <formula>NOT(ISERROR(SEARCH("RECHAZADA",K774)))</formula>
    </cfRule>
    <cfRule type="containsText" dxfId="8946" priority="8966" operator="containsText" text="Atendida">
      <formula>NOT(ISERROR(SEARCH("Atendida",K774)))</formula>
    </cfRule>
  </conditionalFormatting>
  <conditionalFormatting sqref="K774">
    <cfRule type="containsText" dxfId="8945" priority="8943" operator="containsText" text="Reasignación">
      <formula>NOT(ISERROR(SEARCH("Reasignación",K774)))</formula>
    </cfRule>
    <cfRule type="containsText" dxfId="8944" priority="8944" operator="containsText" text="RECHAZADA">
      <formula>NOT(ISERROR(SEARCH("RECHAZADA",K774)))</formula>
    </cfRule>
    <cfRule type="containsText" dxfId="8943" priority="8945" operator="containsText" text="Atendida">
      <formula>NOT(ISERROR(SEARCH("Atendida",K774)))</formula>
    </cfRule>
    <cfRule type="containsText" dxfId="8942" priority="8946" operator="containsText" text="Reasignación">
      <formula>NOT(ISERROR(SEARCH("Reasignación",K774)))</formula>
    </cfRule>
    <cfRule type="containsText" dxfId="8941" priority="8947" operator="containsText" text="RECHAZADA">
      <formula>NOT(ISERROR(SEARCH("RECHAZADA",K774)))</formula>
    </cfRule>
    <cfRule type="containsText" dxfId="8940" priority="8948" operator="containsText" text="Atendida">
      <formula>NOT(ISERROR(SEARCH("Atendida",K774)))</formula>
    </cfRule>
    <cfRule type="containsText" dxfId="8939" priority="8949" operator="containsText" text="Reasignación">
      <formula>NOT(ISERROR(SEARCH("Reasignación",K774)))</formula>
    </cfRule>
    <cfRule type="containsText" dxfId="8938" priority="8950" operator="containsText" text="RECHAZADA">
      <formula>NOT(ISERROR(SEARCH("RECHAZADA",K774)))</formula>
    </cfRule>
    <cfRule type="containsText" dxfId="8937" priority="8951" operator="containsText" text="Atendida">
      <formula>NOT(ISERROR(SEARCH("Atendida",K774)))</formula>
    </cfRule>
    <cfRule type="containsText" dxfId="8936" priority="8952" operator="containsText" text="Reasignación">
      <formula>NOT(ISERROR(SEARCH("Reasignación",K774)))</formula>
    </cfRule>
    <cfRule type="containsText" dxfId="8935" priority="8953" operator="containsText" text="RECHAZADA">
      <formula>NOT(ISERROR(SEARCH("RECHAZADA",K774)))</formula>
    </cfRule>
    <cfRule type="containsText" dxfId="8934" priority="8954" operator="containsText" text="Atendida">
      <formula>NOT(ISERROR(SEARCH("Atendida",K774)))</formula>
    </cfRule>
  </conditionalFormatting>
  <conditionalFormatting sqref="K774">
    <cfRule type="containsText" dxfId="8933" priority="8928" operator="containsText" text="Reasignación">
      <formula>NOT(ISERROR(SEARCH("Reasignación",K774)))</formula>
    </cfRule>
    <cfRule type="containsText" dxfId="8932" priority="8929" operator="containsText" text="RECHAZADA">
      <formula>NOT(ISERROR(SEARCH("RECHAZADA",K774)))</formula>
    </cfRule>
    <cfRule type="containsText" dxfId="8931" priority="8930" operator="containsText" text="Atendida">
      <formula>NOT(ISERROR(SEARCH("Atendida",K774)))</formula>
    </cfRule>
  </conditionalFormatting>
  <conditionalFormatting sqref="K774">
    <cfRule type="containsText" dxfId="8930" priority="8931" operator="containsText" text="Reasignación">
      <formula>NOT(ISERROR(SEARCH("Reasignación",K774)))</formula>
    </cfRule>
    <cfRule type="containsText" dxfId="8929" priority="8932" operator="containsText" text="RECHAZADA">
      <formula>NOT(ISERROR(SEARCH("RECHAZADA",K774)))</formula>
    </cfRule>
    <cfRule type="containsText" dxfId="8928" priority="8933" operator="containsText" text="Atendida">
      <formula>NOT(ISERROR(SEARCH("Atendida",K774)))</formula>
    </cfRule>
    <cfRule type="containsText" dxfId="8927" priority="8934" operator="containsText" text="Reasignación">
      <formula>NOT(ISERROR(SEARCH("Reasignación",K774)))</formula>
    </cfRule>
    <cfRule type="containsText" dxfId="8926" priority="8935" operator="containsText" text="RECHAZADA">
      <formula>NOT(ISERROR(SEARCH("RECHAZADA",K774)))</formula>
    </cfRule>
    <cfRule type="containsText" dxfId="8925" priority="8936" operator="containsText" text="Atendida">
      <formula>NOT(ISERROR(SEARCH("Atendida",K774)))</formula>
    </cfRule>
    <cfRule type="containsText" dxfId="8924" priority="8937" operator="containsText" text="Reasignación">
      <formula>NOT(ISERROR(SEARCH("Reasignación",K774)))</formula>
    </cfRule>
    <cfRule type="containsText" dxfId="8923" priority="8938" operator="containsText" text="RECHAZADA">
      <formula>NOT(ISERROR(SEARCH("RECHAZADA",K774)))</formula>
    </cfRule>
    <cfRule type="containsText" dxfId="8922" priority="8939" operator="containsText" text="Atendida">
      <formula>NOT(ISERROR(SEARCH("Atendida",K774)))</formula>
    </cfRule>
    <cfRule type="containsText" dxfId="8921" priority="8940" operator="containsText" text="Reasignación">
      <formula>NOT(ISERROR(SEARCH("Reasignación",K774)))</formula>
    </cfRule>
    <cfRule type="containsText" dxfId="8920" priority="8941" operator="containsText" text="RECHAZADA">
      <formula>NOT(ISERROR(SEARCH("RECHAZADA",K774)))</formula>
    </cfRule>
    <cfRule type="containsText" dxfId="8919" priority="8942" operator="containsText" text="Atendida">
      <formula>NOT(ISERROR(SEARCH("Atendida",K774)))</formula>
    </cfRule>
  </conditionalFormatting>
  <conditionalFormatting sqref="E781:E782 E779 E775:E777">
    <cfRule type="duplicateValues" dxfId="8918" priority="8923"/>
  </conditionalFormatting>
  <conditionalFormatting sqref="M781:M782 M779 M775:M777">
    <cfRule type="containsText" dxfId="8917" priority="8926" operator="containsText" text="Atendida">
      <formula>NOT(ISERROR(SEARCH("Atendida",M775)))</formula>
    </cfRule>
  </conditionalFormatting>
  <conditionalFormatting sqref="M781:M782 M779 M775:M777">
    <cfRule type="containsText" dxfId="8916" priority="8925" operator="containsText" text="RECHAZADA">
      <formula>NOT(ISERROR(SEARCH("RECHAZADA",M775)))</formula>
    </cfRule>
  </conditionalFormatting>
  <conditionalFormatting sqref="M781:M782 M779 M775:M777">
    <cfRule type="containsText" dxfId="8915" priority="8924" operator="containsText" text="CONFORME">
      <formula>NOT(ISERROR(SEARCH("CONFORME",M775)))</formula>
    </cfRule>
  </conditionalFormatting>
  <conditionalFormatting sqref="M781:M782 M779 M775:M777">
    <cfRule type="containsText" dxfId="8914" priority="8922" operator="containsText" text="OBSERVADO">
      <formula>NOT(ISERROR(SEARCH("OBSERVADO",M775)))</formula>
    </cfRule>
  </conditionalFormatting>
  <conditionalFormatting sqref="K775">
    <cfRule type="containsText" dxfId="8913" priority="8907" operator="containsText" text="Reasignación">
      <formula>NOT(ISERROR(SEARCH("Reasignación",K775)))</formula>
    </cfRule>
    <cfRule type="containsText" dxfId="8912" priority="8908" operator="containsText" text="RECHAZADA">
      <formula>NOT(ISERROR(SEARCH("RECHAZADA",K775)))</formula>
    </cfRule>
    <cfRule type="containsText" dxfId="8911" priority="8909" operator="containsText" text="Atendida">
      <formula>NOT(ISERROR(SEARCH("Atendida",K775)))</formula>
    </cfRule>
  </conditionalFormatting>
  <conditionalFormatting sqref="K775">
    <cfRule type="containsText" dxfId="8910" priority="8910" operator="containsText" text="Reasignación">
      <formula>NOT(ISERROR(SEARCH("Reasignación",K775)))</formula>
    </cfRule>
    <cfRule type="containsText" dxfId="8909" priority="8911" operator="containsText" text="RECHAZADA">
      <formula>NOT(ISERROR(SEARCH("RECHAZADA",K775)))</formula>
    </cfRule>
    <cfRule type="containsText" dxfId="8908" priority="8912" operator="containsText" text="Atendida">
      <formula>NOT(ISERROR(SEARCH("Atendida",K775)))</formula>
    </cfRule>
    <cfRule type="containsText" dxfId="8907" priority="8913" operator="containsText" text="Reasignación">
      <formula>NOT(ISERROR(SEARCH("Reasignación",K775)))</formula>
    </cfRule>
    <cfRule type="containsText" dxfId="8906" priority="8914" operator="containsText" text="RECHAZADA">
      <formula>NOT(ISERROR(SEARCH("RECHAZADA",K775)))</formula>
    </cfRule>
    <cfRule type="containsText" dxfId="8905" priority="8915" operator="containsText" text="Atendida">
      <formula>NOT(ISERROR(SEARCH("Atendida",K775)))</formula>
    </cfRule>
    <cfRule type="containsText" dxfId="8904" priority="8916" operator="containsText" text="Reasignación">
      <formula>NOT(ISERROR(SEARCH("Reasignación",K775)))</formula>
    </cfRule>
    <cfRule type="containsText" dxfId="8903" priority="8917" operator="containsText" text="RECHAZADA">
      <formula>NOT(ISERROR(SEARCH("RECHAZADA",K775)))</formula>
    </cfRule>
    <cfRule type="containsText" dxfId="8902" priority="8918" operator="containsText" text="Atendida">
      <formula>NOT(ISERROR(SEARCH("Atendida",K775)))</formula>
    </cfRule>
    <cfRule type="containsText" dxfId="8901" priority="8919" operator="containsText" text="Reasignación">
      <formula>NOT(ISERROR(SEARCH("Reasignación",K775)))</formula>
    </cfRule>
    <cfRule type="containsText" dxfId="8900" priority="8920" operator="containsText" text="RECHAZADA">
      <formula>NOT(ISERROR(SEARCH("RECHAZADA",K775)))</formula>
    </cfRule>
    <cfRule type="containsText" dxfId="8899" priority="8921" operator="containsText" text="Atendida">
      <formula>NOT(ISERROR(SEARCH("Atendida",K775)))</formula>
    </cfRule>
  </conditionalFormatting>
  <conditionalFormatting sqref="B775">
    <cfRule type="duplicateValues" dxfId="8898" priority="8927"/>
  </conditionalFormatting>
  <conditionalFormatting sqref="B779 B776:B777">
    <cfRule type="duplicateValues" dxfId="8897" priority="8906"/>
  </conditionalFormatting>
  <conditionalFormatting sqref="K776">
    <cfRule type="containsText" dxfId="8896" priority="8888" operator="containsText" text="Reasignación">
      <formula>NOT(ISERROR(SEARCH("Reasignación",K776)))</formula>
    </cfRule>
    <cfRule type="containsText" dxfId="8895" priority="8889" operator="containsText" text="RECHAZADA">
      <formula>NOT(ISERROR(SEARCH("RECHAZADA",K776)))</formula>
    </cfRule>
    <cfRule type="containsText" dxfId="8894" priority="8890" operator="containsText" text="Atendida">
      <formula>NOT(ISERROR(SEARCH("Atendida",K776)))</formula>
    </cfRule>
  </conditionalFormatting>
  <conditionalFormatting sqref="K776">
    <cfRule type="containsText" dxfId="8893" priority="8891" operator="containsText" text="Reasignación">
      <formula>NOT(ISERROR(SEARCH("Reasignación",K776)))</formula>
    </cfRule>
    <cfRule type="containsText" dxfId="8892" priority="8892" operator="containsText" text="RECHAZADA">
      <formula>NOT(ISERROR(SEARCH("RECHAZADA",K776)))</formula>
    </cfRule>
    <cfRule type="containsText" dxfId="8891" priority="8893" operator="containsText" text="Atendida">
      <formula>NOT(ISERROR(SEARCH("Atendida",K776)))</formula>
    </cfRule>
    <cfRule type="containsText" dxfId="8890" priority="8894" operator="containsText" text="Reasignación">
      <formula>NOT(ISERROR(SEARCH("Reasignación",K776)))</formula>
    </cfRule>
    <cfRule type="containsText" dxfId="8889" priority="8895" operator="containsText" text="RECHAZADA">
      <formula>NOT(ISERROR(SEARCH("RECHAZADA",K776)))</formula>
    </cfRule>
    <cfRule type="containsText" dxfId="8888" priority="8896" operator="containsText" text="Atendida">
      <formula>NOT(ISERROR(SEARCH("Atendida",K776)))</formula>
    </cfRule>
    <cfRule type="containsText" dxfId="8887" priority="8897" operator="containsText" text="Reasignación">
      <formula>NOT(ISERROR(SEARCH("Reasignación",K776)))</formula>
    </cfRule>
    <cfRule type="containsText" dxfId="8886" priority="8898" operator="containsText" text="RECHAZADA">
      <formula>NOT(ISERROR(SEARCH("RECHAZADA",K776)))</formula>
    </cfRule>
    <cfRule type="containsText" dxfId="8885" priority="8899" operator="containsText" text="Atendida">
      <formula>NOT(ISERROR(SEARCH("Atendida",K776)))</formula>
    </cfRule>
    <cfRule type="containsText" dxfId="8884" priority="8900" operator="containsText" text="Reasignación">
      <formula>NOT(ISERROR(SEARCH("Reasignación",K776)))</formula>
    </cfRule>
    <cfRule type="containsText" dxfId="8883" priority="8901" operator="containsText" text="RECHAZADA">
      <formula>NOT(ISERROR(SEARCH("RECHAZADA",K776)))</formula>
    </cfRule>
    <cfRule type="containsText" dxfId="8882" priority="8902" operator="containsText" text="Atendida">
      <formula>NOT(ISERROR(SEARCH("Atendida",K776)))</formula>
    </cfRule>
  </conditionalFormatting>
  <conditionalFormatting sqref="K776">
    <cfRule type="containsText" dxfId="8881" priority="8903" operator="containsText" text="Reasignación">
      <formula>NOT(ISERROR(SEARCH("Reasignación",K776)))</formula>
    </cfRule>
    <cfRule type="containsText" dxfId="8880" priority="8904" operator="containsText" text="RECHAZADA">
      <formula>NOT(ISERROR(SEARCH("RECHAZADA",K776)))</formula>
    </cfRule>
    <cfRule type="containsText" dxfId="8879" priority="8905" operator="containsText" text="Atendida">
      <formula>NOT(ISERROR(SEARCH("Atendida",K776)))</formula>
    </cfRule>
  </conditionalFormatting>
  <conditionalFormatting sqref="E778">
    <cfRule type="duplicateValues" dxfId="8878" priority="8883"/>
  </conditionalFormatting>
  <conditionalFormatting sqref="M778">
    <cfRule type="containsText" dxfId="8877" priority="8886" operator="containsText" text="Atendida">
      <formula>NOT(ISERROR(SEARCH("Atendida",M778)))</formula>
    </cfRule>
  </conditionalFormatting>
  <conditionalFormatting sqref="M778">
    <cfRule type="containsText" dxfId="8876" priority="8885" operator="containsText" text="RECHAZADA">
      <formula>NOT(ISERROR(SEARCH("RECHAZADA",M778)))</formula>
    </cfRule>
  </conditionalFormatting>
  <conditionalFormatting sqref="M778">
    <cfRule type="containsText" dxfId="8875" priority="8884" operator="containsText" text="CONFORME">
      <formula>NOT(ISERROR(SEARCH("CONFORME",M778)))</formula>
    </cfRule>
  </conditionalFormatting>
  <conditionalFormatting sqref="M778">
    <cfRule type="containsText" dxfId="8874" priority="8882" operator="containsText" text="OBSERVADO">
      <formula>NOT(ISERROR(SEARCH("OBSERVADO",M778)))</formula>
    </cfRule>
  </conditionalFormatting>
  <conditionalFormatting sqref="B778">
    <cfRule type="duplicateValues" dxfId="8873" priority="8887"/>
  </conditionalFormatting>
  <conditionalFormatting sqref="K778">
    <cfRule type="containsText" dxfId="8872" priority="8867" operator="containsText" text="Reasignación">
      <formula>NOT(ISERROR(SEARCH("Reasignación",K778)))</formula>
    </cfRule>
    <cfRule type="containsText" dxfId="8871" priority="8868" operator="containsText" text="RECHAZADA">
      <formula>NOT(ISERROR(SEARCH("RECHAZADA",K778)))</formula>
    </cfRule>
    <cfRule type="containsText" dxfId="8870" priority="8869" operator="containsText" text="Atendida">
      <formula>NOT(ISERROR(SEARCH("Atendida",K778)))</formula>
    </cfRule>
  </conditionalFormatting>
  <conditionalFormatting sqref="K778">
    <cfRule type="containsText" dxfId="8869" priority="8870" operator="containsText" text="Reasignación">
      <formula>NOT(ISERROR(SEARCH("Reasignación",K778)))</formula>
    </cfRule>
    <cfRule type="containsText" dxfId="8868" priority="8871" operator="containsText" text="RECHAZADA">
      <formula>NOT(ISERROR(SEARCH("RECHAZADA",K778)))</formula>
    </cfRule>
    <cfRule type="containsText" dxfId="8867" priority="8872" operator="containsText" text="Atendida">
      <formula>NOT(ISERROR(SEARCH("Atendida",K778)))</formula>
    </cfRule>
    <cfRule type="containsText" dxfId="8866" priority="8873" operator="containsText" text="Reasignación">
      <formula>NOT(ISERROR(SEARCH("Reasignación",K778)))</formula>
    </cfRule>
    <cfRule type="containsText" dxfId="8865" priority="8874" operator="containsText" text="RECHAZADA">
      <formula>NOT(ISERROR(SEARCH("RECHAZADA",K778)))</formula>
    </cfRule>
    <cfRule type="containsText" dxfId="8864" priority="8875" operator="containsText" text="Atendida">
      <formula>NOT(ISERROR(SEARCH("Atendida",K778)))</formula>
    </cfRule>
    <cfRule type="containsText" dxfId="8863" priority="8876" operator="containsText" text="Reasignación">
      <formula>NOT(ISERROR(SEARCH("Reasignación",K778)))</formula>
    </cfRule>
    <cfRule type="containsText" dxfId="8862" priority="8877" operator="containsText" text="RECHAZADA">
      <formula>NOT(ISERROR(SEARCH("RECHAZADA",K778)))</formula>
    </cfRule>
    <cfRule type="containsText" dxfId="8861" priority="8878" operator="containsText" text="Atendida">
      <formula>NOT(ISERROR(SEARCH("Atendida",K778)))</formula>
    </cfRule>
    <cfRule type="containsText" dxfId="8860" priority="8879" operator="containsText" text="Reasignación">
      <formula>NOT(ISERROR(SEARCH("Reasignación",K778)))</formula>
    </cfRule>
    <cfRule type="containsText" dxfId="8859" priority="8880" operator="containsText" text="RECHAZADA">
      <formula>NOT(ISERROR(SEARCH("RECHAZADA",K778)))</formula>
    </cfRule>
    <cfRule type="containsText" dxfId="8858" priority="8881" operator="containsText" text="Atendida">
      <formula>NOT(ISERROR(SEARCH("Atendida",K778)))</formula>
    </cfRule>
  </conditionalFormatting>
  <conditionalFormatting sqref="K777">
    <cfRule type="containsText" dxfId="8857" priority="8852" operator="containsText" text="Reasignación">
      <formula>NOT(ISERROR(SEARCH("Reasignación",K777)))</formula>
    </cfRule>
    <cfRule type="containsText" dxfId="8856" priority="8853" operator="containsText" text="RECHAZADA">
      <formula>NOT(ISERROR(SEARCH("RECHAZADA",K777)))</formula>
    </cfRule>
    <cfRule type="containsText" dxfId="8855" priority="8854" operator="containsText" text="Atendida">
      <formula>NOT(ISERROR(SEARCH("Atendida",K777)))</formula>
    </cfRule>
  </conditionalFormatting>
  <conditionalFormatting sqref="K777">
    <cfRule type="containsText" dxfId="8854" priority="8855" operator="containsText" text="Reasignación">
      <formula>NOT(ISERROR(SEARCH("Reasignación",K777)))</formula>
    </cfRule>
    <cfRule type="containsText" dxfId="8853" priority="8856" operator="containsText" text="RECHAZADA">
      <formula>NOT(ISERROR(SEARCH("RECHAZADA",K777)))</formula>
    </cfRule>
    <cfRule type="containsText" dxfId="8852" priority="8857" operator="containsText" text="Atendida">
      <formula>NOT(ISERROR(SEARCH("Atendida",K777)))</formula>
    </cfRule>
    <cfRule type="containsText" dxfId="8851" priority="8858" operator="containsText" text="Reasignación">
      <formula>NOT(ISERROR(SEARCH("Reasignación",K777)))</formula>
    </cfRule>
    <cfRule type="containsText" dxfId="8850" priority="8859" operator="containsText" text="RECHAZADA">
      <formula>NOT(ISERROR(SEARCH("RECHAZADA",K777)))</formula>
    </cfRule>
    <cfRule type="containsText" dxfId="8849" priority="8860" operator="containsText" text="Atendida">
      <formula>NOT(ISERROR(SEARCH("Atendida",K777)))</formula>
    </cfRule>
    <cfRule type="containsText" dxfId="8848" priority="8861" operator="containsText" text="Reasignación">
      <formula>NOT(ISERROR(SEARCH("Reasignación",K777)))</formula>
    </cfRule>
    <cfRule type="containsText" dxfId="8847" priority="8862" operator="containsText" text="RECHAZADA">
      <formula>NOT(ISERROR(SEARCH("RECHAZADA",K777)))</formula>
    </cfRule>
    <cfRule type="containsText" dxfId="8846" priority="8863" operator="containsText" text="Atendida">
      <formula>NOT(ISERROR(SEARCH("Atendida",K777)))</formula>
    </cfRule>
    <cfRule type="containsText" dxfId="8845" priority="8864" operator="containsText" text="Reasignación">
      <formula>NOT(ISERROR(SEARCH("Reasignación",K777)))</formula>
    </cfRule>
    <cfRule type="containsText" dxfId="8844" priority="8865" operator="containsText" text="RECHAZADA">
      <formula>NOT(ISERROR(SEARCH("RECHAZADA",K777)))</formula>
    </cfRule>
    <cfRule type="containsText" dxfId="8843" priority="8866" operator="containsText" text="Atendida">
      <formula>NOT(ISERROR(SEARCH("Atendida",K777)))</formula>
    </cfRule>
  </conditionalFormatting>
  <conditionalFormatting sqref="K779">
    <cfRule type="containsText" dxfId="8842" priority="8837" operator="containsText" text="Reasignación">
      <formula>NOT(ISERROR(SEARCH("Reasignación",K779)))</formula>
    </cfRule>
    <cfRule type="containsText" dxfId="8841" priority="8838" operator="containsText" text="RECHAZADA">
      <formula>NOT(ISERROR(SEARCH("RECHAZADA",K779)))</formula>
    </cfRule>
    <cfRule type="containsText" dxfId="8840" priority="8839" operator="containsText" text="Atendida">
      <formula>NOT(ISERROR(SEARCH("Atendida",K779)))</formula>
    </cfRule>
  </conditionalFormatting>
  <conditionalFormatting sqref="K779">
    <cfRule type="containsText" dxfId="8839" priority="8840" operator="containsText" text="Reasignación">
      <formula>NOT(ISERROR(SEARCH("Reasignación",K779)))</formula>
    </cfRule>
    <cfRule type="containsText" dxfId="8838" priority="8841" operator="containsText" text="RECHAZADA">
      <formula>NOT(ISERROR(SEARCH("RECHAZADA",K779)))</formula>
    </cfRule>
    <cfRule type="containsText" dxfId="8837" priority="8842" operator="containsText" text="Atendida">
      <formula>NOT(ISERROR(SEARCH("Atendida",K779)))</formula>
    </cfRule>
    <cfRule type="containsText" dxfId="8836" priority="8843" operator="containsText" text="Reasignación">
      <formula>NOT(ISERROR(SEARCH("Reasignación",K779)))</formula>
    </cfRule>
    <cfRule type="containsText" dxfId="8835" priority="8844" operator="containsText" text="RECHAZADA">
      <formula>NOT(ISERROR(SEARCH("RECHAZADA",K779)))</formula>
    </cfRule>
    <cfRule type="containsText" dxfId="8834" priority="8845" operator="containsText" text="Atendida">
      <formula>NOT(ISERROR(SEARCH("Atendida",K779)))</formula>
    </cfRule>
    <cfRule type="containsText" dxfId="8833" priority="8846" operator="containsText" text="Reasignación">
      <formula>NOT(ISERROR(SEARCH("Reasignación",K779)))</formula>
    </cfRule>
    <cfRule type="containsText" dxfId="8832" priority="8847" operator="containsText" text="RECHAZADA">
      <formula>NOT(ISERROR(SEARCH("RECHAZADA",K779)))</formula>
    </cfRule>
    <cfRule type="containsText" dxfId="8831" priority="8848" operator="containsText" text="Atendida">
      <formula>NOT(ISERROR(SEARCH("Atendida",K779)))</formula>
    </cfRule>
    <cfRule type="containsText" dxfId="8830" priority="8849" operator="containsText" text="Reasignación">
      <formula>NOT(ISERROR(SEARCH("Reasignación",K779)))</formula>
    </cfRule>
    <cfRule type="containsText" dxfId="8829" priority="8850" operator="containsText" text="RECHAZADA">
      <formula>NOT(ISERROR(SEARCH("RECHAZADA",K779)))</formula>
    </cfRule>
    <cfRule type="containsText" dxfId="8828" priority="8851" operator="containsText" text="Atendida">
      <formula>NOT(ISERROR(SEARCH("Atendida",K779)))</formula>
    </cfRule>
  </conditionalFormatting>
  <conditionalFormatting sqref="B780">
    <cfRule type="duplicateValues" dxfId="8827" priority="8836"/>
  </conditionalFormatting>
  <conditionalFormatting sqref="E780">
    <cfRule type="duplicateValues" dxfId="8826" priority="8832"/>
  </conditionalFormatting>
  <conditionalFormatting sqref="M780">
    <cfRule type="containsText" dxfId="8825" priority="8835" operator="containsText" text="Atendida">
      <formula>NOT(ISERROR(SEARCH("Atendida",M780)))</formula>
    </cfRule>
  </conditionalFormatting>
  <conditionalFormatting sqref="M780">
    <cfRule type="containsText" dxfId="8824" priority="8834" operator="containsText" text="RECHAZADA">
      <formula>NOT(ISERROR(SEARCH("RECHAZADA",M780)))</formula>
    </cfRule>
  </conditionalFormatting>
  <conditionalFormatting sqref="M780">
    <cfRule type="containsText" dxfId="8823" priority="8833" operator="containsText" text="CONFORME">
      <formula>NOT(ISERROR(SEARCH("CONFORME",M780)))</formula>
    </cfRule>
  </conditionalFormatting>
  <conditionalFormatting sqref="M780">
    <cfRule type="containsText" dxfId="8822" priority="8831" operator="containsText" text="OBSERVADO">
      <formula>NOT(ISERROR(SEARCH("OBSERVADO",M780)))</formula>
    </cfRule>
  </conditionalFormatting>
  <conditionalFormatting sqref="K780">
    <cfRule type="containsText" dxfId="8821" priority="8816" operator="containsText" text="Reasignación">
      <formula>NOT(ISERROR(SEARCH("Reasignación",K780)))</formula>
    </cfRule>
    <cfRule type="containsText" dxfId="8820" priority="8817" operator="containsText" text="RECHAZADA">
      <formula>NOT(ISERROR(SEARCH("RECHAZADA",K780)))</formula>
    </cfRule>
    <cfRule type="containsText" dxfId="8819" priority="8818" operator="containsText" text="Atendida">
      <formula>NOT(ISERROR(SEARCH("Atendida",K780)))</formula>
    </cfRule>
  </conditionalFormatting>
  <conditionalFormatting sqref="K780">
    <cfRule type="containsText" dxfId="8818" priority="8819" operator="containsText" text="Reasignación">
      <formula>NOT(ISERROR(SEARCH("Reasignación",K780)))</formula>
    </cfRule>
    <cfRule type="containsText" dxfId="8817" priority="8820" operator="containsText" text="RECHAZADA">
      <formula>NOT(ISERROR(SEARCH("RECHAZADA",K780)))</formula>
    </cfRule>
    <cfRule type="containsText" dxfId="8816" priority="8821" operator="containsText" text="Atendida">
      <formula>NOT(ISERROR(SEARCH("Atendida",K780)))</formula>
    </cfRule>
    <cfRule type="containsText" dxfId="8815" priority="8822" operator="containsText" text="Reasignación">
      <formula>NOT(ISERROR(SEARCH("Reasignación",K780)))</formula>
    </cfRule>
    <cfRule type="containsText" dxfId="8814" priority="8823" operator="containsText" text="RECHAZADA">
      <formula>NOT(ISERROR(SEARCH("RECHAZADA",K780)))</formula>
    </cfRule>
    <cfRule type="containsText" dxfId="8813" priority="8824" operator="containsText" text="Atendida">
      <formula>NOT(ISERROR(SEARCH("Atendida",K780)))</formula>
    </cfRule>
    <cfRule type="containsText" dxfId="8812" priority="8825" operator="containsText" text="Reasignación">
      <formula>NOT(ISERROR(SEARCH("Reasignación",K780)))</formula>
    </cfRule>
    <cfRule type="containsText" dxfId="8811" priority="8826" operator="containsText" text="RECHAZADA">
      <formula>NOT(ISERROR(SEARCH("RECHAZADA",K780)))</formula>
    </cfRule>
    <cfRule type="containsText" dxfId="8810" priority="8827" operator="containsText" text="Atendida">
      <formula>NOT(ISERROR(SEARCH("Atendida",K780)))</formula>
    </cfRule>
    <cfRule type="containsText" dxfId="8809" priority="8828" operator="containsText" text="Reasignación">
      <formula>NOT(ISERROR(SEARCH("Reasignación",K780)))</formula>
    </cfRule>
    <cfRule type="containsText" dxfId="8808" priority="8829" operator="containsText" text="RECHAZADA">
      <formula>NOT(ISERROR(SEARCH("RECHAZADA",K780)))</formula>
    </cfRule>
    <cfRule type="containsText" dxfId="8807" priority="8830" operator="containsText" text="Atendida">
      <formula>NOT(ISERROR(SEARCH("Atendida",K780)))</formula>
    </cfRule>
  </conditionalFormatting>
  <conditionalFormatting sqref="B781:B782">
    <cfRule type="duplicateValues" dxfId="8806" priority="8815"/>
  </conditionalFormatting>
  <conditionalFormatting sqref="B783">
    <cfRule type="duplicateValues" dxfId="8805" priority="8814"/>
  </conditionalFormatting>
  <conditionalFormatting sqref="E783">
    <cfRule type="duplicateValues" dxfId="8804" priority="8810"/>
  </conditionalFormatting>
  <conditionalFormatting sqref="M783">
    <cfRule type="containsText" dxfId="8803" priority="8813" operator="containsText" text="Atendida">
      <formula>NOT(ISERROR(SEARCH("Atendida",M783)))</formula>
    </cfRule>
  </conditionalFormatting>
  <conditionalFormatting sqref="M783">
    <cfRule type="containsText" dxfId="8802" priority="8812" operator="containsText" text="RECHAZADA">
      <formula>NOT(ISERROR(SEARCH("RECHAZADA",M783)))</formula>
    </cfRule>
  </conditionalFormatting>
  <conditionalFormatting sqref="M783">
    <cfRule type="containsText" dxfId="8801" priority="8811" operator="containsText" text="CONFORME">
      <formula>NOT(ISERROR(SEARCH("CONFORME",M783)))</formula>
    </cfRule>
  </conditionalFormatting>
  <conditionalFormatting sqref="M783">
    <cfRule type="containsText" dxfId="8800" priority="8809" operator="containsText" text="OBSERVADO">
      <formula>NOT(ISERROR(SEARCH("OBSERVADO",M783)))</formula>
    </cfRule>
  </conditionalFormatting>
  <conditionalFormatting sqref="K783">
    <cfRule type="containsText" dxfId="8799" priority="8794" operator="containsText" text="Reasignación">
      <formula>NOT(ISERROR(SEARCH("Reasignación",K783)))</formula>
    </cfRule>
    <cfRule type="containsText" dxfId="8798" priority="8795" operator="containsText" text="RECHAZADA">
      <formula>NOT(ISERROR(SEARCH("RECHAZADA",K783)))</formula>
    </cfRule>
    <cfRule type="containsText" dxfId="8797" priority="8796" operator="containsText" text="Atendida">
      <formula>NOT(ISERROR(SEARCH("Atendida",K783)))</formula>
    </cfRule>
  </conditionalFormatting>
  <conditionalFormatting sqref="K783">
    <cfRule type="containsText" dxfId="8796" priority="8797" operator="containsText" text="Reasignación">
      <formula>NOT(ISERROR(SEARCH("Reasignación",K783)))</formula>
    </cfRule>
    <cfRule type="containsText" dxfId="8795" priority="8798" operator="containsText" text="RECHAZADA">
      <formula>NOT(ISERROR(SEARCH("RECHAZADA",K783)))</formula>
    </cfRule>
    <cfRule type="containsText" dxfId="8794" priority="8799" operator="containsText" text="Atendida">
      <formula>NOT(ISERROR(SEARCH("Atendida",K783)))</formula>
    </cfRule>
    <cfRule type="containsText" dxfId="8793" priority="8800" operator="containsText" text="Reasignación">
      <formula>NOT(ISERROR(SEARCH("Reasignación",K783)))</formula>
    </cfRule>
    <cfRule type="containsText" dxfId="8792" priority="8801" operator="containsText" text="RECHAZADA">
      <formula>NOT(ISERROR(SEARCH("RECHAZADA",K783)))</formula>
    </cfRule>
    <cfRule type="containsText" dxfId="8791" priority="8802" operator="containsText" text="Atendida">
      <formula>NOT(ISERROR(SEARCH("Atendida",K783)))</formula>
    </cfRule>
    <cfRule type="containsText" dxfId="8790" priority="8803" operator="containsText" text="Reasignación">
      <formula>NOT(ISERROR(SEARCH("Reasignación",K783)))</formula>
    </cfRule>
    <cfRule type="containsText" dxfId="8789" priority="8804" operator="containsText" text="RECHAZADA">
      <formula>NOT(ISERROR(SEARCH("RECHAZADA",K783)))</formula>
    </cfRule>
    <cfRule type="containsText" dxfId="8788" priority="8805" operator="containsText" text="Atendida">
      <formula>NOT(ISERROR(SEARCH("Atendida",K783)))</formula>
    </cfRule>
    <cfRule type="containsText" dxfId="8787" priority="8806" operator="containsText" text="Reasignación">
      <formula>NOT(ISERROR(SEARCH("Reasignación",K783)))</formula>
    </cfRule>
    <cfRule type="containsText" dxfId="8786" priority="8807" operator="containsText" text="RECHAZADA">
      <formula>NOT(ISERROR(SEARCH("RECHAZADA",K783)))</formula>
    </cfRule>
    <cfRule type="containsText" dxfId="8785" priority="8808" operator="containsText" text="Atendida">
      <formula>NOT(ISERROR(SEARCH("Atendida",K783)))</formula>
    </cfRule>
  </conditionalFormatting>
  <conditionalFormatting sqref="K782">
    <cfRule type="containsText" dxfId="8784" priority="8779" operator="containsText" text="Reasignación">
      <formula>NOT(ISERROR(SEARCH("Reasignación",K782)))</formula>
    </cfRule>
    <cfRule type="containsText" dxfId="8783" priority="8780" operator="containsText" text="RECHAZADA">
      <formula>NOT(ISERROR(SEARCH("RECHAZADA",K782)))</formula>
    </cfRule>
    <cfRule type="containsText" dxfId="8782" priority="8781" operator="containsText" text="Atendida">
      <formula>NOT(ISERROR(SEARCH("Atendida",K782)))</formula>
    </cfRule>
  </conditionalFormatting>
  <conditionalFormatting sqref="K782">
    <cfRule type="containsText" dxfId="8781" priority="8782" operator="containsText" text="Reasignación">
      <formula>NOT(ISERROR(SEARCH("Reasignación",K782)))</formula>
    </cfRule>
    <cfRule type="containsText" dxfId="8780" priority="8783" operator="containsText" text="RECHAZADA">
      <formula>NOT(ISERROR(SEARCH("RECHAZADA",K782)))</formula>
    </cfRule>
    <cfRule type="containsText" dxfId="8779" priority="8784" operator="containsText" text="Atendida">
      <formula>NOT(ISERROR(SEARCH("Atendida",K782)))</formula>
    </cfRule>
    <cfRule type="containsText" dxfId="8778" priority="8785" operator="containsText" text="Reasignación">
      <formula>NOT(ISERROR(SEARCH("Reasignación",K782)))</formula>
    </cfRule>
    <cfRule type="containsText" dxfId="8777" priority="8786" operator="containsText" text="RECHAZADA">
      <formula>NOT(ISERROR(SEARCH("RECHAZADA",K782)))</formula>
    </cfRule>
    <cfRule type="containsText" dxfId="8776" priority="8787" operator="containsText" text="Atendida">
      <formula>NOT(ISERROR(SEARCH("Atendida",K782)))</formula>
    </cfRule>
    <cfRule type="containsText" dxfId="8775" priority="8788" operator="containsText" text="Reasignación">
      <formula>NOT(ISERROR(SEARCH("Reasignación",K782)))</formula>
    </cfRule>
    <cfRule type="containsText" dxfId="8774" priority="8789" operator="containsText" text="RECHAZADA">
      <formula>NOT(ISERROR(SEARCH("RECHAZADA",K782)))</formula>
    </cfRule>
    <cfRule type="containsText" dxfId="8773" priority="8790" operator="containsText" text="Atendida">
      <formula>NOT(ISERROR(SEARCH("Atendida",K782)))</formula>
    </cfRule>
    <cfRule type="containsText" dxfId="8772" priority="8791" operator="containsText" text="Reasignación">
      <formula>NOT(ISERROR(SEARCH("Reasignación",K782)))</formula>
    </cfRule>
    <cfRule type="containsText" dxfId="8771" priority="8792" operator="containsText" text="RECHAZADA">
      <formula>NOT(ISERROR(SEARCH("RECHAZADA",K782)))</formula>
    </cfRule>
    <cfRule type="containsText" dxfId="8770" priority="8793" operator="containsText" text="Atendida">
      <formula>NOT(ISERROR(SEARCH("Atendida",K782)))</formula>
    </cfRule>
  </conditionalFormatting>
  <conditionalFormatting sqref="K781">
    <cfRule type="containsText" dxfId="8769" priority="8764" operator="containsText" text="Reasignación">
      <formula>NOT(ISERROR(SEARCH("Reasignación",K781)))</formula>
    </cfRule>
    <cfRule type="containsText" dxfId="8768" priority="8765" operator="containsText" text="RECHAZADA">
      <formula>NOT(ISERROR(SEARCH("RECHAZADA",K781)))</formula>
    </cfRule>
    <cfRule type="containsText" dxfId="8767" priority="8766" operator="containsText" text="Atendida">
      <formula>NOT(ISERROR(SEARCH("Atendida",K781)))</formula>
    </cfRule>
  </conditionalFormatting>
  <conditionalFormatting sqref="K781">
    <cfRule type="containsText" dxfId="8766" priority="8767" operator="containsText" text="Reasignación">
      <formula>NOT(ISERROR(SEARCH("Reasignación",K781)))</formula>
    </cfRule>
    <cfRule type="containsText" dxfId="8765" priority="8768" operator="containsText" text="RECHAZADA">
      <formula>NOT(ISERROR(SEARCH("RECHAZADA",K781)))</formula>
    </cfRule>
    <cfRule type="containsText" dxfId="8764" priority="8769" operator="containsText" text="Atendida">
      <formula>NOT(ISERROR(SEARCH("Atendida",K781)))</formula>
    </cfRule>
    <cfRule type="containsText" dxfId="8763" priority="8770" operator="containsText" text="Reasignación">
      <formula>NOT(ISERROR(SEARCH("Reasignación",K781)))</formula>
    </cfRule>
    <cfRule type="containsText" dxfId="8762" priority="8771" operator="containsText" text="RECHAZADA">
      <formula>NOT(ISERROR(SEARCH("RECHAZADA",K781)))</formula>
    </cfRule>
    <cfRule type="containsText" dxfId="8761" priority="8772" operator="containsText" text="Atendida">
      <formula>NOT(ISERROR(SEARCH("Atendida",K781)))</formula>
    </cfRule>
    <cfRule type="containsText" dxfId="8760" priority="8773" operator="containsText" text="Reasignación">
      <formula>NOT(ISERROR(SEARCH("Reasignación",K781)))</formula>
    </cfRule>
    <cfRule type="containsText" dxfId="8759" priority="8774" operator="containsText" text="RECHAZADA">
      <formula>NOT(ISERROR(SEARCH("RECHAZADA",K781)))</formula>
    </cfRule>
    <cfRule type="containsText" dxfId="8758" priority="8775" operator="containsText" text="Atendida">
      <formula>NOT(ISERROR(SEARCH("Atendida",K781)))</formula>
    </cfRule>
    <cfRule type="containsText" dxfId="8757" priority="8776" operator="containsText" text="Reasignación">
      <formula>NOT(ISERROR(SEARCH("Reasignación",K781)))</formula>
    </cfRule>
    <cfRule type="containsText" dxfId="8756" priority="8777" operator="containsText" text="RECHAZADA">
      <formula>NOT(ISERROR(SEARCH("RECHAZADA",K781)))</formula>
    </cfRule>
    <cfRule type="containsText" dxfId="8755" priority="8778" operator="containsText" text="Atendida">
      <formula>NOT(ISERROR(SEARCH("Atendida",K781)))</formula>
    </cfRule>
  </conditionalFormatting>
  <conditionalFormatting sqref="E788:E799 E784:E786">
    <cfRule type="duplicateValues" dxfId="8754" priority="8745"/>
  </conditionalFormatting>
  <conditionalFormatting sqref="K784">
    <cfRule type="containsText" dxfId="8753" priority="8752" operator="containsText" text="RECHAZADA">
      <formula>NOT(ISERROR(SEARCH("RECHAZADA",K784)))</formula>
    </cfRule>
    <cfRule type="containsText" dxfId="8752" priority="8753" operator="containsText" text="Atendida">
      <formula>NOT(ISERROR(SEARCH("Atendida",K784)))</formula>
    </cfRule>
    <cfRule type="containsText" dxfId="8751" priority="8754" operator="containsText" text="Reasignación">
      <formula>NOT(ISERROR(SEARCH("Reasignación",K784)))</formula>
    </cfRule>
    <cfRule type="containsText" dxfId="8750" priority="8755" operator="containsText" text="RECHAZADA">
      <formula>NOT(ISERROR(SEARCH("RECHAZADA",K784)))</formula>
    </cfRule>
    <cfRule type="containsText" dxfId="8749" priority="8756" operator="containsText" text="Atendida">
      <formula>NOT(ISERROR(SEARCH("Atendida",K784)))</formula>
    </cfRule>
    <cfRule type="containsText" dxfId="8748" priority="8757" operator="containsText" text="Reasignación">
      <formula>NOT(ISERROR(SEARCH("Reasignación",K784)))</formula>
    </cfRule>
    <cfRule type="containsText" dxfId="8747" priority="8758" operator="containsText" text="RECHAZADA">
      <formula>NOT(ISERROR(SEARCH("RECHAZADA",K784)))</formula>
    </cfRule>
    <cfRule type="containsText" dxfId="8746" priority="8759" operator="containsText" text="Atendida">
      <formula>NOT(ISERROR(SEARCH("Atendida",K784)))</formula>
    </cfRule>
  </conditionalFormatting>
  <conditionalFormatting sqref="K784">
    <cfRule type="containsText" dxfId="8745" priority="8760" operator="containsText" text="Reasignación">
      <formula>NOT(ISERROR(SEARCH("Reasignación",K784)))</formula>
    </cfRule>
    <cfRule type="containsText" dxfId="8744" priority="8761" operator="containsText" text="RECHAZADA">
      <formula>NOT(ISERROR(SEARCH("RECHAZADA",K784)))</formula>
    </cfRule>
    <cfRule type="containsText" dxfId="8743" priority="8762" operator="containsText" text="Atendida">
      <formula>NOT(ISERROR(SEARCH("Atendida",K784)))</formula>
    </cfRule>
  </conditionalFormatting>
  <conditionalFormatting sqref="K784">
    <cfRule type="containsText" dxfId="8742" priority="8751" operator="containsText" text="Reasignación">
      <formula>NOT(ISERROR(SEARCH("Reasignación",K784)))</formula>
    </cfRule>
  </conditionalFormatting>
  <conditionalFormatting sqref="M788:M799 K784 M784:M786">
    <cfRule type="containsText" dxfId="8741" priority="8750" operator="containsText" text="Atendida">
      <formula>NOT(ISERROR(SEARCH("Atendida",K784)))</formula>
    </cfRule>
  </conditionalFormatting>
  <conditionalFormatting sqref="K784">
    <cfRule type="containsText" dxfId="8740" priority="8748" operator="containsText" text="Reasignación">
      <formula>NOT(ISERROR(SEARCH("Reasignación",K784)))</formula>
    </cfRule>
    <cfRule type="containsText" dxfId="8739" priority="8749" operator="containsText" text="RECHAZADA">
      <formula>NOT(ISERROR(SEARCH("RECHAZADA",K784)))</formula>
    </cfRule>
  </conditionalFormatting>
  <conditionalFormatting sqref="M788:M799 M784:M786">
    <cfRule type="containsText" dxfId="8738" priority="8747" operator="containsText" text="RECHAZADA">
      <formula>NOT(ISERROR(SEARCH("RECHAZADA",M784)))</formula>
    </cfRule>
  </conditionalFormatting>
  <conditionalFormatting sqref="M788:M799 M784:M786">
    <cfRule type="containsText" dxfId="8737" priority="8746" operator="containsText" text="CONFORME">
      <formula>NOT(ISERROR(SEARCH("CONFORME",M784)))</formula>
    </cfRule>
  </conditionalFormatting>
  <conditionalFormatting sqref="M788:M799 M784:M786">
    <cfRule type="containsText" dxfId="8736" priority="8744" operator="containsText" text="OBSERVADO">
      <formula>NOT(ISERROR(SEARCH("OBSERVADO",M784)))</formula>
    </cfRule>
  </conditionalFormatting>
  <conditionalFormatting sqref="K784">
    <cfRule type="containsText" dxfId="8735" priority="8732" operator="containsText" text="Reasignación">
      <formula>NOT(ISERROR(SEARCH("Reasignación",K784)))</formula>
    </cfRule>
    <cfRule type="containsText" dxfId="8734" priority="8733" operator="containsText" text="RECHAZADA">
      <formula>NOT(ISERROR(SEARCH("RECHAZADA",K784)))</formula>
    </cfRule>
    <cfRule type="containsText" dxfId="8733" priority="8734" operator="containsText" text="Atendida">
      <formula>NOT(ISERROR(SEARCH("Atendida",K784)))</formula>
    </cfRule>
    <cfRule type="containsText" dxfId="8732" priority="8735" operator="containsText" text="Reasignación">
      <formula>NOT(ISERROR(SEARCH("Reasignación",K784)))</formula>
    </cfRule>
    <cfRule type="containsText" dxfId="8731" priority="8736" operator="containsText" text="RECHAZADA">
      <formula>NOT(ISERROR(SEARCH("RECHAZADA",K784)))</formula>
    </cfRule>
    <cfRule type="containsText" dxfId="8730" priority="8737" operator="containsText" text="Atendida">
      <formula>NOT(ISERROR(SEARCH("Atendida",K784)))</formula>
    </cfRule>
    <cfRule type="containsText" dxfId="8729" priority="8738" operator="containsText" text="Reasignación">
      <formula>NOT(ISERROR(SEARCH("Reasignación",K784)))</formula>
    </cfRule>
    <cfRule type="containsText" dxfId="8728" priority="8739" operator="containsText" text="RECHAZADA">
      <formula>NOT(ISERROR(SEARCH("RECHAZADA",K784)))</formula>
    </cfRule>
    <cfRule type="containsText" dxfId="8727" priority="8740" operator="containsText" text="Atendida">
      <formula>NOT(ISERROR(SEARCH("Atendida",K784)))</formula>
    </cfRule>
    <cfRule type="containsText" dxfId="8726" priority="8741" operator="containsText" text="Reasignación">
      <formula>NOT(ISERROR(SEARCH("Reasignación",K784)))</formula>
    </cfRule>
    <cfRule type="containsText" dxfId="8725" priority="8742" operator="containsText" text="RECHAZADA">
      <formula>NOT(ISERROR(SEARCH("RECHAZADA",K784)))</formula>
    </cfRule>
    <cfRule type="containsText" dxfId="8724" priority="8743" operator="containsText" text="Atendida">
      <formula>NOT(ISERROR(SEARCH("Atendida",K784)))</formula>
    </cfRule>
  </conditionalFormatting>
  <conditionalFormatting sqref="K784">
    <cfRule type="containsText" dxfId="8723" priority="8724" operator="containsText" text="RECHAZADA">
      <formula>NOT(ISERROR(SEARCH("RECHAZADA",K784)))</formula>
    </cfRule>
    <cfRule type="containsText" dxfId="8722" priority="8725" operator="containsText" text="Atendida">
      <formula>NOT(ISERROR(SEARCH("Atendida",K784)))</formula>
    </cfRule>
    <cfRule type="containsText" dxfId="8721" priority="8726" operator="containsText" text="Reasignación">
      <formula>NOT(ISERROR(SEARCH("Reasignación",K784)))</formula>
    </cfRule>
    <cfRule type="containsText" dxfId="8720" priority="8727" operator="containsText" text="RECHAZADA">
      <formula>NOT(ISERROR(SEARCH("RECHAZADA",K784)))</formula>
    </cfRule>
    <cfRule type="containsText" dxfId="8719" priority="8728" operator="containsText" text="Atendida">
      <formula>NOT(ISERROR(SEARCH("Atendida",K784)))</formula>
    </cfRule>
    <cfRule type="containsText" dxfId="8718" priority="8729" operator="containsText" text="Reasignación">
      <formula>NOT(ISERROR(SEARCH("Reasignación",K784)))</formula>
    </cfRule>
    <cfRule type="containsText" dxfId="8717" priority="8730" operator="containsText" text="RECHAZADA">
      <formula>NOT(ISERROR(SEARCH("RECHAZADA",K784)))</formula>
    </cfRule>
    <cfRule type="containsText" dxfId="8716" priority="8731" operator="containsText" text="Atendida">
      <formula>NOT(ISERROR(SEARCH("Atendida",K784)))</formula>
    </cfRule>
  </conditionalFormatting>
  <conditionalFormatting sqref="K784">
    <cfRule type="containsText" dxfId="8715" priority="8720" operator="containsText" text="Reasignación">
      <formula>NOT(ISERROR(SEARCH("Reasignación",K784)))</formula>
    </cfRule>
    <cfRule type="containsText" dxfId="8714" priority="8721" operator="containsText" text="RECHAZADA">
      <formula>NOT(ISERROR(SEARCH("RECHAZADA",K784)))</formula>
    </cfRule>
  </conditionalFormatting>
  <conditionalFormatting sqref="K784">
    <cfRule type="containsText" dxfId="8713" priority="8723" operator="containsText" text="Reasignación">
      <formula>NOT(ISERROR(SEARCH("Reasignación",K784)))</formula>
    </cfRule>
  </conditionalFormatting>
  <conditionalFormatting sqref="K784">
    <cfRule type="containsText" dxfId="8712" priority="8722" operator="containsText" text="Atendida">
      <formula>NOT(ISERROR(SEARCH("Atendida",K784)))</formula>
    </cfRule>
  </conditionalFormatting>
  <conditionalFormatting sqref="K784">
    <cfRule type="containsText" dxfId="8711" priority="8695" operator="containsText" text="Reasignación">
      <formula>NOT(ISERROR(SEARCH("Reasignación",K784)))</formula>
    </cfRule>
    <cfRule type="containsText" dxfId="8710" priority="8696" operator="containsText" text="RECHAZADA">
      <formula>NOT(ISERROR(SEARCH("RECHAZADA",K784)))</formula>
    </cfRule>
    <cfRule type="containsText" dxfId="8709" priority="8697" operator="containsText" text="Atendida">
      <formula>NOT(ISERROR(SEARCH("Atendida",K784)))</formula>
    </cfRule>
    <cfRule type="containsText" dxfId="8708" priority="8698" operator="containsText" text="Reasignación">
      <formula>NOT(ISERROR(SEARCH("Reasignación",K784)))</formula>
    </cfRule>
    <cfRule type="containsText" dxfId="8707" priority="8699" operator="containsText" text="RECHAZADA">
      <formula>NOT(ISERROR(SEARCH("RECHAZADA",K784)))</formula>
    </cfRule>
    <cfRule type="containsText" dxfId="8706" priority="8700" operator="containsText" text="Atendida">
      <formula>NOT(ISERROR(SEARCH("Atendida",K784)))</formula>
    </cfRule>
    <cfRule type="containsText" dxfId="8705" priority="8701" operator="containsText" text="Reasignación">
      <formula>NOT(ISERROR(SEARCH("Reasignación",K784)))</formula>
    </cfRule>
    <cfRule type="containsText" dxfId="8704" priority="8702" operator="containsText" text="RECHAZADA">
      <formula>NOT(ISERROR(SEARCH("RECHAZADA",K784)))</formula>
    </cfRule>
    <cfRule type="containsText" dxfId="8703" priority="8703" operator="containsText" text="Atendida">
      <formula>NOT(ISERROR(SEARCH("Atendida",K784)))</formula>
    </cfRule>
    <cfRule type="containsText" dxfId="8702" priority="8704" operator="containsText" text="Reasignación">
      <formula>NOT(ISERROR(SEARCH("Reasignación",K784)))</formula>
    </cfRule>
    <cfRule type="containsText" dxfId="8701" priority="8705" operator="containsText" text="RECHAZADA">
      <formula>NOT(ISERROR(SEARCH("RECHAZADA",K784)))</formula>
    </cfRule>
    <cfRule type="containsText" dxfId="8700" priority="8706" operator="containsText" text="Atendida">
      <formula>NOT(ISERROR(SEARCH("Atendida",K784)))</formula>
    </cfRule>
    <cfRule type="containsText" dxfId="8699" priority="8707" operator="containsText" text="Reasignación">
      <formula>NOT(ISERROR(SEARCH("Reasignación",K784)))</formula>
    </cfRule>
    <cfRule type="containsText" dxfId="8698" priority="8708" operator="containsText" text="RECHAZADA">
      <formula>NOT(ISERROR(SEARCH("RECHAZADA",K784)))</formula>
    </cfRule>
    <cfRule type="containsText" dxfId="8697" priority="8709" operator="containsText" text="Atendida">
      <formula>NOT(ISERROR(SEARCH("Atendida",K784)))</formula>
    </cfRule>
    <cfRule type="containsText" dxfId="8696" priority="8710" operator="containsText" text="Reasignación">
      <formula>NOT(ISERROR(SEARCH("Reasignación",K784)))</formula>
    </cfRule>
    <cfRule type="containsText" dxfId="8695" priority="8711" operator="containsText" text="RECHAZADA">
      <formula>NOT(ISERROR(SEARCH("RECHAZADA",K784)))</formula>
    </cfRule>
    <cfRule type="containsText" dxfId="8694" priority="8712" operator="containsText" text="Atendida">
      <formula>NOT(ISERROR(SEARCH("Atendida",K784)))</formula>
    </cfRule>
    <cfRule type="containsText" dxfId="8693" priority="8713" operator="containsText" text="Reasignación">
      <formula>NOT(ISERROR(SEARCH("Reasignación",K784)))</formula>
    </cfRule>
    <cfRule type="containsText" dxfId="8692" priority="8714" operator="containsText" text="RECHAZADA">
      <formula>NOT(ISERROR(SEARCH("RECHAZADA",K784)))</formula>
    </cfRule>
    <cfRule type="containsText" dxfId="8691" priority="8715" operator="containsText" text="Atendida">
      <formula>NOT(ISERROR(SEARCH("Atendida",K784)))</formula>
    </cfRule>
    <cfRule type="containsText" dxfId="8690" priority="8716" operator="containsText" text="Reasignación">
      <formula>NOT(ISERROR(SEARCH("Reasignación",K784)))</formula>
    </cfRule>
    <cfRule type="containsText" dxfId="8689" priority="8717" operator="containsText" text="RECHAZADA">
      <formula>NOT(ISERROR(SEARCH("RECHAZADA",K784)))</formula>
    </cfRule>
    <cfRule type="containsText" dxfId="8688" priority="8718" operator="containsText" text="Atendida">
      <formula>NOT(ISERROR(SEARCH("Atendida",K784)))</formula>
    </cfRule>
    <cfRule type="containsText" dxfId="8687" priority="8719" operator="containsText" text="Atendida">
      <formula>NOT(ISERROR(SEARCH("Atendida",K784)))</formula>
    </cfRule>
  </conditionalFormatting>
  <conditionalFormatting sqref="B784">
    <cfRule type="duplicateValues" dxfId="8686" priority="8763"/>
  </conditionalFormatting>
  <conditionalFormatting sqref="K785">
    <cfRule type="containsText" dxfId="8685" priority="8679" operator="containsText" text="Reasignación">
      <formula>NOT(ISERROR(SEARCH("Reasignación",K785)))</formula>
    </cfRule>
    <cfRule type="containsText" dxfId="8684" priority="8680" operator="containsText" text="RECHAZADA">
      <formula>NOT(ISERROR(SEARCH("RECHAZADA",K785)))</formula>
    </cfRule>
    <cfRule type="containsText" dxfId="8683" priority="8681" operator="containsText" text="Atendida">
      <formula>NOT(ISERROR(SEARCH("Atendida",K785)))</formula>
    </cfRule>
  </conditionalFormatting>
  <conditionalFormatting sqref="K785">
    <cfRule type="containsText" dxfId="8682" priority="8682" operator="containsText" text="Reasignación">
      <formula>NOT(ISERROR(SEARCH("Reasignación",K785)))</formula>
    </cfRule>
    <cfRule type="containsText" dxfId="8681" priority="8683" operator="containsText" text="RECHAZADA">
      <formula>NOT(ISERROR(SEARCH("RECHAZADA",K785)))</formula>
    </cfRule>
    <cfRule type="containsText" dxfId="8680" priority="8684" operator="containsText" text="Atendida">
      <formula>NOT(ISERROR(SEARCH("Atendida",K785)))</formula>
    </cfRule>
    <cfRule type="containsText" dxfId="8679" priority="8685" operator="containsText" text="Reasignación">
      <formula>NOT(ISERROR(SEARCH("Reasignación",K785)))</formula>
    </cfRule>
    <cfRule type="containsText" dxfId="8678" priority="8686" operator="containsText" text="RECHAZADA">
      <formula>NOT(ISERROR(SEARCH("RECHAZADA",K785)))</formula>
    </cfRule>
    <cfRule type="containsText" dxfId="8677" priority="8687" operator="containsText" text="Atendida">
      <formula>NOT(ISERROR(SEARCH("Atendida",K785)))</formula>
    </cfRule>
    <cfRule type="containsText" dxfId="8676" priority="8688" operator="containsText" text="Reasignación">
      <formula>NOT(ISERROR(SEARCH("Reasignación",K785)))</formula>
    </cfRule>
    <cfRule type="containsText" dxfId="8675" priority="8689" operator="containsText" text="RECHAZADA">
      <formula>NOT(ISERROR(SEARCH("RECHAZADA",K785)))</formula>
    </cfRule>
    <cfRule type="containsText" dxfId="8674" priority="8690" operator="containsText" text="Atendida">
      <formula>NOT(ISERROR(SEARCH("Atendida",K785)))</formula>
    </cfRule>
    <cfRule type="containsText" dxfId="8673" priority="8691" operator="containsText" text="Reasignación">
      <formula>NOT(ISERROR(SEARCH("Reasignación",K785)))</formula>
    </cfRule>
    <cfRule type="containsText" dxfId="8672" priority="8692" operator="containsText" text="RECHAZADA">
      <formula>NOT(ISERROR(SEARCH("RECHAZADA",K785)))</formula>
    </cfRule>
    <cfRule type="containsText" dxfId="8671" priority="8693" operator="containsText" text="Atendida">
      <formula>NOT(ISERROR(SEARCH("Atendida",K785)))</formula>
    </cfRule>
  </conditionalFormatting>
  <conditionalFormatting sqref="B785">
    <cfRule type="duplicateValues" dxfId="8670" priority="8694"/>
  </conditionalFormatting>
  <conditionalFormatting sqref="B788:B798 B786">
    <cfRule type="duplicateValues" dxfId="8669" priority="8678"/>
  </conditionalFormatting>
  <conditionalFormatting sqref="K786">
    <cfRule type="containsText" dxfId="8668" priority="8663" operator="containsText" text="Reasignación">
      <formula>NOT(ISERROR(SEARCH("Reasignación",K786)))</formula>
    </cfRule>
    <cfRule type="containsText" dxfId="8667" priority="8664" operator="containsText" text="RECHAZADA">
      <formula>NOT(ISERROR(SEARCH("RECHAZADA",K786)))</formula>
    </cfRule>
    <cfRule type="containsText" dxfId="8666" priority="8665" operator="containsText" text="Atendida">
      <formula>NOT(ISERROR(SEARCH("Atendida",K786)))</formula>
    </cfRule>
  </conditionalFormatting>
  <conditionalFormatting sqref="K786">
    <cfRule type="containsText" dxfId="8665" priority="8666" operator="containsText" text="Reasignación">
      <formula>NOT(ISERROR(SEARCH("Reasignación",K786)))</formula>
    </cfRule>
    <cfRule type="containsText" dxfId="8664" priority="8667" operator="containsText" text="RECHAZADA">
      <formula>NOT(ISERROR(SEARCH("RECHAZADA",K786)))</formula>
    </cfRule>
    <cfRule type="containsText" dxfId="8663" priority="8668" operator="containsText" text="Atendida">
      <formula>NOT(ISERROR(SEARCH("Atendida",K786)))</formula>
    </cfRule>
    <cfRule type="containsText" dxfId="8662" priority="8669" operator="containsText" text="Reasignación">
      <formula>NOT(ISERROR(SEARCH("Reasignación",K786)))</formula>
    </cfRule>
    <cfRule type="containsText" dxfId="8661" priority="8670" operator="containsText" text="RECHAZADA">
      <formula>NOT(ISERROR(SEARCH("RECHAZADA",K786)))</formula>
    </cfRule>
    <cfRule type="containsText" dxfId="8660" priority="8671" operator="containsText" text="Atendida">
      <formula>NOT(ISERROR(SEARCH("Atendida",K786)))</formula>
    </cfRule>
    <cfRule type="containsText" dxfId="8659" priority="8672" operator="containsText" text="Reasignación">
      <formula>NOT(ISERROR(SEARCH("Reasignación",K786)))</formula>
    </cfRule>
    <cfRule type="containsText" dxfId="8658" priority="8673" operator="containsText" text="RECHAZADA">
      <formula>NOT(ISERROR(SEARCH("RECHAZADA",K786)))</formula>
    </cfRule>
    <cfRule type="containsText" dxfId="8657" priority="8674" operator="containsText" text="Atendida">
      <formula>NOT(ISERROR(SEARCH("Atendida",K786)))</formula>
    </cfRule>
    <cfRule type="containsText" dxfId="8656" priority="8675" operator="containsText" text="Reasignación">
      <formula>NOT(ISERROR(SEARCH("Reasignación",K786)))</formula>
    </cfRule>
    <cfRule type="containsText" dxfId="8655" priority="8676" operator="containsText" text="RECHAZADA">
      <formula>NOT(ISERROR(SEARCH("RECHAZADA",K786)))</formula>
    </cfRule>
    <cfRule type="containsText" dxfId="8654" priority="8677" operator="containsText" text="Atendida">
      <formula>NOT(ISERROR(SEARCH("Atendida",K786)))</formula>
    </cfRule>
  </conditionalFormatting>
  <conditionalFormatting sqref="B787">
    <cfRule type="duplicateValues" dxfId="8653" priority="8662"/>
  </conditionalFormatting>
  <conditionalFormatting sqref="E787">
    <cfRule type="duplicateValues" dxfId="8652" priority="8658"/>
  </conditionalFormatting>
  <conditionalFormatting sqref="M787">
    <cfRule type="containsText" dxfId="8651" priority="8661" operator="containsText" text="Atendida">
      <formula>NOT(ISERROR(SEARCH("Atendida",M787)))</formula>
    </cfRule>
  </conditionalFormatting>
  <conditionalFormatting sqref="M787">
    <cfRule type="containsText" dxfId="8650" priority="8660" operator="containsText" text="RECHAZADA">
      <formula>NOT(ISERROR(SEARCH("RECHAZADA",M787)))</formula>
    </cfRule>
  </conditionalFormatting>
  <conditionalFormatting sqref="M787">
    <cfRule type="containsText" dxfId="8649" priority="8659" operator="containsText" text="CONFORME">
      <formula>NOT(ISERROR(SEARCH("CONFORME",M787)))</formula>
    </cfRule>
  </conditionalFormatting>
  <conditionalFormatting sqref="M787">
    <cfRule type="containsText" dxfId="8648" priority="8657" operator="containsText" text="OBSERVADO">
      <formula>NOT(ISERROR(SEARCH("OBSERVADO",M787)))</formula>
    </cfRule>
  </conditionalFormatting>
  <conditionalFormatting sqref="K787">
    <cfRule type="containsText" dxfId="8647" priority="8642" operator="containsText" text="Reasignación">
      <formula>NOT(ISERROR(SEARCH("Reasignación",K787)))</formula>
    </cfRule>
    <cfRule type="containsText" dxfId="8646" priority="8643" operator="containsText" text="RECHAZADA">
      <formula>NOT(ISERROR(SEARCH("RECHAZADA",K787)))</formula>
    </cfRule>
    <cfRule type="containsText" dxfId="8645" priority="8644" operator="containsText" text="Atendida">
      <formula>NOT(ISERROR(SEARCH("Atendida",K787)))</formula>
    </cfRule>
  </conditionalFormatting>
  <conditionalFormatting sqref="K787">
    <cfRule type="containsText" dxfId="8644" priority="8645" operator="containsText" text="Reasignación">
      <formula>NOT(ISERROR(SEARCH("Reasignación",K787)))</formula>
    </cfRule>
    <cfRule type="containsText" dxfId="8643" priority="8646" operator="containsText" text="RECHAZADA">
      <formula>NOT(ISERROR(SEARCH("RECHAZADA",K787)))</formula>
    </cfRule>
    <cfRule type="containsText" dxfId="8642" priority="8647" operator="containsText" text="Atendida">
      <formula>NOT(ISERROR(SEARCH("Atendida",K787)))</formula>
    </cfRule>
    <cfRule type="containsText" dxfId="8641" priority="8648" operator="containsText" text="Reasignación">
      <formula>NOT(ISERROR(SEARCH("Reasignación",K787)))</formula>
    </cfRule>
    <cfRule type="containsText" dxfId="8640" priority="8649" operator="containsText" text="RECHAZADA">
      <formula>NOT(ISERROR(SEARCH("RECHAZADA",K787)))</formula>
    </cfRule>
    <cfRule type="containsText" dxfId="8639" priority="8650" operator="containsText" text="Atendida">
      <formula>NOT(ISERROR(SEARCH("Atendida",K787)))</formula>
    </cfRule>
    <cfRule type="containsText" dxfId="8638" priority="8651" operator="containsText" text="Reasignación">
      <formula>NOT(ISERROR(SEARCH("Reasignación",K787)))</formula>
    </cfRule>
    <cfRule type="containsText" dxfId="8637" priority="8652" operator="containsText" text="RECHAZADA">
      <formula>NOT(ISERROR(SEARCH("RECHAZADA",K787)))</formula>
    </cfRule>
    <cfRule type="containsText" dxfId="8636" priority="8653" operator="containsText" text="Atendida">
      <formula>NOT(ISERROR(SEARCH("Atendida",K787)))</formula>
    </cfRule>
    <cfRule type="containsText" dxfId="8635" priority="8654" operator="containsText" text="Reasignación">
      <formula>NOT(ISERROR(SEARCH("Reasignación",K787)))</formula>
    </cfRule>
    <cfRule type="containsText" dxfId="8634" priority="8655" operator="containsText" text="RECHAZADA">
      <formula>NOT(ISERROR(SEARCH("RECHAZADA",K787)))</formula>
    </cfRule>
    <cfRule type="containsText" dxfId="8633" priority="8656" operator="containsText" text="Atendida">
      <formula>NOT(ISERROR(SEARCH("Atendida",K787)))</formula>
    </cfRule>
  </conditionalFormatting>
  <conditionalFormatting sqref="K788">
    <cfRule type="containsText" dxfId="8632" priority="8627" operator="containsText" text="Reasignación">
      <formula>NOT(ISERROR(SEARCH("Reasignación",K788)))</formula>
    </cfRule>
    <cfRule type="containsText" dxfId="8631" priority="8628" operator="containsText" text="RECHAZADA">
      <formula>NOT(ISERROR(SEARCH("RECHAZADA",K788)))</formula>
    </cfRule>
    <cfRule type="containsText" dxfId="8630" priority="8629" operator="containsText" text="Atendida">
      <formula>NOT(ISERROR(SEARCH("Atendida",K788)))</formula>
    </cfRule>
  </conditionalFormatting>
  <conditionalFormatting sqref="K788">
    <cfRule type="containsText" dxfId="8629" priority="8630" operator="containsText" text="Reasignación">
      <formula>NOT(ISERROR(SEARCH("Reasignación",K788)))</formula>
    </cfRule>
    <cfRule type="containsText" dxfId="8628" priority="8631" operator="containsText" text="RECHAZADA">
      <formula>NOT(ISERROR(SEARCH("RECHAZADA",K788)))</formula>
    </cfRule>
    <cfRule type="containsText" dxfId="8627" priority="8632" operator="containsText" text="Atendida">
      <formula>NOT(ISERROR(SEARCH("Atendida",K788)))</formula>
    </cfRule>
    <cfRule type="containsText" dxfId="8626" priority="8633" operator="containsText" text="Reasignación">
      <formula>NOT(ISERROR(SEARCH("Reasignación",K788)))</formula>
    </cfRule>
    <cfRule type="containsText" dxfId="8625" priority="8634" operator="containsText" text="RECHAZADA">
      <formula>NOT(ISERROR(SEARCH("RECHAZADA",K788)))</formula>
    </cfRule>
    <cfRule type="containsText" dxfId="8624" priority="8635" operator="containsText" text="Atendida">
      <formula>NOT(ISERROR(SEARCH("Atendida",K788)))</formula>
    </cfRule>
    <cfRule type="containsText" dxfId="8623" priority="8636" operator="containsText" text="Reasignación">
      <formula>NOT(ISERROR(SEARCH("Reasignación",K788)))</formula>
    </cfRule>
    <cfRule type="containsText" dxfId="8622" priority="8637" operator="containsText" text="RECHAZADA">
      <formula>NOT(ISERROR(SEARCH("RECHAZADA",K788)))</formula>
    </cfRule>
    <cfRule type="containsText" dxfId="8621" priority="8638" operator="containsText" text="Atendida">
      <formula>NOT(ISERROR(SEARCH("Atendida",K788)))</formula>
    </cfRule>
    <cfRule type="containsText" dxfId="8620" priority="8639" operator="containsText" text="Reasignación">
      <formula>NOT(ISERROR(SEARCH("Reasignación",K788)))</formula>
    </cfRule>
    <cfRule type="containsText" dxfId="8619" priority="8640" operator="containsText" text="RECHAZADA">
      <formula>NOT(ISERROR(SEARCH("RECHAZADA",K788)))</formula>
    </cfRule>
    <cfRule type="containsText" dxfId="8618" priority="8641" operator="containsText" text="Atendida">
      <formula>NOT(ISERROR(SEARCH("Atendida",K788)))</formula>
    </cfRule>
  </conditionalFormatting>
  <conditionalFormatting sqref="K789">
    <cfRule type="containsText" dxfId="8617" priority="8612" operator="containsText" text="Reasignación">
      <formula>NOT(ISERROR(SEARCH("Reasignación",K789)))</formula>
    </cfRule>
    <cfRule type="containsText" dxfId="8616" priority="8613" operator="containsText" text="RECHAZADA">
      <formula>NOT(ISERROR(SEARCH("RECHAZADA",K789)))</formula>
    </cfRule>
    <cfRule type="containsText" dxfId="8615" priority="8614" operator="containsText" text="Atendida">
      <formula>NOT(ISERROR(SEARCH("Atendida",K789)))</formula>
    </cfRule>
  </conditionalFormatting>
  <conditionalFormatting sqref="K789">
    <cfRule type="containsText" dxfId="8614" priority="8615" operator="containsText" text="Reasignación">
      <formula>NOT(ISERROR(SEARCH("Reasignación",K789)))</formula>
    </cfRule>
    <cfRule type="containsText" dxfId="8613" priority="8616" operator="containsText" text="RECHAZADA">
      <formula>NOT(ISERROR(SEARCH("RECHAZADA",K789)))</formula>
    </cfRule>
    <cfRule type="containsText" dxfId="8612" priority="8617" operator="containsText" text="Atendida">
      <formula>NOT(ISERROR(SEARCH("Atendida",K789)))</formula>
    </cfRule>
    <cfRule type="containsText" dxfId="8611" priority="8618" operator="containsText" text="Reasignación">
      <formula>NOT(ISERROR(SEARCH("Reasignación",K789)))</formula>
    </cfRule>
    <cfRule type="containsText" dxfId="8610" priority="8619" operator="containsText" text="RECHAZADA">
      <formula>NOT(ISERROR(SEARCH("RECHAZADA",K789)))</formula>
    </cfRule>
    <cfRule type="containsText" dxfId="8609" priority="8620" operator="containsText" text="Atendida">
      <formula>NOT(ISERROR(SEARCH("Atendida",K789)))</formula>
    </cfRule>
    <cfRule type="containsText" dxfId="8608" priority="8621" operator="containsText" text="Reasignación">
      <formula>NOT(ISERROR(SEARCH("Reasignación",K789)))</formula>
    </cfRule>
    <cfRule type="containsText" dxfId="8607" priority="8622" operator="containsText" text="RECHAZADA">
      <formula>NOT(ISERROR(SEARCH("RECHAZADA",K789)))</formula>
    </cfRule>
    <cfRule type="containsText" dxfId="8606" priority="8623" operator="containsText" text="Atendida">
      <formula>NOT(ISERROR(SEARCH("Atendida",K789)))</formula>
    </cfRule>
    <cfRule type="containsText" dxfId="8605" priority="8624" operator="containsText" text="Reasignación">
      <formula>NOT(ISERROR(SEARCH("Reasignación",K789)))</formula>
    </cfRule>
    <cfRule type="containsText" dxfId="8604" priority="8625" operator="containsText" text="RECHAZADA">
      <formula>NOT(ISERROR(SEARCH("RECHAZADA",K789)))</formula>
    </cfRule>
    <cfRule type="containsText" dxfId="8603" priority="8626" operator="containsText" text="Atendida">
      <formula>NOT(ISERROR(SEARCH("Atendida",K789)))</formula>
    </cfRule>
  </conditionalFormatting>
  <conditionalFormatting sqref="K790">
    <cfRule type="containsText" dxfId="8602" priority="8597" operator="containsText" text="Reasignación">
      <formula>NOT(ISERROR(SEARCH("Reasignación",K790)))</formula>
    </cfRule>
    <cfRule type="containsText" dxfId="8601" priority="8598" operator="containsText" text="RECHAZADA">
      <formula>NOT(ISERROR(SEARCH("RECHAZADA",K790)))</formula>
    </cfRule>
    <cfRule type="containsText" dxfId="8600" priority="8599" operator="containsText" text="Atendida">
      <formula>NOT(ISERROR(SEARCH("Atendida",K790)))</formula>
    </cfRule>
  </conditionalFormatting>
  <conditionalFormatting sqref="K790">
    <cfRule type="containsText" dxfId="8599" priority="8600" operator="containsText" text="Reasignación">
      <formula>NOT(ISERROR(SEARCH("Reasignación",K790)))</formula>
    </cfRule>
    <cfRule type="containsText" dxfId="8598" priority="8601" operator="containsText" text="RECHAZADA">
      <formula>NOT(ISERROR(SEARCH("RECHAZADA",K790)))</formula>
    </cfRule>
    <cfRule type="containsText" dxfId="8597" priority="8602" operator="containsText" text="Atendida">
      <formula>NOT(ISERROR(SEARCH("Atendida",K790)))</formula>
    </cfRule>
    <cfRule type="containsText" dxfId="8596" priority="8603" operator="containsText" text="Reasignación">
      <formula>NOT(ISERROR(SEARCH("Reasignación",K790)))</formula>
    </cfRule>
    <cfRule type="containsText" dxfId="8595" priority="8604" operator="containsText" text="RECHAZADA">
      <formula>NOT(ISERROR(SEARCH("RECHAZADA",K790)))</formula>
    </cfRule>
    <cfRule type="containsText" dxfId="8594" priority="8605" operator="containsText" text="Atendida">
      <formula>NOT(ISERROR(SEARCH("Atendida",K790)))</formula>
    </cfRule>
    <cfRule type="containsText" dxfId="8593" priority="8606" operator="containsText" text="Reasignación">
      <formula>NOT(ISERROR(SEARCH("Reasignación",K790)))</formula>
    </cfRule>
    <cfRule type="containsText" dxfId="8592" priority="8607" operator="containsText" text="RECHAZADA">
      <formula>NOT(ISERROR(SEARCH("RECHAZADA",K790)))</formula>
    </cfRule>
    <cfRule type="containsText" dxfId="8591" priority="8608" operator="containsText" text="Atendida">
      <formula>NOT(ISERROR(SEARCH("Atendida",K790)))</formula>
    </cfRule>
    <cfRule type="containsText" dxfId="8590" priority="8609" operator="containsText" text="Reasignación">
      <formula>NOT(ISERROR(SEARCH("Reasignación",K790)))</formula>
    </cfRule>
    <cfRule type="containsText" dxfId="8589" priority="8610" operator="containsText" text="RECHAZADA">
      <formula>NOT(ISERROR(SEARCH("RECHAZADA",K790)))</formula>
    </cfRule>
    <cfRule type="containsText" dxfId="8588" priority="8611" operator="containsText" text="Atendida">
      <formula>NOT(ISERROR(SEARCH("Atendida",K790)))</formula>
    </cfRule>
  </conditionalFormatting>
  <conditionalFormatting sqref="K791">
    <cfRule type="containsText" dxfId="8587" priority="8582" operator="containsText" text="Reasignación">
      <formula>NOT(ISERROR(SEARCH("Reasignación",K791)))</formula>
    </cfRule>
    <cfRule type="containsText" dxfId="8586" priority="8583" operator="containsText" text="RECHAZADA">
      <formula>NOT(ISERROR(SEARCH("RECHAZADA",K791)))</formula>
    </cfRule>
    <cfRule type="containsText" dxfId="8585" priority="8584" operator="containsText" text="Atendida">
      <formula>NOT(ISERROR(SEARCH("Atendida",K791)))</formula>
    </cfRule>
  </conditionalFormatting>
  <conditionalFormatting sqref="K791">
    <cfRule type="containsText" dxfId="8584" priority="8585" operator="containsText" text="Reasignación">
      <formula>NOT(ISERROR(SEARCH("Reasignación",K791)))</formula>
    </cfRule>
    <cfRule type="containsText" dxfId="8583" priority="8586" operator="containsText" text="RECHAZADA">
      <formula>NOT(ISERROR(SEARCH("RECHAZADA",K791)))</formula>
    </cfRule>
    <cfRule type="containsText" dxfId="8582" priority="8587" operator="containsText" text="Atendida">
      <formula>NOT(ISERROR(SEARCH("Atendida",K791)))</formula>
    </cfRule>
    <cfRule type="containsText" dxfId="8581" priority="8588" operator="containsText" text="Reasignación">
      <formula>NOT(ISERROR(SEARCH("Reasignación",K791)))</formula>
    </cfRule>
    <cfRule type="containsText" dxfId="8580" priority="8589" operator="containsText" text="RECHAZADA">
      <formula>NOT(ISERROR(SEARCH("RECHAZADA",K791)))</formula>
    </cfRule>
    <cfRule type="containsText" dxfId="8579" priority="8590" operator="containsText" text="Atendida">
      <formula>NOT(ISERROR(SEARCH("Atendida",K791)))</formula>
    </cfRule>
    <cfRule type="containsText" dxfId="8578" priority="8591" operator="containsText" text="Reasignación">
      <formula>NOT(ISERROR(SEARCH("Reasignación",K791)))</formula>
    </cfRule>
    <cfRule type="containsText" dxfId="8577" priority="8592" operator="containsText" text="RECHAZADA">
      <formula>NOT(ISERROR(SEARCH("RECHAZADA",K791)))</formula>
    </cfRule>
    <cfRule type="containsText" dxfId="8576" priority="8593" operator="containsText" text="Atendida">
      <formula>NOT(ISERROR(SEARCH("Atendida",K791)))</formula>
    </cfRule>
    <cfRule type="containsText" dxfId="8575" priority="8594" operator="containsText" text="Reasignación">
      <formula>NOT(ISERROR(SEARCH("Reasignación",K791)))</formula>
    </cfRule>
    <cfRule type="containsText" dxfId="8574" priority="8595" operator="containsText" text="RECHAZADA">
      <formula>NOT(ISERROR(SEARCH("RECHAZADA",K791)))</formula>
    </cfRule>
    <cfRule type="containsText" dxfId="8573" priority="8596" operator="containsText" text="Atendida">
      <formula>NOT(ISERROR(SEARCH("Atendida",K791)))</formula>
    </cfRule>
  </conditionalFormatting>
  <conditionalFormatting sqref="K792">
    <cfRule type="containsText" dxfId="8572" priority="8567" operator="containsText" text="Reasignación">
      <formula>NOT(ISERROR(SEARCH("Reasignación",K792)))</formula>
    </cfRule>
    <cfRule type="containsText" dxfId="8571" priority="8568" operator="containsText" text="RECHAZADA">
      <formula>NOT(ISERROR(SEARCH("RECHAZADA",K792)))</formula>
    </cfRule>
    <cfRule type="containsText" dxfId="8570" priority="8569" operator="containsText" text="Atendida">
      <formula>NOT(ISERROR(SEARCH("Atendida",K792)))</formula>
    </cfRule>
  </conditionalFormatting>
  <conditionalFormatting sqref="K792">
    <cfRule type="containsText" dxfId="8569" priority="8570" operator="containsText" text="Reasignación">
      <formula>NOT(ISERROR(SEARCH("Reasignación",K792)))</formula>
    </cfRule>
    <cfRule type="containsText" dxfId="8568" priority="8571" operator="containsText" text="RECHAZADA">
      <formula>NOT(ISERROR(SEARCH("RECHAZADA",K792)))</formula>
    </cfRule>
    <cfRule type="containsText" dxfId="8567" priority="8572" operator="containsText" text="Atendida">
      <formula>NOT(ISERROR(SEARCH("Atendida",K792)))</formula>
    </cfRule>
    <cfRule type="containsText" dxfId="8566" priority="8573" operator="containsText" text="Reasignación">
      <formula>NOT(ISERROR(SEARCH("Reasignación",K792)))</formula>
    </cfRule>
    <cfRule type="containsText" dxfId="8565" priority="8574" operator="containsText" text="RECHAZADA">
      <formula>NOT(ISERROR(SEARCH("RECHAZADA",K792)))</formula>
    </cfRule>
    <cfRule type="containsText" dxfId="8564" priority="8575" operator="containsText" text="Atendida">
      <formula>NOT(ISERROR(SEARCH("Atendida",K792)))</formula>
    </cfRule>
    <cfRule type="containsText" dxfId="8563" priority="8576" operator="containsText" text="Reasignación">
      <formula>NOT(ISERROR(SEARCH("Reasignación",K792)))</formula>
    </cfRule>
    <cfRule type="containsText" dxfId="8562" priority="8577" operator="containsText" text="RECHAZADA">
      <formula>NOT(ISERROR(SEARCH("RECHAZADA",K792)))</formula>
    </cfRule>
    <cfRule type="containsText" dxfId="8561" priority="8578" operator="containsText" text="Atendida">
      <formula>NOT(ISERROR(SEARCH("Atendida",K792)))</formula>
    </cfRule>
    <cfRule type="containsText" dxfId="8560" priority="8579" operator="containsText" text="Reasignación">
      <formula>NOT(ISERROR(SEARCH("Reasignación",K792)))</formula>
    </cfRule>
    <cfRule type="containsText" dxfId="8559" priority="8580" operator="containsText" text="RECHAZADA">
      <formula>NOT(ISERROR(SEARCH("RECHAZADA",K792)))</formula>
    </cfRule>
    <cfRule type="containsText" dxfId="8558" priority="8581" operator="containsText" text="Atendida">
      <formula>NOT(ISERROR(SEARCH("Atendida",K792)))</formula>
    </cfRule>
  </conditionalFormatting>
  <conditionalFormatting sqref="K793">
    <cfRule type="containsText" dxfId="8557" priority="8552" operator="containsText" text="Reasignación">
      <formula>NOT(ISERROR(SEARCH("Reasignación",K793)))</formula>
    </cfRule>
    <cfRule type="containsText" dxfId="8556" priority="8553" operator="containsText" text="RECHAZADA">
      <formula>NOT(ISERROR(SEARCH("RECHAZADA",K793)))</formula>
    </cfRule>
    <cfRule type="containsText" dxfId="8555" priority="8554" operator="containsText" text="Atendida">
      <formula>NOT(ISERROR(SEARCH("Atendida",K793)))</formula>
    </cfRule>
  </conditionalFormatting>
  <conditionalFormatting sqref="K793">
    <cfRule type="containsText" dxfId="8554" priority="8555" operator="containsText" text="Reasignación">
      <formula>NOT(ISERROR(SEARCH("Reasignación",K793)))</formula>
    </cfRule>
    <cfRule type="containsText" dxfId="8553" priority="8556" operator="containsText" text="RECHAZADA">
      <formula>NOT(ISERROR(SEARCH("RECHAZADA",K793)))</formula>
    </cfRule>
    <cfRule type="containsText" dxfId="8552" priority="8557" operator="containsText" text="Atendida">
      <formula>NOT(ISERROR(SEARCH("Atendida",K793)))</formula>
    </cfRule>
    <cfRule type="containsText" dxfId="8551" priority="8558" operator="containsText" text="Reasignación">
      <formula>NOT(ISERROR(SEARCH("Reasignación",K793)))</formula>
    </cfRule>
    <cfRule type="containsText" dxfId="8550" priority="8559" operator="containsText" text="RECHAZADA">
      <formula>NOT(ISERROR(SEARCH("RECHAZADA",K793)))</formula>
    </cfRule>
    <cfRule type="containsText" dxfId="8549" priority="8560" operator="containsText" text="Atendida">
      <formula>NOT(ISERROR(SEARCH("Atendida",K793)))</formula>
    </cfRule>
    <cfRule type="containsText" dxfId="8548" priority="8561" operator="containsText" text="Reasignación">
      <formula>NOT(ISERROR(SEARCH("Reasignación",K793)))</formula>
    </cfRule>
    <cfRule type="containsText" dxfId="8547" priority="8562" operator="containsText" text="RECHAZADA">
      <formula>NOT(ISERROR(SEARCH("RECHAZADA",K793)))</formula>
    </cfRule>
    <cfRule type="containsText" dxfId="8546" priority="8563" operator="containsText" text="Atendida">
      <formula>NOT(ISERROR(SEARCH("Atendida",K793)))</formula>
    </cfRule>
    <cfRule type="containsText" dxfId="8545" priority="8564" operator="containsText" text="Reasignación">
      <formula>NOT(ISERROR(SEARCH("Reasignación",K793)))</formula>
    </cfRule>
    <cfRule type="containsText" dxfId="8544" priority="8565" operator="containsText" text="RECHAZADA">
      <formula>NOT(ISERROR(SEARCH("RECHAZADA",K793)))</formula>
    </cfRule>
    <cfRule type="containsText" dxfId="8543" priority="8566" operator="containsText" text="Atendida">
      <formula>NOT(ISERROR(SEARCH("Atendida",K793)))</formula>
    </cfRule>
  </conditionalFormatting>
  <conditionalFormatting sqref="K794">
    <cfRule type="containsText" dxfId="8542" priority="8537" operator="containsText" text="Reasignación">
      <formula>NOT(ISERROR(SEARCH("Reasignación",K794)))</formula>
    </cfRule>
    <cfRule type="containsText" dxfId="8541" priority="8538" operator="containsText" text="RECHAZADA">
      <formula>NOT(ISERROR(SEARCH("RECHAZADA",K794)))</formula>
    </cfRule>
    <cfRule type="containsText" dxfId="8540" priority="8539" operator="containsText" text="Atendida">
      <formula>NOT(ISERROR(SEARCH("Atendida",K794)))</formula>
    </cfRule>
  </conditionalFormatting>
  <conditionalFormatting sqref="K794">
    <cfRule type="containsText" dxfId="8539" priority="8540" operator="containsText" text="Reasignación">
      <formula>NOT(ISERROR(SEARCH("Reasignación",K794)))</formula>
    </cfRule>
    <cfRule type="containsText" dxfId="8538" priority="8541" operator="containsText" text="RECHAZADA">
      <formula>NOT(ISERROR(SEARCH("RECHAZADA",K794)))</formula>
    </cfRule>
    <cfRule type="containsText" dxfId="8537" priority="8542" operator="containsText" text="Atendida">
      <formula>NOT(ISERROR(SEARCH("Atendida",K794)))</formula>
    </cfRule>
    <cfRule type="containsText" dxfId="8536" priority="8543" operator="containsText" text="Reasignación">
      <formula>NOT(ISERROR(SEARCH("Reasignación",K794)))</formula>
    </cfRule>
    <cfRule type="containsText" dxfId="8535" priority="8544" operator="containsText" text="RECHAZADA">
      <formula>NOT(ISERROR(SEARCH("RECHAZADA",K794)))</formula>
    </cfRule>
    <cfRule type="containsText" dxfId="8534" priority="8545" operator="containsText" text="Atendida">
      <formula>NOT(ISERROR(SEARCH("Atendida",K794)))</formula>
    </cfRule>
    <cfRule type="containsText" dxfId="8533" priority="8546" operator="containsText" text="Reasignación">
      <formula>NOT(ISERROR(SEARCH("Reasignación",K794)))</formula>
    </cfRule>
    <cfRule type="containsText" dxfId="8532" priority="8547" operator="containsText" text="RECHAZADA">
      <formula>NOT(ISERROR(SEARCH("RECHAZADA",K794)))</formula>
    </cfRule>
    <cfRule type="containsText" dxfId="8531" priority="8548" operator="containsText" text="Atendida">
      <formula>NOT(ISERROR(SEARCH("Atendida",K794)))</formula>
    </cfRule>
    <cfRule type="containsText" dxfId="8530" priority="8549" operator="containsText" text="Reasignación">
      <formula>NOT(ISERROR(SEARCH("Reasignación",K794)))</formula>
    </cfRule>
    <cfRule type="containsText" dxfId="8529" priority="8550" operator="containsText" text="RECHAZADA">
      <formula>NOT(ISERROR(SEARCH("RECHAZADA",K794)))</formula>
    </cfRule>
    <cfRule type="containsText" dxfId="8528" priority="8551" operator="containsText" text="Atendida">
      <formula>NOT(ISERROR(SEARCH("Atendida",K794)))</formula>
    </cfRule>
  </conditionalFormatting>
  <conditionalFormatting sqref="K795">
    <cfRule type="containsText" dxfId="8527" priority="8522" operator="containsText" text="Reasignación">
      <formula>NOT(ISERROR(SEARCH("Reasignación",K795)))</formula>
    </cfRule>
    <cfRule type="containsText" dxfId="8526" priority="8523" operator="containsText" text="RECHAZADA">
      <formula>NOT(ISERROR(SEARCH("RECHAZADA",K795)))</formula>
    </cfRule>
    <cfRule type="containsText" dxfId="8525" priority="8524" operator="containsText" text="Atendida">
      <formula>NOT(ISERROR(SEARCH("Atendida",K795)))</formula>
    </cfRule>
  </conditionalFormatting>
  <conditionalFormatting sqref="K795">
    <cfRule type="containsText" dxfId="8524" priority="8525" operator="containsText" text="Reasignación">
      <formula>NOT(ISERROR(SEARCH("Reasignación",K795)))</formula>
    </cfRule>
    <cfRule type="containsText" dxfId="8523" priority="8526" operator="containsText" text="RECHAZADA">
      <formula>NOT(ISERROR(SEARCH("RECHAZADA",K795)))</formula>
    </cfRule>
    <cfRule type="containsText" dxfId="8522" priority="8527" operator="containsText" text="Atendida">
      <formula>NOT(ISERROR(SEARCH("Atendida",K795)))</formula>
    </cfRule>
    <cfRule type="containsText" dxfId="8521" priority="8528" operator="containsText" text="Reasignación">
      <formula>NOT(ISERROR(SEARCH("Reasignación",K795)))</formula>
    </cfRule>
    <cfRule type="containsText" dxfId="8520" priority="8529" operator="containsText" text="RECHAZADA">
      <formula>NOT(ISERROR(SEARCH("RECHAZADA",K795)))</formula>
    </cfRule>
    <cfRule type="containsText" dxfId="8519" priority="8530" operator="containsText" text="Atendida">
      <formula>NOT(ISERROR(SEARCH("Atendida",K795)))</formula>
    </cfRule>
    <cfRule type="containsText" dxfId="8518" priority="8531" operator="containsText" text="Reasignación">
      <formula>NOT(ISERROR(SEARCH("Reasignación",K795)))</formula>
    </cfRule>
    <cfRule type="containsText" dxfId="8517" priority="8532" operator="containsText" text="RECHAZADA">
      <formula>NOT(ISERROR(SEARCH("RECHAZADA",K795)))</formula>
    </cfRule>
    <cfRule type="containsText" dxfId="8516" priority="8533" operator="containsText" text="Atendida">
      <formula>NOT(ISERROR(SEARCH("Atendida",K795)))</formula>
    </cfRule>
    <cfRule type="containsText" dxfId="8515" priority="8534" operator="containsText" text="Reasignación">
      <formula>NOT(ISERROR(SEARCH("Reasignación",K795)))</formula>
    </cfRule>
    <cfRule type="containsText" dxfId="8514" priority="8535" operator="containsText" text="RECHAZADA">
      <formula>NOT(ISERROR(SEARCH("RECHAZADA",K795)))</formula>
    </cfRule>
    <cfRule type="containsText" dxfId="8513" priority="8536" operator="containsText" text="Atendida">
      <formula>NOT(ISERROR(SEARCH("Atendida",K795)))</formula>
    </cfRule>
  </conditionalFormatting>
  <conditionalFormatting sqref="K796">
    <cfRule type="containsText" dxfId="8512" priority="8507" operator="containsText" text="Reasignación">
      <formula>NOT(ISERROR(SEARCH("Reasignación",K796)))</formula>
    </cfRule>
    <cfRule type="containsText" dxfId="8511" priority="8508" operator="containsText" text="RECHAZADA">
      <formula>NOT(ISERROR(SEARCH("RECHAZADA",K796)))</formula>
    </cfRule>
    <cfRule type="containsText" dxfId="8510" priority="8509" operator="containsText" text="Atendida">
      <formula>NOT(ISERROR(SEARCH("Atendida",K796)))</formula>
    </cfRule>
  </conditionalFormatting>
  <conditionalFormatting sqref="K796">
    <cfRule type="containsText" dxfId="8509" priority="8510" operator="containsText" text="Reasignación">
      <formula>NOT(ISERROR(SEARCH("Reasignación",K796)))</formula>
    </cfRule>
    <cfRule type="containsText" dxfId="8508" priority="8511" operator="containsText" text="RECHAZADA">
      <formula>NOT(ISERROR(SEARCH("RECHAZADA",K796)))</formula>
    </cfRule>
    <cfRule type="containsText" dxfId="8507" priority="8512" operator="containsText" text="Atendida">
      <formula>NOT(ISERROR(SEARCH("Atendida",K796)))</formula>
    </cfRule>
    <cfRule type="containsText" dxfId="8506" priority="8513" operator="containsText" text="Reasignación">
      <formula>NOT(ISERROR(SEARCH("Reasignación",K796)))</formula>
    </cfRule>
    <cfRule type="containsText" dxfId="8505" priority="8514" operator="containsText" text="RECHAZADA">
      <formula>NOT(ISERROR(SEARCH("RECHAZADA",K796)))</formula>
    </cfRule>
    <cfRule type="containsText" dxfId="8504" priority="8515" operator="containsText" text="Atendida">
      <formula>NOT(ISERROR(SEARCH("Atendida",K796)))</formula>
    </cfRule>
    <cfRule type="containsText" dxfId="8503" priority="8516" operator="containsText" text="Reasignación">
      <formula>NOT(ISERROR(SEARCH("Reasignación",K796)))</formula>
    </cfRule>
    <cfRule type="containsText" dxfId="8502" priority="8517" operator="containsText" text="RECHAZADA">
      <formula>NOT(ISERROR(SEARCH("RECHAZADA",K796)))</formula>
    </cfRule>
    <cfRule type="containsText" dxfId="8501" priority="8518" operator="containsText" text="Atendida">
      <formula>NOT(ISERROR(SEARCH("Atendida",K796)))</formula>
    </cfRule>
    <cfRule type="containsText" dxfId="8500" priority="8519" operator="containsText" text="Reasignación">
      <formula>NOT(ISERROR(SEARCH("Reasignación",K796)))</formula>
    </cfRule>
    <cfRule type="containsText" dxfId="8499" priority="8520" operator="containsText" text="RECHAZADA">
      <formula>NOT(ISERROR(SEARCH("RECHAZADA",K796)))</formula>
    </cfRule>
    <cfRule type="containsText" dxfId="8498" priority="8521" operator="containsText" text="Atendida">
      <formula>NOT(ISERROR(SEARCH("Atendida",K796)))</formula>
    </cfRule>
  </conditionalFormatting>
  <conditionalFormatting sqref="K797">
    <cfRule type="containsText" dxfId="8497" priority="8492" operator="containsText" text="Reasignación">
      <formula>NOT(ISERROR(SEARCH("Reasignación",K797)))</formula>
    </cfRule>
    <cfRule type="containsText" dxfId="8496" priority="8493" operator="containsText" text="RECHAZADA">
      <formula>NOT(ISERROR(SEARCH("RECHAZADA",K797)))</formula>
    </cfRule>
    <cfRule type="containsText" dxfId="8495" priority="8494" operator="containsText" text="Atendida">
      <formula>NOT(ISERROR(SEARCH("Atendida",K797)))</formula>
    </cfRule>
  </conditionalFormatting>
  <conditionalFormatting sqref="K797">
    <cfRule type="containsText" dxfId="8494" priority="8495" operator="containsText" text="Reasignación">
      <formula>NOT(ISERROR(SEARCH("Reasignación",K797)))</formula>
    </cfRule>
    <cfRule type="containsText" dxfId="8493" priority="8496" operator="containsText" text="RECHAZADA">
      <formula>NOT(ISERROR(SEARCH("RECHAZADA",K797)))</formula>
    </cfRule>
    <cfRule type="containsText" dxfId="8492" priority="8497" operator="containsText" text="Atendida">
      <formula>NOT(ISERROR(SEARCH("Atendida",K797)))</formula>
    </cfRule>
    <cfRule type="containsText" dxfId="8491" priority="8498" operator="containsText" text="Reasignación">
      <formula>NOT(ISERROR(SEARCH("Reasignación",K797)))</formula>
    </cfRule>
    <cfRule type="containsText" dxfId="8490" priority="8499" operator="containsText" text="RECHAZADA">
      <formula>NOT(ISERROR(SEARCH("RECHAZADA",K797)))</formula>
    </cfRule>
    <cfRule type="containsText" dxfId="8489" priority="8500" operator="containsText" text="Atendida">
      <formula>NOT(ISERROR(SEARCH("Atendida",K797)))</formula>
    </cfRule>
    <cfRule type="containsText" dxfId="8488" priority="8501" operator="containsText" text="Reasignación">
      <formula>NOT(ISERROR(SEARCH("Reasignación",K797)))</formula>
    </cfRule>
    <cfRule type="containsText" dxfId="8487" priority="8502" operator="containsText" text="RECHAZADA">
      <formula>NOT(ISERROR(SEARCH("RECHAZADA",K797)))</formula>
    </cfRule>
    <cfRule type="containsText" dxfId="8486" priority="8503" operator="containsText" text="Atendida">
      <formula>NOT(ISERROR(SEARCH("Atendida",K797)))</formula>
    </cfRule>
    <cfRule type="containsText" dxfId="8485" priority="8504" operator="containsText" text="Reasignación">
      <formula>NOT(ISERROR(SEARCH("Reasignación",K797)))</formula>
    </cfRule>
    <cfRule type="containsText" dxfId="8484" priority="8505" operator="containsText" text="RECHAZADA">
      <formula>NOT(ISERROR(SEARCH("RECHAZADA",K797)))</formula>
    </cfRule>
    <cfRule type="containsText" dxfId="8483" priority="8506" operator="containsText" text="Atendida">
      <formula>NOT(ISERROR(SEARCH("Atendida",K797)))</formula>
    </cfRule>
  </conditionalFormatting>
  <conditionalFormatting sqref="K798">
    <cfRule type="containsText" dxfId="8482" priority="8477" operator="containsText" text="Reasignación">
      <formula>NOT(ISERROR(SEARCH("Reasignación",K798)))</formula>
    </cfRule>
    <cfRule type="containsText" dxfId="8481" priority="8478" operator="containsText" text="RECHAZADA">
      <formula>NOT(ISERROR(SEARCH("RECHAZADA",K798)))</formula>
    </cfRule>
    <cfRule type="containsText" dxfId="8480" priority="8479" operator="containsText" text="Atendida">
      <formula>NOT(ISERROR(SEARCH("Atendida",K798)))</formula>
    </cfRule>
  </conditionalFormatting>
  <conditionalFormatting sqref="K798">
    <cfRule type="containsText" dxfId="8479" priority="8480" operator="containsText" text="Reasignación">
      <formula>NOT(ISERROR(SEARCH("Reasignación",K798)))</formula>
    </cfRule>
    <cfRule type="containsText" dxfId="8478" priority="8481" operator="containsText" text="RECHAZADA">
      <formula>NOT(ISERROR(SEARCH("RECHAZADA",K798)))</formula>
    </cfRule>
    <cfRule type="containsText" dxfId="8477" priority="8482" operator="containsText" text="Atendida">
      <formula>NOT(ISERROR(SEARCH("Atendida",K798)))</formula>
    </cfRule>
    <cfRule type="containsText" dxfId="8476" priority="8483" operator="containsText" text="Reasignación">
      <formula>NOT(ISERROR(SEARCH("Reasignación",K798)))</formula>
    </cfRule>
    <cfRule type="containsText" dxfId="8475" priority="8484" operator="containsText" text="RECHAZADA">
      <formula>NOT(ISERROR(SEARCH("RECHAZADA",K798)))</formula>
    </cfRule>
    <cfRule type="containsText" dxfId="8474" priority="8485" operator="containsText" text="Atendida">
      <formula>NOT(ISERROR(SEARCH("Atendida",K798)))</formula>
    </cfRule>
    <cfRule type="containsText" dxfId="8473" priority="8486" operator="containsText" text="Reasignación">
      <formula>NOT(ISERROR(SEARCH("Reasignación",K798)))</formula>
    </cfRule>
    <cfRule type="containsText" dxfId="8472" priority="8487" operator="containsText" text="RECHAZADA">
      <formula>NOT(ISERROR(SEARCH("RECHAZADA",K798)))</formula>
    </cfRule>
    <cfRule type="containsText" dxfId="8471" priority="8488" operator="containsText" text="Atendida">
      <formula>NOT(ISERROR(SEARCH("Atendida",K798)))</formula>
    </cfRule>
    <cfRule type="containsText" dxfId="8470" priority="8489" operator="containsText" text="Reasignación">
      <formula>NOT(ISERROR(SEARCH("Reasignación",K798)))</formula>
    </cfRule>
    <cfRule type="containsText" dxfId="8469" priority="8490" operator="containsText" text="RECHAZADA">
      <formula>NOT(ISERROR(SEARCH("RECHAZADA",K798)))</formula>
    </cfRule>
    <cfRule type="containsText" dxfId="8468" priority="8491" operator="containsText" text="Atendida">
      <formula>NOT(ISERROR(SEARCH("Atendida",K798)))</formula>
    </cfRule>
  </conditionalFormatting>
  <conditionalFormatting sqref="B799">
    <cfRule type="duplicateValues" dxfId="8467" priority="8476"/>
  </conditionalFormatting>
  <conditionalFormatting sqref="K799">
    <cfRule type="containsText" dxfId="8466" priority="8446" operator="containsText" text="Reasignación">
      <formula>NOT(ISERROR(SEARCH("Reasignación",K799)))</formula>
    </cfRule>
    <cfRule type="containsText" dxfId="8465" priority="8447" operator="containsText" text="RECHAZADA">
      <formula>NOT(ISERROR(SEARCH("RECHAZADA",K799)))</formula>
    </cfRule>
    <cfRule type="containsText" dxfId="8464" priority="8448" operator="containsText" text="Atendida">
      <formula>NOT(ISERROR(SEARCH("Atendida",K799)))</formula>
    </cfRule>
  </conditionalFormatting>
  <conditionalFormatting sqref="K799">
    <cfRule type="containsText" dxfId="8463" priority="8449" operator="containsText" text="Reasignación">
      <formula>NOT(ISERROR(SEARCH("Reasignación",K799)))</formula>
    </cfRule>
    <cfRule type="containsText" dxfId="8462" priority="8450" operator="containsText" text="RECHAZADA">
      <formula>NOT(ISERROR(SEARCH("RECHAZADA",K799)))</formula>
    </cfRule>
    <cfRule type="containsText" dxfId="8461" priority="8451" operator="containsText" text="Atendida">
      <formula>NOT(ISERROR(SEARCH("Atendida",K799)))</formula>
    </cfRule>
    <cfRule type="containsText" dxfId="8460" priority="8452" operator="containsText" text="Reasignación">
      <formula>NOT(ISERROR(SEARCH("Reasignación",K799)))</formula>
    </cfRule>
    <cfRule type="containsText" dxfId="8459" priority="8453" operator="containsText" text="RECHAZADA">
      <formula>NOT(ISERROR(SEARCH("RECHAZADA",K799)))</formula>
    </cfRule>
    <cfRule type="containsText" dxfId="8458" priority="8454" operator="containsText" text="Atendida">
      <formula>NOT(ISERROR(SEARCH("Atendida",K799)))</formula>
    </cfRule>
    <cfRule type="containsText" dxfId="8457" priority="8455" operator="containsText" text="Reasignación">
      <formula>NOT(ISERROR(SEARCH("Reasignación",K799)))</formula>
    </cfRule>
    <cfRule type="containsText" dxfId="8456" priority="8456" operator="containsText" text="RECHAZADA">
      <formula>NOT(ISERROR(SEARCH("RECHAZADA",K799)))</formula>
    </cfRule>
    <cfRule type="containsText" dxfId="8455" priority="8457" operator="containsText" text="Atendida">
      <formula>NOT(ISERROR(SEARCH("Atendida",K799)))</formula>
    </cfRule>
    <cfRule type="containsText" dxfId="8454" priority="8458" operator="containsText" text="Reasignación">
      <formula>NOT(ISERROR(SEARCH("Reasignación",K799)))</formula>
    </cfRule>
    <cfRule type="containsText" dxfId="8453" priority="8459" operator="containsText" text="RECHAZADA">
      <formula>NOT(ISERROR(SEARCH("RECHAZADA",K799)))</formula>
    </cfRule>
    <cfRule type="containsText" dxfId="8452" priority="8460" operator="containsText" text="Atendida">
      <formula>NOT(ISERROR(SEARCH("Atendida",K799)))</formula>
    </cfRule>
  </conditionalFormatting>
  <conditionalFormatting sqref="K799">
    <cfRule type="containsText" dxfId="8451" priority="8473" operator="containsText" text="Reasignación">
      <formula>NOT(ISERROR(SEARCH("Reasignación",K799)))</formula>
    </cfRule>
    <cfRule type="containsText" dxfId="8450" priority="8474" operator="containsText" text="RECHAZADA">
      <formula>NOT(ISERROR(SEARCH("RECHAZADA",K799)))</formula>
    </cfRule>
    <cfRule type="containsText" dxfId="8449" priority="8475" operator="containsText" text="Atendida">
      <formula>NOT(ISERROR(SEARCH("Atendida",K799)))</formula>
    </cfRule>
  </conditionalFormatting>
  <conditionalFormatting sqref="K799">
    <cfRule type="containsText" dxfId="8448" priority="8461" operator="containsText" text="Reasignación">
      <formula>NOT(ISERROR(SEARCH("Reasignación",K799)))</formula>
    </cfRule>
    <cfRule type="containsText" dxfId="8447" priority="8462" operator="containsText" text="RECHAZADA">
      <formula>NOT(ISERROR(SEARCH("RECHAZADA",K799)))</formula>
    </cfRule>
    <cfRule type="containsText" dxfId="8446" priority="8463" operator="containsText" text="Atendida">
      <formula>NOT(ISERROR(SEARCH("Atendida",K799)))</formula>
    </cfRule>
    <cfRule type="containsText" dxfId="8445" priority="8464" operator="containsText" text="Reasignación">
      <formula>NOT(ISERROR(SEARCH("Reasignación",K799)))</formula>
    </cfRule>
    <cfRule type="containsText" dxfId="8444" priority="8465" operator="containsText" text="RECHAZADA">
      <formula>NOT(ISERROR(SEARCH("RECHAZADA",K799)))</formula>
    </cfRule>
    <cfRule type="containsText" dxfId="8443" priority="8466" operator="containsText" text="Atendida">
      <formula>NOT(ISERROR(SEARCH("Atendida",K799)))</formula>
    </cfRule>
    <cfRule type="containsText" dxfId="8442" priority="8467" operator="containsText" text="Reasignación">
      <formula>NOT(ISERROR(SEARCH("Reasignación",K799)))</formula>
    </cfRule>
    <cfRule type="containsText" dxfId="8441" priority="8468" operator="containsText" text="RECHAZADA">
      <formula>NOT(ISERROR(SEARCH("RECHAZADA",K799)))</formula>
    </cfRule>
    <cfRule type="containsText" dxfId="8440" priority="8469" operator="containsText" text="Atendida">
      <formula>NOT(ISERROR(SEARCH("Atendida",K799)))</formula>
    </cfRule>
    <cfRule type="containsText" dxfId="8439" priority="8470" operator="containsText" text="Reasignación">
      <formula>NOT(ISERROR(SEARCH("Reasignación",K799)))</formula>
    </cfRule>
    <cfRule type="containsText" dxfId="8438" priority="8471" operator="containsText" text="RECHAZADA">
      <formula>NOT(ISERROR(SEARCH("RECHAZADA",K799)))</formula>
    </cfRule>
    <cfRule type="containsText" dxfId="8437" priority="8472" operator="containsText" text="Atendida">
      <formula>NOT(ISERROR(SEARCH("Atendida",K799)))</formula>
    </cfRule>
  </conditionalFormatting>
  <conditionalFormatting sqref="B800">
    <cfRule type="duplicateValues" dxfId="8436" priority="8445"/>
  </conditionalFormatting>
  <conditionalFormatting sqref="E800">
    <cfRule type="duplicateValues" dxfId="8435" priority="8440"/>
  </conditionalFormatting>
  <conditionalFormatting sqref="K800">
    <cfRule type="containsText" dxfId="8434" priority="8437" operator="containsText" text="Reasignación">
      <formula>NOT(ISERROR(SEARCH("Reasignación",K800)))</formula>
    </cfRule>
    <cfRule type="containsText" dxfId="8433" priority="8438" operator="containsText" text="RECHAZADA">
      <formula>NOT(ISERROR(SEARCH("RECHAZADA",K800)))</formula>
    </cfRule>
  </conditionalFormatting>
  <conditionalFormatting sqref="K800">
    <cfRule type="containsText" dxfId="8432" priority="8413" operator="containsText" text="Reasignación">
      <formula>NOT(ISERROR(SEARCH("Reasignación",K800)))</formula>
    </cfRule>
    <cfRule type="containsText" dxfId="8431" priority="8414" operator="containsText" text="RECHAZADA">
      <formula>NOT(ISERROR(SEARCH("RECHAZADA",K800)))</formula>
    </cfRule>
    <cfRule type="containsText" dxfId="8430" priority="8415" operator="containsText" text="Atendida">
      <formula>NOT(ISERROR(SEARCH("Atendida",K800)))</formula>
    </cfRule>
    <cfRule type="containsText" dxfId="8429" priority="8416" operator="containsText" text="Reasignación">
      <formula>NOT(ISERROR(SEARCH("Reasignación",K800)))</formula>
    </cfRule>
    <cfRule type="containsText" dxfId="8428" priority="8417" operator="containsText" text="RECHAZADA">
      <formula>NOT(ISERROR(SEARCH("RECHAZADA",K800)))</formula>
    </cfRule>
    <cfRule type="containsText" dxfId="8427" priority="8418" operator="containsText" text="Atendida">
      <formula>NOT(ISERROR(SEARCH("Atendida",K800)))</formula>
    </cfRule>
    <cfRule type="containsText" dxfId="8426" priority="8419" operator="containsText" text="Reasignación">
      <formula>NOT(ISERROR(SEARCH("Reasignación",K800)))</formula>
    </cfRule>
    <cfRule type="containsText" dxfId="8425" priority="8420" operator="containsText" text="RECHAZADA">
      <formula>NOT(ISERROR(SEARCH("RECHAZADA",K800)))</formula>
    </cfRule>
    <cfRule type="containsText" dxfId="8424" priority="8421" operator="containsText" text="Atendida">
      <formula>NOT(ISERROR(SEARCH("Atendida",K800)))</formula>
    </cfRule>
    <cfRule type="containsText" dxfId="8423" priority="8422" operator="containsText" text="Reasignación">
      <formula>NOT(ISERROR(SEARCH("Reasignación",K800)))</formula>
    </cfRule>
    <cfRule type="containsText" dxfId="8422" priority="8423" operator="containsText" text="RECHAZADA">
      <formula>NOT(ISERROR(SEARCH("RECHAZADA",K800)))</formula>
    </cfRule>
    <cfRule type="containsText" dxfId="8421" priority="8424" operator="containsText" text="Atendida">
      <formula>NOT(ISERROR(SEARCH("Atendida",K800)))</formula>
    </cfRule>
    <cfRule type="containsText" dxfId="8420" priority="8425" operator="containsText" text="Reasignación">
      <formula>NOT(ISERROR(SEARCH("Reasignación",K800)))</formula>
    </cfRule>
    <cfRule type="containsText" dxfId="8419" priority="8426" operator="containsText" text="RECHAZADA">
      <formula>NOT(ISERROR(SEARCH("RECHAZADA",K800)))</formula>
    </cfRule>
    <cfRule type="containsText" dxfId="8418" priority="8427" operator="containsText" text="Atendida">
      <formula>NOT(ISERROR(SEARCH("Atendida",K800)))</formula>
    </cfRule>
    <cfRule type="containsText" dxfId="8417" priority="8428" operator="containsText" text="Reasignación">
      <formula>NOT(ISERROR(SEARCH("Reasignación",K800)))</formula>
    </cfRule>
    <cfRule type="containsText" dxfId="8416" priority="8429" operator="containsText" text="RECHAZADA">
      <formula>NOT(ISERROR(SEARCH("RECHAZADA",K800)))</formula>
    </cfRule>
    <cfRule type="containsText" dxfId="8415" priority="8430" operator="containsText" text="Atendida">
      <formula>NOT(ISERROR(SEARCH("Atendida",K800)))</formula>
    </cfRule>
    <cfRule type="containsText" dxfId="8414" priority="8431" operator="containsText" text="Reasignación">
      <formula>NOT(ISERROR(SEARCH("Reasignación",K800)))</formula>
    </cfRule>
    <cfRule type="containsText" dxfId="8413" priority="8432" operator="containsText" text="RECHAZADA">
      <formula>NOT(ISERROR(SEARCH("RECHAZADA",K800)))</formula>
    </cfRule>
    <cfRule type="containsText" dxfId="8412" priority="8433" operator="containsText" text="Atendida">
      <formula>NOT(ISERROR(SEARCH("Atendida",K800)))</formula>
    </cfRule>
    <cfRule type="containsText" dxfId="8411" priority="8434" operator="containsText" text="Reasignación">
      <formula>NOT(ISERROR(SEARCH("Reasignación",K800)))</formula>
    </cfRule>
    <cfRule type="containsText" dxfId="8410" priority="8435" operator="containsText" text="RECHAZADA">
      <formula>NOT(ISERROR(SEARCH("RECHAZADA",K800)))</formula>
    </cfRule>
    <cfRule type="containsText" dxfId="8409" priority="8436" operator="containsText" text="Atendida">
      <formula>NOT(ISERROR(SEARCH("Atendida",K800)))</formula>
    </cfRule>
    <cfRule type="containsText" dxfId="8408" priority="8439" operator="containsText" text="Atendida">
      <formula>NOT(ISERROR(SEARCH("Atendida",K800)))</formula>
    </cfRule>
  </conditionalFormatting>
  <conditionalFormatting sqref="M800">
    <cfRule type="containsText" dxfId="8407" priority="8442" operator="containsText" text="CONFORME">
      <formula>NOT(ISERROR(SEARCH("CONFORME",M800)))</formula>
    </cfRule>
    <cfRule type="containsText" dxfId="8406" priority="8443" operator="containsText" text="RECHAZADA">
      <formula>NOT(ISERROR(SEARCH("RECHAZADA",M800)))</formula>
    </cfRule>
    <cfRule type="containsText" dxfId="8405" priority="8444" operator="containsText" text="Atendida">
      <formula>NOT(ISERROR(SEARCH("Atendida",M800)))</formula>
    </cfRule>
  </conditionalFormatting>
  <conditionalFormatting sqref="M809 M807 M804:M805 M800:M802">
    <cfRule type="containsText" dxfId="8404" priority="8441" operator="containsText" text="OBSERVADO">
      <formula>NOT(ISERROR(SEARCH("OBSERVADO",M800)))</formula>
    </cfRule>
  </conditionalFormatting>
  <conditionalFormatting sqref="E809 E807 E804:E805 E801:E802">
    <cfRule type="duplicateValues" dxfId="8403" priority="8408"/>
  </conditionalFormatting>
  <conditionalFormatting sqref="M809 M807 M804:M805 M801:M802">
    <cfRule type="containsText" dxfId="8402" priority="8411" operator="containsText" text="Atendida">
      <formula>NOT(ISERROR(SEARCH("Atendida",M801)))</formula>
    </cfRule>
  </conditionalFormatting>
  <conditionalFormatting sqref="M809 M807 M804:M805 M801:M802">
    <cfRule type="containsText" dxfId="8401" priority="8410" operator="containsText" text="RECHAZADA">
      <formula>NOT(ISERROR(SEARCH("RECHAZADA",M801)))</formula>
    </cfRule>
  </conditionalFormatting>
  <conditionalFormatting sqref="M809 M807 M804:M805 M801:M802">
    <cfRule type="containsText" dxfId="8400" priority="8409" operator="containsText" text="CONFORME">
      <formula>NOT(ISERROR(SEARCH("CONFORME",M801)))</formula>
    </cfRule>
  </conditionalFormatting>
  <conditionalFormatting sqref="K801">
    <cfRule type="containsText" dxfId="8399" priority="8390" operator="containsText" text="Reasignación">
      <formula>NOT(ISERROR(SEARCH("Reasignación",K801)))</formula>
    </cfRule>
    <cfRule type="containsText" dxfId="8398" priority="8391" operator="containsText" text="RECHAZADA">
      <formula>NOT(ISERROR(SEARCH("RECHAZADA",K801)))</formula>
    </cfRule>
    <cfRule type="containsText" dxfId="8397" priority="8392" operator="containsText" text="Atendida">
      <formula>NOT(ISERROR(SEARCH("Atendida",K801)))</formula>
    </cfRule>
  </conditionalFormatting>
  <conditionalFormatting sqref="K801">
    <cfRule type="containsText" dxfId="8396" priority="8393" operator="containsText" text="Reasignación">
      <formula>NOT(ISERROR(SEARCH("Reasignación",K801)))</formula>
    </cfRule>
    <cfRule type="containsText" dxfId="8395" priority="8394" operator="containsText" text="RECHAZADA">
      <formula>NOT(ISERROR(SEARCH("RECHAZADA",K801)))</formula>
    </cfRule>
    <cfRule type="containsText" dxfId="8394" priority="8395" operator="containsText" text="Atendida">
      <formula>NOT(ISERROR(SEARCH("Atendida",K801)))</formula>
    </cfRule>
    <cfRule type="containsText" dxfId="8393" priority="8396" operator="containsText" text="Reasignación">
      <formula>NOT(ISERROR(SEARCH("Reasignación",K801)))</formula>
    </cfRule>
    <cfRule type="containsText" dxfId="8392" priority="8397" operator="containsText" text="RECHAZADA">
      <formula>NOT(ISERROR(SEARCH("RECHAZADA",K801)))</formula>
    </cfRule>
    <cfRule type="containsText" dxfId="8391" priority="8398" operator="containsText" text="Atendida">
      <formula>NOT(ISERROR(SEARCH("Atendida",K801)))</formula>
    </cfRule>
    <cfRule type="containsText" dxfId="8390" priority="8399" operator="containsText" text="Reasignación">
      <formula>NOT(ISERROR(SEARCH("Reasignación",K801)))</formula>
    </cfRule>
    <cfRule type="containsText" dxfId="8389" priority="8400" operator="containsText" text="RECHAZADA">
      <formula>NOT(ISERROR(SEARCH("RECHAZADA",K801)))</formula>
    </cfRule>
    <cfRule type="containsText" dxfId="8388" priority="8401" operator="containsText" text="Atendida">
      <formula>NOT(ISERROR(SEARCH("Atendida",K801)))</formula>
    </cfRule>
    <cfRule type="containsText" dxfId="8387" priority="8402" operator="containsText" text="Reasignación">
      <formula>NOT(ISERROR(SEARCH("Reasignación",K801)))</formula>
    </cfRule>
    <cfRule type="containsText" dxfId="8386" priority="8403" operator="containsText" text="RECHAZADA">
      <formula>NOT(ISERROR(SEARCH("RECHAZADA",K801)))</formula>
    </cfRule>
    <cfRule type="containsText" dxfId="8385" priority="8404" operator="containsText" text="Atendida">
      <formula>NOT(ISERROR(SEARCH("Atendida",K801)))</formula>
    </cfRule>
  </conditionalFormatting>
  <conditionalFormatting sqref="K801">
    <cfRule type="containsText" dxfId="8384" priority="8405" operator="containsText" text="Reasignación">
      <formula>NOT(ISERROR(SEARCH("Reasignación",K801)))</formula>
    </cfRule>
    <cfRule type="containsText" dxfId="8383" priority="8406" operator="containsText" text="RECHAZADA">
      <formula>NOT(ISERROR(SEARCH("RECHAZADA",K801)))</formula>
    </cfRule>
    <cfRule type="containsText" dxfId="8382" priority="8407" operator="containsText" text="Atendida">
      <formula>NOT(ISERROR(SEARCH("Atendida",K801)))</formula>
    </cfRule>
  </conditionalFormatting>
  <conditionalFormatting sqref="B801">
    <cfRule type="duplicateValues" dxfId="8381" priority="8412"/>
  </conditionalFormatting>
  <conditionalFormatting sqref="B807 B804:B805 B802">
    <cfRule type="duplicateValues" dxfId="8380" priority="8389"/>
  </conditionalFormatting>
  <conditionalFormatting sqref="K802">
    <cfRule type="containsText" dxfId="8379" priority="8371" operator="containsText" text="Reasignación">
      <formula>NOT(ISERROR(SEARCH("Reasignación",K802)))</formula>
    </cfRule>
    <cfRule type="containsText" dxfId="8378" priority="8372" operator="containsText" text="RECHAZADA">
      <formula>NOT(ISERROR(SEARCH("RECHAZADA",K802)))</formula>
    </cfRule>
    <cfRule type="containsText" dxfId="8377" priority="8373" operator="containsText" text="Atendida">
      <formula>NOT(ISERROR(SEARCH("Atendida",K802)))</formula>
    </cfRule>
  </conditionalFormatting>
  <conditionalFormatting sqref="K802">
    <cfRule type="containsText" dxfId="8376" priority="8374" operator="containsText" text="Reasignación">
      <formula>NOT(ISERROR(SEARCH("Reasignación",K802)))</formula>
    </cfRule>
    <cfRule type="containsText" dxfId="8375" priority="8375" operator="containsText" text="RECHAZADA">
      <formula>NOT(ISERROR(SEARCH("RECHAZADA",K802)))</formula>
    </cfRule>
    <cfRule type="containsText" dxfId="8374" priority="8376" operator="containsText" text="Atendida">
      <formula>NOT(ISERROR(SEARCH("Atendida",K802)))</formula>
    </cfRule>
    <cfRule type="containsText" dxfId="8373" priority="8377" operator="containsText" text="Reasignación">
      <formula>NOT(ISERROR(SEARCH("Reasignación",K802)))</formula>
    </cfRule>
    <cfRule type="containsText" dxfId="8372" priority="8378" operator="containsText" text="RECHAZADA">
      <formula>NOT(ISERROR(SEARCH("RECHAZADA",K802)))</formula>
    </cfRule>
    <cfRule type="containsText" dxfId="8371" priority="8379" operator="containsText" text="Atendida">
      <formula>NOT(ISERROR(SEARCH("Atendida",K802)))</formula>
    </cfRule>
    <cfRule type="containsText" dxfId="8370" priority="8380" operator="containsText" text="Reasignación">
      <formula>NOT(ISERROR(SEARCH("Reasignación",K802)))</formula>
    </cfRule>
    <cfRule type="containsText" dxfId="8369" priority="8381" operator="containsText" text="RECHAZADA">
      <formula>NOT(ISERROR(SEARCH("RECHAZADA",K802)))</formula>
    </cfRule>
    <cfRule type="containsText" dxfId="8368" priority="8382" operator="containsText" text="Atendida">
      <formula>NOT(ISERROR(SEARCH("Atendida",K802)))</formula>
    </cfRule>
    <cfRule type="containsText" dxfId="8367" priority="8383" operator="containsText" text="Reasignación">
      <formula>NOT(ISERROR(SEARCH("Reasignación",K802)))</formula>
    </cfRule>
    <cfRule type="containsText" dxfId="8366" priority="8384" operator="containsText" text="RECHAZADA">
      <formula>NOT(ISERROR(SEARCH("RECHAZADA",K802)))</formula>
    </cfRule>
    <cfRule type="containsText" dxfId="8365" priority="8385" operator="containsText" text="Atendida">
      <formula>NOT(ISERROR(SEARCH("Atendida",K802)))</formula>
    </cfRule>
  </conditionalFormatting>
  <conditionalFormatting sqref="K802">
    <cfRule type="containsText" dxfId="8364" priority="8386" operator="containsText" text="Reasignación">
      <formula>NOT(ISERROR(SEARCH("Reasignación",K802)))</formula>
    </cfRule>
    <cfRule type="containsText" dxfId="8363" priority="8387" operator="containsText" text="RECHAZADA">
      <formula>NOT(ISERROR(SEARCH("RECHAZADA",K802)))</formula>
    </cfRule>
    <cfRule type="containsText" dxfId="8362" priority="8388" operator="containsText" text="Atendida">
      <formula>NOT(ISERROR(SEARCH("Atendida",K802)))</formula>
    </cfRule>
  </conditionalFormatting>
  <conditionalFormatting sqref="B803">
    <cfRule type="duplicateValues" dxfId="8361" priority="8370"/>
  </conditionalFormatting>
  <conditionalFormatting sqref="E803">
    <cfRule type="duplicateValues" dxfId="8360" priority="8366"/>
  </conditionalFormatting>
  <conditionalFormatting sqref="M803">
    <cfRule type="containsText" dxfId="8359" priority="8369" operator="containsText" text="Atendida">
      <formula>NOT(ISERROR(SEARCH("Atendida",M803)))</formula>
    </cfRule>
  </conditionalFormatting>
  <conditionalFormatting sqref="M803">
    <cfRule type="containsText" dxfId="8358" priority="8368" operator="containsText" text="RECHAZADA">
      <formula>NOT(ISERROR(SEARCH("RECHAZADA",M803)))</formula>
    </cfRule>
  </conditionalFormatting>
  <conditionalFormatting sqref="M803">
    <cfRule type="containsText" dxfId="8357" priority="8367" operator="containsText" text="CONFORME">
      <formula>NOT(ISERROR(SEARCH("CONFORME",M803)))</formula>
    </cfRule>
  </conditionalFormatting>
  <conditionalFormatting sqref="M803">
    <cfRule type="containsText" dxfId="8356" priority="8365" operator="containsText" text="OBSERVADO">
      <formula>NOT(ISERROR(SEARCH("OBSERVADO",M803)))</formula>
    </cfRule>
  </conditionalFormatting>
  <conditionalFormatting sqref="K803">
    <cfRule type="containsText" dxfId="8355" priority="8350" operator="containsText" text="Reasignación">
      <formula>NOT(ISERROR(SEARCH("Reasignación",K803)))</formula>
    </cfRule>
    <cfRule type="containsText" dxfId="8354" priority="8351" operator="containsText" text="RECHAZADA">
      <formula>NOT(ISERROR(SEARCH("RECHAZADA",K803)))</formula>
    </cfRule>
    <cfRule type="containsText" dxfId="8353" priority="8352" operator="containsText" text="Atendida">
      <formula>NOT(ISERROR(SEARCH("Atendida",K803)))</formula>
    </cfRule>
  </conditionalFormatting>
  <conditionalFormatting sqref="K803">
    <cfRule type="containsText" dxfId="8352" priority="8353" operator="containsText" text="Reasignación">
      <formula>NOT(ISERROR(SEARCH("Reasignación",K803)))</formula>
    </cfRule>
    <cfRule type="containsText" dxfId="8351" priority="8354" operator="containsText" text="RECHAZADA">
      <formula>NOT(ISERROR(SEARCH("RECHAZADA",K803)))</formula>
    </cfRule>
    <cfRule type="containsText" dxfId="8350" priority="8355" operator="containsText" text="Atendida">
      <formula>NOT(ISERROR(SEARCH("Atendida",K803)))</formula>
    </cfRule>
    <cfRule type="containsText" dxfId="8349" priority="8356" operator="containsText" text="Reasignación">
      <formula>NOT(ISERROR(SEARCH("Reasignación",K803)))</formula>
    </cfRule>
    <cfRule type="containsText" dxfId="8348" priority="8357" operator="containsText" text="RECHAZADA">
      <formula>NOT(ISERROR(SEARCH("RECHAZADA",K803)))</formula>
    </cfRule>
    <cfRule type="containsText" dxfId="8347" priority="8358" operator="containsText" text="Atendida">
      <formula>NOT(ISERROR(SEARCH("Atendida",K803)))</formula>
    </cfRule>
    <cfRule type="containsText" dxfId="8346" priority="8359" operator="containsText" text="Reasignación">
      <formula>NOT(ISERROR(SEARCH("Reasignación",K803)))</formula>
    </cfRule>
    <cfRule type="containsText" dxfId="8345" priority="8360" operator="containsText" text="RECHAZADA">
      <formula>NOT(ISERROR(SEARCH("RECHAZADA",K803)))</formula>
    </cfRule>
    <cfRule type="containsText" dxfId="8344" priority="8361" operator="containsText" text="Atendida">
      <formula>NOT(ISERROR(SEARCH("Atendida",K803)))</formula>
    </cfRule>
    <cfRule type="containsText" dxfId="8343" priority="8362" operator="containsText" text="Reasignación">
      <formula>NOT(ISERROR(SEARCH("Reasignación",K803)))</formula>
    </cfRule>
    <cfRule type="containsText" dxfId="8342" priority="8363" operator="containsText" text="RECHAZADA">
      <formula>NOT(ISERROR(SEARCH("RECHAZADA",K803)))</formula>
    </cfRule>
    <cfRule type="containsText" dxfId="8341" priority="8364" operator="containsText" text="Atendida">
      <formula>NOT(ISERROR(SEARCH("Atendida",K803)))</formula>
    </cfRule>
  </conditionalFormatting>
  <conditionalFormatting sqref="K804">
    <cfRule type="containsText" dxfId="8340" priority="8335" operator="containsText" text="Reasignación">
      <formula>NOT(ISERROR(SEARCH("Reasignación",K804)))</formula>
    </cfRule>
    <cfRule type="containsText" dxfId="8339" priority="8336" operator="containsText" text="RECHAZADA">
      <formula>NOT(ISERROR(SEARCH("RECHAZADA",K804)))</formula>
    </cfRule>
    <cfRule type="containsText" dxfId="8338" priority="8337" operator="containsText" text="Atendida">
      <formula>NOT(ISERROR(SEARCH("Atendida",K804)))</formula>
    </cfRule>
  </conditionalFormatting>
  <conditionalFormatting sqref="K804">
    <cfRule type="containsText" dxfId="8337" priority="8338" operator="containsText" text="Reasignación">
      <formula>NOT(ISERROR(SEARCH("Reasignación",K804)))</formula>
    </cfRule>
    <cfRule type="containsText" dxfId="8336" priority="8339" operator="containsText" text="RECHAZADA">
      <formula>NOT(ISERROR(SEARCH("RECHAZADA",K804)))</formula>
    </cfRule>
    <cfRule type="containsText" dxfId="8335" priority="8340" operator="containsText" text="Atendida">
      <formula>NOT(ISERROR(SEARCH("Atendida",K804)))</formula>
    </cfRule>
    <cfRule type="containsText" dxfId="8334" priority="8341" operator="containsText" text="Reasignación">
      <formula>NOT(ISERROR(SEARCH("Reasignación",K804)))</formula>
    </cfRule>
    <cfRule type="containsText" dxfId="8333" priority="8342" operator="containsText" text="RECHAZADA">
      <formula>NOT(ISERROR(SEARCH("RECHAZADA",K804)))</formula>
    </cfRule>
    <cfRule type="containsText" dxfId="8332" priority="8343" operator="containsText" text="Atendida">
      <formula>NOT(ISERROR(SEARCH("Atendida",K804)))</formula>
    </cfRule>
    <cfRule type="containsText" dxfId="8331" priority="8344" operator="containsText" text="Reasignación">
      <formula>NOT(ISERROR(SEARCH("Reasignación",K804)))</formula>
    </cfRule>
    <cfRule type="containsText" dxfId="8330" priority="8345" operator="containsText" text="RECHAZADA">
      <formula>NOT(ISERROR(SEARCH("RECHAZADA",K804)))</formula>
    </cfRule>
    <cfRule type="containsText" dxfId="8329" priority="8346" operator="containsText" text="Atendida">
      <formula>NOT(ISERROR(SEARCH("Atendida",K804)))</formula>
    </cfRule>
    <cfRule type="containsText" dxfId="8328" priority="8347" operator="containsText" text="Reasignación">
      <formula>NOT(ISERROR(SEARCH("Reasignación",K804)))</formula>
    </cfRule>
    <cfRule type="containsText" dxfId="8327" priority="8348" operator="containsText" text="RECHAZADA">
      <formula>NOT(ISERROR(SEARCH("RECHAZADA",K804)))</formula>
    </cfRule>
    <cfRule type="containsText" dxfId="8326" priority="8349" operator="containsText" text="Atendida">
      <formula>NOT(ISERROR(SEARCH("Atendida",K804)))</formula>
    </cfRule>
  </conditionalFormatting>
  <conditionalFormatting sqref="K805">
    <cfRule type="containsText" dxfId="8325" priority="8320" operator="containsText" text="Reasignación">
      <formula>NOT(ISERROR(SEARCH("Reasignación",K805)))</formula>
    </cfRule>
    <cfRule type="containsText" dxfId="8324" priority="8321" operator="containsText" text="RECHAZADA">
      <formula>NOT(ISERROR(SEARCH("RECHAZADA",K805)))</formula>
    </cfRule>
    <cfRule type="containsText" dxfId="8323" priority="8322" operator="containsText" text="Atendida">
      <formula>NOT(ISERROR(SEARCH("Atendida",K805)))</formula>
    </cfRule>
  </conditionalFormatting>
  <conditionalFormatting sqref="K805">
    <cfRule type="containsText" dxfId="8322" priority="8323" operator="containsText" text="Reasignación">
      <formula>NOT(ISERROR(SEARCH("Reasignación",K805)))</formula>
    </cfRule>
    <cfRule type="containsText" dxfId="8321" priority="8324" operator="containsText" text="RECHAZADA">
      <formula>NOT(ISERROR(SEARCH("RECHAZADA",K805)))</formula>
    </cfRule>
    <cfRule type="containsText" dxfId="8320" priority="8325" operator="containsText" text="Atendida">
      <formula>NOT(ISERROR(SEARCH("Atendida",K805)))</formula>
    </cfRule>
    <cfRule type="containsText" dxfId="8319" priority="8326" operator="containsText" text="Reasignación">
      <formula>NOT(ISERROR(SEARCH("Reasignación",K805)))</formula>
    </cfRule>
    <cfRule type="containsText" dxfId="8318" priority="8327" operator="containsText" text="RECHAZADA">
      <formula>NOT(ISERROR(SEARCH("RECHAZADA",K805)))</formula>
    </cfRule>
    <cfRule type="containsText" dxfId="8317" priority="8328" operator="containsText" text="Atendida">
      <formula>NOT(ISERROR(SEARCH("Atendida",K805)))</formula>
    </cfRule>
    <cfRule type="containsText" dxfId="8316" priority="8329" operator="containsText" text="Reasignación">
      <formula>NOT(ISERROR(SEARCH("Reasignación",K805)))</formula>
    </cfRule>
    <cfRule type="containsText" dxfId="8315" priority="8330" operator="containsText" text="RECHAZADA">
      <formula>NOT(ISERROR(SEARCH("RECHAZADA",K805)))</formula>
    </cfRule>
    <cfRule type="containsText" dxfId="8314" priority="8331" operator="containsText" text="Atendida">
      <formula>NOT(ISERROR(SEARCH("Atendida",K805)))</formula>
    </cfRule>
    <cfRule type="containsText" dxfId="8313" priority="8332" operator="containsText" text="Reasignación">
      <formula>NOT(ISERROR(SEARCH("Reasignación",K805)))</formula>
    </cfRule>
    <cfRule type="containsText" dxfId="8312" priority="8333" operator="containsText" text="RECHAZADA">
      <formula>NOT(ISERROR(SEARCH("RECHAZADA",K805)))</formula>
    </cfRule>
    <cfRule type="containsText" dxfId="8311" priority="8334" operator="containsText" text="Atendida">
      <formula>NOT(ISERROR(SEARCH("Atendida",K805)))</formula>
    </cfRule>
  </conditionalFormatting>
  <conditionalFormatting sqref="B806">
    <cfRule type="duplicateValues" dxfId="8310" priority="8319"/>
  </conditionalFormatting>
  <conditionalFormatting sqref="E806">
    <cfRule type="duplicateValues" dxfId="8309" priority="8315"/>
  </conditionalFormatting>
  <conditionalFormatting sqref="M806">
    <cfRule type="containsText" dxfId="8308" priority="8318" operator="containsText" text="Atendida">
      <formula>NOT(ISERROR(SEARCH("Atendida",M806)))</formula>
    </cfRule>
  </conditionalFormatting>
  <conditionalFormatting sqref="M806">
    <cfRule type="containsText" dxfId="8307" priority="8317" operator="containsText" text="RECHAZADA">
      <formula>NOT(ISERROR(SEARCH("RECHAZADA",M806)))</formula>
    </cfRule>
  </conditionalFormatting>
  <conditionalFormatting sqref="M806">
    <cfRule type="containsText" dxfId="8306" priority="8316" operator="containsText" text="CONFORME">
      <formula>NOT(ISERROR(SEARCH("CONFORME",M806)))</formula>
    </cfRule>
  </conditionalFormatting>
  <conditionalFormatting sqref="M806">
    <cfRule type="containsText" dxfId="8305" priority="8314" operator="containsText" text="OBSERVADO">
      <formula>NOT(ISERROR(SEARCH("OBSERVADO",M806)))</formula>
    </cfRule>
  </conditionalFormatting>
  <conditionalFormatting sqref="K806">
    <cfRule type="containsText" dxfId="8304" priority="8284" operator="containsText" text="Reasignación">
      <formula>NOT(ISERROR(SEARCH("Reasignación",K806)))</formula>
    </cfRule>
    <cfRule type="containsText" dxfId="8303" priority="8285" operator="containsText" text="RECHAZADA">
      <formula>NOT(ISERROR(SEARCH("RECHAZADA",K806)))</formula>
    </cfRule>
    <cfRule type="containsText" dxfId="8302" priority="8286" operator="containsText" text="Atendida">
      <formula>NOT(ISERROR(SEARCH("Atendida",K806)))</formula>
    </cfRule>
  </conditionalFormatting>
  <conditionalFormatting sqref="K806">
    <cfRule type="containsText" dxfId="8301" priority="8287" operator="containsText" text="Reasignación">
      <formula>NOT(ISERROR(SEARCH("Reasignación",K806)))</formula>
    </cfRule>
    <cfRule type="containsText" dxfId="8300" priority="8288" operator="containsText" text="RECHAZADA">
      <formula>NOT(ISERROR(SEARCH("RECHAZADA",K806)))</formula>
    </cfRule>
    <cfRule type="containsText" dxfId="8299" priority="8289" operator="containsText" text="Atendida">
      <formula>NOT(ISERROR(SEARCH("Atendida",K806)))</formula>
    </cfRule>
    <cfRule type="containsText" dxfId="8298" priority="8290" operator="containsText" text="Reasignación">
      <formula>NOT(ISERROR(SEARCH("Reasignación",K806)))</formula>
    </cfRule>
    <cfRule type="containsText" dxfId="8297" priority="8291" operator="containsText" text="RECHAZADA">
      <formula>NOT(ISERROR(SEARCH("RECHAZADA",K806)))</formula>
    </cfRule>
    <cfRule type="containsText" dxfId="8296" priority="8292" operator="containsText" text="Atendida">
      <formula>NOT(ISERROR(SEARCH("Atendida",K806)))</formula>
    </cfRule>
    <cfRule type="containsText" dxfId="8295" priority="8293" operator="containsText" text="Reasignación">
      <formula>NOT(ISERROR(SEARCH("Reasignación",K806)))</formula>
    </cfRule>
    <cfRule type="containsText" dxfId="8294" priority="8294" operator="containsText" text="RECHAZADA">
      <formula>NOT(ISERROR(SEARCH("RECHAZADA",K806)))</formula>
    </cfRule>
    <cfRule type="containsText" dxfId="8293" priority="8295" operator="containsText" text="Atendida">
      <formula>NOT(ISERROR(SEARCH("Atendida",K806)))</formula>
    </cfRule>
    <cfRule type="containsText" dxfId="8292" priority="8296" operator="containsText" text="Reasignación">
      <formula>NOT(ISERROR(SEARCH("Reasignación",K806)))</formula>
    </cfRule>
    <cfRule type="containsText" dxfId="8291" priority="8297" operator="containsText" text="RECHAZADA">
      <formula>NOT(ISERROR(SEARCH("RECHAZADA",K806)))</formula>
    </cfRule>
    <cfRule type="containsText" dxfId="8290" priority="8298" operator="containsText" text="Atendida">
      <formula>NOT(ISERROR(SEARCH("Atendida",K806)))</formula>
    </cfRule>
  </conditionalFormatting>
  <conditionalFormatting sqref="K806">
    <cfRule type="containsText" dxfId="8289" priority="8311" operator="containsText" text="Reasignación">
      <formula>NOT(ISERROR(SEARCH("Reasignación",K806)))</formula>
    </cfRule>
    <cfRule type="containsText" dxfId="8288" priority="8312" operator="containsText" text="RECHAZADA">
      <formula>NOT(ISERROR(SEARCH("RECHAZADA",K806)))</formula>
    </cfRule>
    <cfRule type="containsText" dxfId="8287" priority="8313" operator="containsText" text="Atendida">
      <formula>NOT(ISERROR(SEARCH("Atendida",K806)))</formula>
    </cfRule>
  </conditionalFormatting>
  <conditionalFormatting sqref="K806">
    <cfRule type="containsText" dxfId="8286" priority="8299" operator="containsText" text="Reasignación">
      <formula>NOT(ISERROR(SEARCH("Reasignación",K806)))</formula>
    </cfRule>
    <cfRule type="containsText" dxfId="8285" priority="8300" operator="containsText" text="RECHAZADA">
      <formula>NOT(ISERROR(SEARCH("RECHAZADA",K806)))</formula>
    </cfRule>
    <cfRule type="containsText" dxfId="8284" priority="8301" operator="containsText" text="Atendida">
      <formula>NOT(ISERROR(SEARCH("Atendida",K806)))</formula>
    </cfRule>
    <cfRule type="containsText" dxfId="8283" priority="8302" operator="containsText" text="Reasignación">
      <formula>NOT(ISERROR(SEARCH("Reasignación",K806)))</formula>
    </cfRule>
    <cfRule type="containsText" dxfId="8282" priority="8303" operator="containsText" text="RECHAZADA">
      <formula>NOT(ISERROR(SEARCH("RECHAZADA",K806)))</formula>
    </cfRule>
    <cfRule type="containsText" dxfId="8281" priority="8304" operator="containsText" text="Atendida">
      <formula>NOT(ISERROR(SEARCH("Atendida",K806)))</formula>
    </cfRule>
    <cfRule type="containsText" dxfId="8280" priority="8305" operator="containsText" text="Reasignación">
      <formula>NOT(ISERROR(SEARCH("Reasignación",K806)))</formula>
    </cfRule>
    <cfRule type="containsText" dxfId="8279" priority="8306" operator="containsText" text="RECHAZADA">
      <formula>NOT(ISERROR(SEARCH("RECHAZADA",K806)))</formula>
    </cfRule>
    <cfRule type="containsText" dxfId="8278" priority="8307" operator="containsText" text="Atendida">
      <formula>NOT(ISERROR(SEARCH("Atendida",K806)))</formula>
    </cfRule>
    <cfRule type="containsText" dxfId="8277" priority="8308" operator="containsText" text="Reasignación">
      <formula>NOT(ISERROR(SEARCH("Reasignación",K806)))</formula>
    </cfRule>
    <cfRule type="containsText" dxfId="8276" priority="8309" operator="containsText" text="RECHAZADA">
      <formula>NOT(ISERROR(SEARCH("RECHAZADA",K806)))</formula>
    </cfRule>
    <cfRule type="containsText" dxfId="8275" priority="8310" operator="containsText" text="Atendida">
      <formula>NOT(ISERROR(SEARCH("Atendida",K806)))</formula>
    </cfRule>
  </conditionalFormatting>
  <conditionalFormatting sqref="K807">
    <cfRule type="containsText" dxfId="8274" priority="8254" operator="containsText" text="Reasignación">
      <formula>NOT(ISERROR(SEARCH("Reasignación",K807)))</formula>
    </cfRule>
    <cfRule type="containsText" dxfId="8273" priority="8255" operator="containsText" text="RECHAZADA">
      <formula>NOT(ISERROR(SEARCH("RECHAZADA",K807)))</formula>
    </cfRule>
    <cfRule type="containsText" dxfId="8272" priority="8256" operator="containsText" text="Atendida">
      <formula>NOT(ISERROR(SEARCH("Atendida",K807)))</formula>
    </cfRule>
  </conditionalFormatting>
  <conditionalFormatting sqref="K807">
    <cfRule type="containsText" dxfId="8271" priority="8257" operator="containsText" text="Reasignación">
      <formula>NOT(ISERROR(SEARCH("Reasignación",K807)))</formula>
    </cfRule>
    <cfRule type="containsText" dxfId="8270" priority="8258" operator="containsText" text="RECHAZADA">
      <formula>NOT(ISERROR(SEARCH("RECHAZADA",K807)))</formula>
    </cfRule>
    <cfRule type="containsText" dxfId="8269" priority="8259" operator="containsText" text="Atendida">
      <formula>NOT(ISERROR(SEARCH("Atendida",K807)))</formula>
    </cfRule>
    <cfRule type="containsText" dxfId="8268" priority="8260" operator="containsText" text="Reasignación">
      <formula>NOT(ISERROR(SEARCH("Reasignación",K807)))</formula>
    </cfRule>
    <cfRule type="containsText" dxfId="8267" priority="8261" operator="containsText" text="RECHAZADA">
      <formula>NOT(ISERROR(SEARCH("RECHAZADA",K807)))</formula>
    </cfRule>
    <cfRule type="containsText" dxfId="8266" priority="8262" operator="containsText" text="Atendida">
      <formula>NOT(ISERROR(SEARCH("Atendida",K807)))</formula>
    </cfRule>
    <cfRule type="containsText" dxfId="8265" priority="8263" operator="containsText" text="Reasignación">
      <formula>NOT(ISERROR(SEARCH("Reasignación",K807)))</formula>
    </cfRule>
    <cfRule type="containsText" dxfId="8264" priority="8264" operator="containsText" text="RECHAZADA">
      <formula>NOT(ISERROR(SEARCH("RECHAZADA",K807)))</formula>
    </cfRule>
    <cfRule type="containsText" dxfId="8263" priority="8265" operator="containsText" text="Atendida">
      <formula>NOT(ISERROR(SEARCH("Atendida",K807)))</formula>
    </cfRule>
    <cfRule type="containsText" dxfId="8262" priority="8266" operator="containsText" text="Reasignación">
      <formula>NOT(ISERROR(SEARCH("Reasignación",K807)))</formula>
    </cfRule>
    <cfRule type="containsText" dxfId="8261" priority="8267" operator="containsText" text="RECHAZADA">
      <formula>NOT(ISERROR(SEARCH("RECHAZADA",K807)))</formula>
    </cfRule>
    <cfRule type="containsText" dxfId="8260" priority="8268" operator="containsText" text="Atendida">
      <formula>NOT(ISERROR(SEARCH("Atendida",K807)))</formula>
    </cfRule>
  </conditionalFormatting>
  <conditionalFormatting sqref="K807">
    <cfRule type="containsText" dxfId="8259" priority="8281" operator="containsText" text="Reasignación">
      <formula>NOT(ISERROR(SEARCH("Reasignación",K807)))</formula>
    </cfRule>
    <cfRule type="containsText" dxfId="8258" priority="8282" operator="containsText" text="RECHAZADA">
      <formula>NOT(ISERROR(SEARCH("RECHAZADA",K807)))</formula>
    </cfRule>
    <cfRule type="containsText" dxfId="8257" priority="8283" operator="containsText" text="Atendida">
      <formula>NOT(ISERROR(SEARCH("Atendida",K807)))</formula>
    </cfRule>
  </conditionalFormatting>
  <conditionalFormatting sqref="K807">
    <cfRule type="containsText" dxfId="8256" priority="8269" operator="containsText" text="Reasignación">
      <formula>NOT(ISERROR(SEARCH("Reasignación",K807)))</formula>
    </cfRule>
    <cfRule type="containsText" dxfId="8255" priority="8270" operator="containsText" text="RECHAZADA">
      <formula>NOT(ISERROR(SEARCH("RECHAZADA",K807)))</formula>
    </cfRule>
    <cfRule type="containsText" dxfId="8254" priority="8271" operator="containsText" text="Atendida">
      <formula>NOT(ISERROR(SEARCH("Atendida",K807)))</formula>
    </cfRule>
    <cfRule type="containsText" dxfId="8253" priority="8272" operator="containsText" text="Reasignación">
      <formula>NOT(ISERROR(SEARCH("Reasignación",K807)))</formula>
    </cfRule>
    <cfRule type="containsText" dxfId="8252" priority="8273" operator="containsText" text="RECHAZADA">
      <formula>NOT(ISERROR(SEARCH("RECHAZADA",K807)))</formula>
    </cfRule>
    <cfRule type="containsText" dxfId="8251" priority="8274" operator="containsText" text="Atendida">
      <formula>NOT(ISERROR(SEARCH("Atendida",K807)))</formula>
    </cfRule>
    <cfRule type="containsText" dxfId="8250" priority="8275" operator="containsText" text="Reasignación">
      <formula>NOT(ISERROR(SEARCH("Reasignación",K807)))</formula>
    </cfRule>
    <cfRule type="containsText" dxfId="8249" priority="8276" operator="containsText" text="RECHAZADA">
      <formula>NOT(ISERROR(SEARCH("RECHAZADA",K807)))</formula>
    </cfRule>
    <cfRule type="containsText" dxfId="8248" priority="8277" operator="containsText" text="Atendida">
      <formula>NOT(ISERROR(SEARCH("Atendida",K807)))</formula>
    </cfRule>
    <cfRule type="containsText" dxfId="8247" priority="8278" operator="containsText" text="Reasignación">
      <formula>NOT(ISERROR(SEARCH("Reasignación",K807)))</formula>
    </cfRule>
    <cfRule type="containsText" dxfId="8246" priority="8279" operator="containsText" text="RECHAZADA">
      <formula>NOT(ISERROR(SEARCH("RECHAZADA",K807)))</formula>
    </cfRule>
    <cfRule type="containsText" dxfId="8245" priority="8280" operator="containsText" text="Atendida">
      <formula>NOT(ISERROR(SEARCH("Atendida",K807)))</formula>
    </cfRule>
  </conditionalFormatting>
  <conditionalFormatting sqref="B808">
    <cfRule type="duplicateValues" dxfId="8244" priority="8253"/>
  </conditionalFormatting>
  <conditionalFormatting sqref="E808">
    <cfRule type="duplicateValues" dxfId="8243" priority="8249"/>
  </conditionalFormatting>
  <conditionalFormatting sqref="M808">
    <cfRule type="containsText" dxfId="8242" priority="8252" operator="containsText" text="Atendida">
      <formula>NOT(ISERROR(SEARCH("Atendida",M808)))</formula>
    </cfRule>
  </conditionalFormatting>
  <conditionalFormatting sqref="M808">
    <cfRule type="containsText" dxfId="8241" priority="8251" operator="containsText" text="RECHAZADA">
      <formula>NOT(ISERROR(SEARCH("RECHAZADA",M808)))</formula>
    </cfRule>
  </conditionalFormatting>
  <conditionalFormatting sqref="M808">
    <cfRule type="containsText" dxfId="8240" priority="8250" operator="containsText" text="CONFORME">
      <formula>NOT(ISERROR(SEARCH("CONFORME",M808)))</formula>
    </cfRule>
  </conditionalFormatting>
  <conditionalFormatting sqref="M808">
    <cfRule type="containsText" dxfId="8239" priority="8248" operator="containsText" text="OBSERVADO">
      <formula>NOT(ISERROR(SEARCH("OBSERVADO",M808)))</formula>
    </cfRule>
  </conditionalFormatting>
  <conditionalFormatting sqref="K808">
    <cfRule type="containsText" dxfId="8238" priority="8218" operator="containsText" text="Reasignación">
      <formula>NOT(ISERROR(SEARCH("Reasignación",K808)))</formula>
    </cfRule>
    <cfRule type="containsText" dxfId="8237" priority="8219" operator="containsText" text="RECHAZADA">
      <formula>NOT(ISERROR(SEARCH("RECHAZADA",K808)))</formula>
    </cfRule>
    <cfRule type="containsText" dxfId="8236" priority="8220" operator="containsText" text="Atendida">
      <formula>NOT(ISERROR(SEARCH("Atendida",K808)))</formula>
    </cfRule>
  </conditionalFormatting>
  <conditionalFormatting sqref="K808">
    <cfRule type="containsText" dxfId="8235" priority="8221" operator="containsText" text="Reasignación">
      <formula>NOT(ISERROR(SEARCH("Reasignación",K808)))</formula>
    </cfRule>
    <cfRule type="containsText" dxfId="8234" priority="8222" operator="containsText" text="RECHAZADA">
      <formula>NOT(ISERROR(SEARCH("RECHAZADA",K808)))</formula>
    </cfRule>
    <cfRule type="containsText" dxfId="8233" priority="8223" operator="containsText" text="Atendida">
      <formula>NOT(ISERROR(SEARCH("Atendida",K808)))</formula>
    </cfRule>
    <cfRule type="containsText" dxfId="8232" priority="8224" operator="containsText" text="Reasignación">
      <formula>NOT(ISERROR(SEARCH("Reasignación",K808)))</formula>
    </cfRule>
    <cfRule type="containsText" dxfId="8231" priority="8225" operator="containsText" text="RECHAZADA">
      <formula>NOT(ISERROR(SEARCH("RECHAZADA",K808)))</formula>
    </cfRule>
    <cfRule type="containsText" dxfId="8230" priority="8226" operator="containsText" text="Atendida">
      <formula>NOT(ISERROR(SEARCH("Atendida",K808)))</formula>
    </cfRule>
    <cfRule type="containsText" dxfId="8229" priority="8227" operator="containsText" text="Reasignación">
      <formula>NOT(ISERROR(SEARCH("Reasignación",K808)))</formula>
    </cfRule>
    <cfRule type="containsText" dxfId="8228" priority="8228" operator="containsText" text="RECHAZADA">
      <formula>NOT(ISERROR(SEARCH("RECHAZADA",K808)))</formula>
    </cfRule>
    <cfRule type="containsText" dxfId="8227" priority="8229" operator="containsText" text="Atendida">
      <formula>NOT(ISERROR(SEARCH("Atendida",K808)))</formula>
    </cfRule>
    <cfRule type="containsText" dxfId="8226" priority="8230" operator="containsText" text="Reasignación">
      <formula>NOT(ISERROR(SEARCH("Reasignación",K808)))</formula>
    </cfRule>
    <cfRule type="containsText" dxfId="8225" priority="8231" operator="containsText" text="RECHAZADA">
      <formula>NOT(ISERROR(SEARCH("RECHAZADA",K808)))</formula>
    </cfRule>
    <cfRule type="containsText" dxfId="8224" priority="8232" operator="containsText" text="Atendida">
      <formula>NOT(ISERROR(SEARCH("Atendida",K808)))</formula>
    </cfRule>
  </conditionalFormatting>
  <conditionalFormatting sqref="K808">
    <cfRule type="containsText" dxfId="8223" priority="8245" operator="containsText" text="Reasignación">
      <formula>NOT(ISERROR(SEARCH("Reasignación",K808)))</formula>
    </cfRule>
    <cfRule type="containsText" dxfId="8222" priority="8246" operator="containsText" text="RECHAZADA">
      <formula>NOT(ISERROR(SEARCH("RECHAZADA",K808)))</formula>
    </cfRule>
    <cfRule type="containsText" dxfId="8221" priority="8247" operator="containsText" text="Atendida">
      <formula>NOT(ISERROR(SEARCH("Atendida",K808)))</formula>
    </cfRule>
  </conditionalFormatting>
  <conditionalFormatting sqref="K808">
    <cfRule type="containsText" dxfId="8220" priority="8233" operator="containsText" text="Reasignación">
      <formula>NOT(ISERROR(SEARCH("Reasignación",K808)))</formula>
    </cfRule>
    <cfRule type="containsText" dxfId="8219" priority="8234" operator="containsText" text="RECHAZADA">
      <formula>NOT(ISERROR(SEARCH("RECHAZADA",K808)))</formula>
    </cfRule>
    <cfRule type="containsText" dxfId="8218" priority="8235" operator="containsText" text="Atendida">
      <formula>NOT(ISERROR(SEARCH("Atendida",K808)))</formula>
    </cfRule>
    <cfRule type="containsText" dxfId="8217" priority="8236" operator="containsText" text="Reasignación">
      <formula>NOT(ISERROR(SEARCH("Reasignación",K808)))</formula>
    </cfRule>
    <cfRule type="containsText" dxfId="8216" priority="8237" operator="containsText" text="RECHAZADA">
      <formula>NOT(ISERROR(SEARCH("RECHAZADA",K808)))</formula>
    </cfRule>
    <cfRule type="containsText" dxfId="8215" priority="8238" operator="containsText" text="Atendida">
      <formula>NOT(ISERROR(SEARCH("Atendida",K808)))</formula>
    </cfRule>
    <cfRule type="containsText" dxfId="8214" priority="8239" operator="containsText" text="Reasignación">
      <formula>NOT(ISERROR(SEARCH("Reasignación",K808)))</formula>
    </cfRule>
    <cfRule type="containsText" dxfId="8213" priority="8240" operator="containsText" text="RECHAZADA">
      <formula>NOT(ISERROR(SEARCH("RECHAZADA",K808)))</formula>
    </cfRule>
    <cfRule type="containsText" dxfId="8212" priority="8241" operator="containsText" text="Atendida">
      <formula>NOT(ISERROR(SEARCH("Atendida",K808)))</formula>
    </cfRule>
    <cfRule type="containsText" dxfId="8211" priority="8242" operator="containsText" text="Reasignación">
      <formula>NOT(ISERROR(SEARCH("Reasignación",K808)))</formula>
    </cfRule>
    <cfRule type="containsText" dxfId="8210" priority="8243" operator="containsText" text="RECHAZADA">
      <formula>NOT(ISERROR(SEARCH("RECHAZADA",K808)))</formula>
    </cfRule>
    <cfRule type="containsText" dxfId="8209" priority="8244" operator="containsText" text="Atendida">
      <formula>NOT(ISERROR(SEARCH("Atendida",K808)))</formula>
    </cfRule>
  </conditionalFormatting>
  <conditionalFormatting sqref="B809">
    <cfRule type="duplicateValues" dxfId="8208" priority="8217"/>
  </conditionalFormatting>
  <conditionalFormatting sqref="K809">
    <cfRule type="containsText" dxfId="8207" priority="8214" operator="containsText" text="Reasignación">
      <formula>NOT(ISERROR(SEARCH("Reasignación",K809)))</formula>
    </cfRule>
    <cfRule type="containsText" dxfId="8206" priority="8215" operator="containsText" text="RECHAZADA">
      <formula>NOT(ISERROR(SEARCH("RECHAZADA",K809)))</formula>
    </cfRule>
    <cfRule type="containsText" dxfId="8205" priority="8216" operator="containsText" text="Atendida">
      <formula>NOT(ISERROR(SEARCH("Atendida",K809)))</formula>
    </cfRule>
  </conditionalFormatting>
  <conditionalFormatting sqref="K809">
    <cfRule type="containsText" dxfId="8204" priority="8199" operator="containsText" text="Reasignación">
      <formula>NOT(ISERROR(SEARCH("Reasignación",K809)))</formula>
    </cfRule>
    <cfRule type="containsText" dxfId="8203" priority="8200" operator="containsText" text="RECHAZADA">
      <formula>NOT(ISERROR(SEARCH("RECHAZADA",K809)))</formula>
    </cfRule>
    <cfRule type="containsText" dxfId="8202" priority="8201" operator="containsText" text="Atendida">
      <formula>NOT(ISERROR(SEARCH("Atendida",K809)))</formula>
    </cfRule>
    <cfRule type="containsText" dxfId="8201" priority="8202" operator="containsText" text="Reasignación">
      <formula>NOT(ISERROR(SEARCH("Reasignación",K809)))</formula>
    </cfRule>
    <cfRule type="containsText" dxfId="8200" priority="8203" operator="containsText" text="RECHAZADA">
      <formula>NOT(ISERROR(SEARCH("RECHAZADA",K809)))</formula>
    </cfRule>
    <cfRule type="containsText" dxfId="8199" priority="8204" operator="containsText" text="Atendida">
      <formula>NOT(ISERROR(SEARCH("Atendida",K809)))</formula>
    </cfRule>
    <cfRule type="containsText" dxfId="8198" priority="8205" operator="containsText" text="Reasignación">
      <formula>NOT(ISERROR(SEARCH("Reasignación",K809)))</formula>
    </cfRule>
    <cfRule type="containsText" dxfId="8197" priority="8206" operator="containsText" text="RECHAZADA">
      <formula>NOT(ISERROR(SEARCH("RECHAZADA",K809)))</formula>
    </cfRule>
    <cfRule type="containsText" dxfId="8196" priority="8207" operator="containsText" text="Atendida">
      <formula>NOT(ISERROR(SEARCH("Atendida",K809)))</formula>
    </cfRule>
    <cfRule type="containsText" dxfId="8195" priority="8208" operator="containsText" text="Reasignación">
      <formula>NOT(ISERROR(SEARCH("Reasignación",K809)))</formula>
    </cfRule>
    <cfRule type="containsText" dxfId="8194" priority="8209" operator="containsText" text="RECHAZADA">
      <formula>NOT(ISERROR(SEARCH("RECHAZADA",K809)))</formula>
    </cfRule>
    <cfRule type="containsText" dxfId="8193" priority="8210" operator="containsText" text="Atendida">
      <formula>NOT(ISERROR(SEARCH("Atendida",K809)))</formula>
    </cfRule>
  </conditionalFormatting>
  <conditionalFormatting sqref="K809">
    <cfRule type="containsText" dxfId="8192" priority="8184" operator="containsText" text="Reasignación">
      <formula>NOT(ISERROR(SEARCH("Reasignación",K809)))</formula>
    </cfRule>
    <cfRule type="containsText" dxfId="8191" priority="8185" operator="containsText" text="RECHAZADA">
      <formula>NOT(ISERROR(SEARCH("RECHAZADA",K809)))</formula>
    </cfRule>
    <cfRule type="containsText" dxfId="8190" priority="8186" operator="containsText" text="Atendida">
      <formula>NOT(ISERROR(SEARCH("Atendida",K809)))</formula>
    </cfRule>
  </conditionalFormatting>
  <conditionalFormatting sqref="K809">
    <cfRule type="containsText" dxfId="8189" priority="8187" operator="containsText" text="Reasignación">
      <formula>NOT(ISERROR(SEARCH("Reasignación",K809)))</formula>
    </cfRule>
    <cfRule type="containsText" dxfId="8188" priority="8188" operator="containsText" text="RECHAZADA">
      <formula>NOT(ISERROR(SEARCH("RECHAZADA",K809)))</formula>
    </cfRule>
    <cfRule type="containsText" dxfId="8187" priority="8189" operator="containsText" text="Atendida">
      <formula>NOT(ISERROR(SEARCH("Atendida",K809)))</formula>
    </cfRule>
    <cfRule type="containsText" dxfId="8186" priority="8190" operator="containsText" text="Reasignación">
      <formula>NOT(ISERROR(SEARCH("Reasignación",K809)))</formula>
    </cfRule>
    <cfRule type="containsText" dxfId="8185" priority="8191" operator="containsText" text="RECHAZADA">
      <formula>NOT(ISERROR(SEARCH("RECHAZADA",K809)))</formula>
    </cfRule>
    <cfRule type="containsText" dxfId="8184" priority="8192" operator="containsText" text="Atendida">
      <formula>NOT(ISERROR(SEARCH("Atendida",K809)))</formula>
    </cfRule>
    <cfRule type="containsText" dxfId="8183" priority="8193" operator="containsText" text="Reasignación">
      <formula>NOT(ISERROR(SEARCH("Reasignación",K809)))</formula>
    </cfRule>
    <cfRule type="containsText" dxfId="8182" priority="8194" operator="containsText" text="RECHAZADA">
      <formula>NOT(ISERROR(SEARCH("RECHAZADA",K809)))</formula>
    </cfRule>
    <cfRule type="containsText" dxfId="8181" priority="8195" operator="containsText" text="Atendida">
      <formula>NOT(ISERROR(SEARCH("Atendida",K809)))</formula>
    </cfRule>
    <cfRule type="containsText" dxfId="8180" priority="8196" operator="containsText" text="Reasignación">
      <formula>NOT(ISERROR(SEARCH("Reasignación",K809)))</formula>
    </cfRule>
    <cfRule type="containsText" dxfId="8179" priority="8197" operator="containsText" text="RECHAZADA">
      <formula>NOT(ISERROR(SEARCH("RECHAZADA",K809)))</formula>
    </cfRule>
    <cfRule type="containsText" dxfId="8178" priority="8198" operator="containsText" text="Atendida">
      <formula>NOT(ISERROR(SEARCH("Atendida",K809)))</formula>
    </cfRule>
  </conditionalFormatting>
  <conditionalFormatting sqref="K809">
    <cfRule type="containsText" dxfId="8177" priority="8211" operator="containsText" text="Reasignación">
      <formula>NOT(ISERROR(SEARCH("Reasignación",K809)))</formula>
    </cfRule>
    <cfRule type="containsText" dxfId="8176" priority="8212" operator="containsText" text="RECHAZADA">
      <formula>NOT(ISERROR(SEARCH("RECHAZADA",K809)))</formula>
    </cfRule>
    <cfRule type="containsText" dxfId="8175" priority="8213" operator="containsText" text="Atendida">
      <formula>NOT(ISERROR(SEARCH("Atendida",K809)))</formula>
    </cfRule>
  </conditionalFormatting>
  <conditionalFormatting sqref="B810">
    <cfRule type="duplicateValues" dxfId="8174" priority="8183"/>
  </conditionalFormatting>
  <conditionalFormatting sqref="E810">
    <cfRule type="duplicateValues" dxfId="8173" priority="8179"/>
  </conditionalFormatting>
  <conditionalFormatting sqref="M810">
    <cfRule type="containsText" dxfId="8172" priority="8182" operator="containsText" text="Atendida">
      <formula>NOT(ISERROR(SEARCH("Atendida",M810)))</formula>
    </cfRule>
  </conditionalFormatting>
  <conditionalFormatting sqref="M810">
    <cfRule type="containsText" dxfId="8171" priority="8181" operator="containsText" text="RECHAZADA">
      <formula>NOT(ISERROR(SEARCH("RECHAZADA",M810)))</formula>
    </cfRule>
  </conditionalFormatting>
  <conditionalFormatting sqref="M810">
    <cfRule type="containsText" dxfId="8170" priority="8180" operator="containsText" text="CONFORME">
      <formula>NOT(ISERROR(SEARCH("CONFORME",M810)))</formula>
    </cfRule>
  </conditionalFormatting>
  <conditionalFormatting sqref="M810">
    <cfRule type="containsText" dxfId="8169" priority="8178" operator="containsText" text="OBSERVADO">
      <formula>NOT(ISERROR(SEARCH("OBSERVADO",M810)))</formula>
    </cfRule>
  </conditionalFormatting>
  <conditionalFormatting sqref="K810">
    <cfRule type="containsText" dxfId="8168" priority="8175" operator="containsText" text="Reasignación">
      <formula>NOT(ISERROR(SEARCH("Reasignación",K810)))</formula>
    </cfRule>
    <cfRule type="containsText" dxfId="8167" priority="8176" operator="containsText" text="RECHAZADA">
      <formula>NOT(ISERROR(SEARCH("RECHAZADA",K810)))</formula>
    </cfRule>
    <cfRule type="containsText" dxfId="8166" priority="8177" operator="containsText" text="Atendida">
      <formula>NOT(ISERROR(SEARCH("Atendida",K810)))</formula>
    </cfRule>
  </conditionalFormatting>
  <conditionalFormatting sqref="K810">
    <cfRule type="containsText" dxfId="8165" priority="8157" operator="containsText" text="Reasignación">
      <formula>NOT(ISERROR(SEARCH("Reasignación",K810)))</formula>
    </cfRule>
    <cfRule type="containsText" dxfId="8164" priority="8158" operator="containsText" text="RECHAZADA">
      <formula>NOT(ISERROR(SEARCH("RECHAZADA",K810)))</formula>
    </cfRule>
    <cfRule type="containsText" dxfId="8163" priority="8159" operator="containsText" text="Atendida">
      <formula>NOT(ISERROR(SEARCH("Atendida",K810)))</formula>
    </cfRule>
  </conditionalFormatting>
  <conditionalFormatting sqref="K810">
    <cfRule type="containsText" dxfId="8162" priority="8160" operator="containsText" text="Reasignación">
      <formula>NOT(ISERROR(SEARCH("Reasignación",K810)))</formula>
    </cfRule>
    <cfRule type="containsText" dxfId="8161" priority="8161" operator="containsText" text="RECHAZADA">
      <formula>NOT(ISERROR(SEARCH("RECHAZADA",K810)))</formula>
    </cfRule>
    <cfRule type="containsText" dxfId="8160" priority="8162" operator="containsText" text="Atendida">
      <formula>NOT(ISERROR(SEARCH("Atendida",K810)))</formula>
    </cfRule>
    <cfRule type="containsText" dxfId="8159" priority="8163" operator="containsText" text="Reasignación">
      <formula>NOT(ISERROR(SEARCH("Reasignación",K810)))</formula>
    </cfRule>
    <cfRule type="containsText" dxfId="8158" priority="8164" operator="containsText" text="RECHAZADA">
      <formula>NOT(ISERROR(SEARCH("RECHAZADA",K810)))</formula>
    </cfRule>
    <cfRule type="containsText" dxfId="8157" priority="8165" operator="containsText" text="Atendida">
      <formula>NOT(ISERROR(SEARCH("Atendida",K810)))</formula>
    </cfRule>
    <cfRule type="containsText" dxfId="8156" priority="8166" operator="containsText" text="Reasignación">
      <formula>NOT(ISERROR(SEARCH("Reasignación",K810)))</formula>
    </cfRule>
    <cfRule type="containsText" dxfId="8155" priority="8167" operator="containsText" text="RECHAZADA">
      <formula>NOT(ISERROR(SEARCH("RECHAZADA",K810)))</formula>
    </cfRule>
    <cfRule type="containsText" dxfId="8154" priority="8168" operator="containsText" text="Atendida">
      <formula>NOT(ISERROR(SEARCH("Atendida",K810)))</formula>
    </cfRule>
    <cfRule type="containsText" dxfId="8153" priority="8169" operator="containsText" text="Reasignación">
      <formula>NOT(ISERROR(SEARCH("Reasignación",K810)))</formula>
    </cfRule>
    <cfRule type="containsText" dxfId="8152" priority="8170" operator="containsText" text="RECHAZADA">
      <formula>NOT(ISERROR(SEARCH("RECHAZADA",K810)))</formula>
    </cfRule>
    <cfRule type="containsText" dxfId="8151" priority="8171" operator="containsText" text="Atendida">
      <formula>NOT(ISERROR(SEARCH("Atendida",K810)))</formula>
    </cfRule>
  </conditionalFormatting>
  <conditionalFormatting sqref="K810">
    <cfRule type="containsText" dxfId="8150" priority="8172" operator="containsText" text="Reasignación">
      <formula>NOT(ISERROR(SEARCH("Reasignación",K810)))</formula>
    </cfRule>
    <cfRule type="containsText" dxfId="8149" priority="8173" operator="containsText" text="RECHAZADA">
      <formula>NOT(ISERROR(SEARCH("RECHAZADA",K810)))</formula>
    </cfRule>
    <cfRule type="containsText" dxfId="8148" priority="8174" operator="containsText" text="Atendida">
      <formula>NOT(ISERROR(SEARCH("Atendida",K810)))</formula>
    </cfRule>
  </conditionalFormatting>
  <conditionalFormatting sqref="E836:E841 E833:E834 E819:E830 E811:E817">
    <cfRule type="duplicateValues" dxfId="8147" priority="8152"/>
  </conditionalFormatting>
  <conditionalFormatting sqref="M836:M841 M833:M834 M819:M830 M811:M817">
    <cfRule type="containsText" dxfId="8146" priority="8155" operator="containsText" text="Atendida">
      <formula>NOT(ISERROR(SEARCH("Atendida",M811)))</formula>
    </cfRule>
  </conditionalFormatting>
  <conditionalFormatting sqref="M836:M841 M833:M834 M819:M830 M811:M817">
    <cfRule type="containsText" dxfId="8145" priority="8154" operator="containsText" text="RECHAZADA">
      <formula>NOT(ISERROR(SEARCH("RECHAZADA",M811)))</formula>
    </cfRule>
  </conditionalFormatting>
  <conditionalFormatting sqref="M836:M841 M833:M834 M819:M830 M811:M817">
    <cfRule type="containsText" dxfId="8144" priority="8153" operator="containsText" text="CONFORME">
      <formula>NOT(ISERROR(SEARCH("CONFORME",M811)))</formula>
    </cfRule>
  </conditionalFormatting>
  <conditionalFormatting sqref="M836:M841 M833:M834 M819:M830 M811:M817">
    <cfRule type="containsText" dxfId="8143" priority="8151" operator="containsText" text="OBSERVADO">
      <formula>NOT(ISERROR(SEARCH("OBSERVADO",M811)))</formula>
    </cfRule>
  </conditionalFormatting>
  <conditionalFormatting sqref="K811">
    <cfRule type="containsText" dxfId="8142" priority="8136" operator="containsText" text="Reasignación">
      <formula>NOT(ISERROR(SEARCH("Reasignación",K811)))</formula>
    </cfRule>
    <cfRule type="containsText" dxfId="8141" priority="8137" operator="containsText" text="RECHAZADA">
      <formula>NOT(ISERROR(SEARCH("RECHAZADA",K811)))</formula>
    </cfRule>
    <cfRule type="containsText" dxfId="8140" priority="8138" operator="containsText" text="Atendida">
      <formula>NOT(ISERROR(SEARCH("Atendida",K811)))</formula>
    </cfRule>
  </conditionalFormatting>
  <conditionalFormatting sqref="K811">
    <cfRule type="containsText" dxfId="8139" priority="8139" operator="containsText" text="Reasignación">
      <formula>NOT(ISERROR(SEARCH("Reasignación",K811)))</formula>
    </cfRule>
    <cfRule type="containsText" dxfId="8138" priority="8140" operator="containsText" text="RECHAZADA">
      <formula>NOT(ISERROR(SEARCH("RECHAZADA",K811)))</formula>
    </cfRule>
    <cfRule type="containsText" dxfId="8137" priority="8141" operator="containsText" text="Atendida">
      <formula>NOT(ISERROR(SEARCH("Atendida",K811)))</formula>
    </cfRule>
    <cfRule type="containsText" dxfId="8136" priority="8142" operator="containsText" text="Reasignación">
      <formula>NOT(ISERROR(SEARCH("Reasignación",K811)))</formula>
    </cfRule>
    <cfRule type="containsText" dxfId="8135" priority="8143" operator="containsText" text="RECHAZADA">
      <formula>NOT(ISERROR(SEARCH("RECHAZADA",K811)))</formula>
    </cfRule>
    <cfRule type="containsText" dxfId="8134" priority="8144" operator="containsText" text="Atendida">
      <formula>NOT(ISERROR(SEARCH("Atendida",K811)))</formula>
    </cfRule>
    <cfRule type="containsText" dxfId="8133" priority="8145" operator="containsText" text="Reasignación">
      <formula>NOT(ISERROR(SEARCH("Reasignación",K811)))</formula>
    </cfRule>
    <cfRule type="containsText" dxfId="8132" priority="8146" operator="containsText" text="RECHAZADA">
      <formula>NOT(ISERROR(SEARCH("RECHAZADA",K811)))</formula>
    </cfRule>
    <cfRule type="containsText" dxfId="8131" priority="8147" operator="containsText" text="Atendida">
      <formula>NOT(ISERROR(SEARCH("Atendida",K811)))</formula>
    </cfRule>
    <cfRule type="containsText" dxfId="8130" priority="8148" operator="containsText" text="Reasignación">
      <formula>NOT(ISERROR(SEARCH("Reasignación",K811)))</formula>
    </cfRule>
    <cfRule type="containsText" dxfId="8129" priority="8149" operator="containsText" text="RECHAZADA">
      <formula>NOT(ISERROR(SEARCH("RECHAZADA",K811)))</formula>
    </cfRule>
    <cfRule type="containsText" dxfId="8128" priority="8150" operator="containsText" text="Atendida">
      <formula>NOT(ISERROR(SEARCH("Atendida",K811)))</formula>
    </cfRule>
  </conditionalFormatting>
  <conditionalFormatting sqref="B811">
    <cfRule type="duplicateValues" dxfId="8127" priority="8156"/>
  </conditionalFormatting>
  <conditionalFormatting sqref="B812:B813">
    <cfRule type="duplicateValues" dxfId="8126" priority="8135"/>
  </conditionalFormatting>
  <conditionalFormatting sqref="K812">
    <cfRule type="containsText" dxfId="8125" priority="8120" operator="containsText" text="Reasignación">
      <formula>NOT(ISERROR(SEARCH("Reasignación",K812)))</formula>
    </cfRule>
    <cfRule type="containsText" dxfId="8124" priority="8121" operator="containsText" text="RECHAZADA">
      <formula>NOT(ISERROR(SEARCH("RECHAZADA",K812)))</formula>
    </cfRule>
    <cfRule type="containsText" dxfId="8123" priority="8122" operator="containsText" text="Atendida">
      <formula>NOT(ISERROR(SEARCH("Atendida",K812)))</formula>
    </cfRule>
  </conditionalFormatting>
  <conditionalFormatting sqref="K812">
    <cfRule type="containsText" dxfId="8122" priority="8123" operator="containsText" text="Reasignación">
      <formula>NOT(ISERROR(SEARCH("Reasignación",K812)))</formula>
    </cfRule>
    <cfRule type="containsText" dxfId="8121" priority="8124" operator="containsText" text="RECHAZADA">
      <formula>NOT(ISERROR(SEARCH("RECHAZADA",K812)))</formula>
    </cfRule>
    <cfRule type="containsText" dxfId="8120" priority="8125" operator="containsText" text="Atendida">
      <formula>NOT(ISERROR(SEARCH("Atendida",K812)))</formula>
    </cfRule>
    <cfRule type="containsText" dxfId="8119" priority="8126" operator="containsText" text="Reasignación">
      <formula>NOT(ISERROR(SEARCH("Reasignación",K812)))</formula>
    </cfRule>
    <cfRule type="containsText" dxfId="8118" priority="8127" operator="containsText" text="RECHAZADA">
      <formula>NOT(ISERROR(SEARCH("RECHAZADA",K812)))</formula>
    </cfRule>
    <cfRule type="containsText" dxfId="8117" priority="8128" operator="containsText" text="Atendida">
      <formula>NOT(ISERROR(SEARCH("Atendida",K812)))</formula>
    </cfRule>
    <cfRule type="containsText" dxfId="8116" priority="8129" operator="containsText" text="Reasignación">
      <formula>NOT(ISERROR(SEARCH("Reasignación",K812)))</formula>
    </cfRule>
    <cfRule type="containsText" dxfId="8115" priority="8130" operator="containsText" text="RECHAZADA">
      <formula>NOT(ISERROR(SEARCH("RECHAZADA",K812)))</formula>
    </cfRule>
    <cfRule type="containsText" dxfId="8114" priority="8131" operator="containsText" text="Atendida">
      <formula>NOT(ISERROR(SEARCH("Atendida",K812)))</formula>
    </cfRule>
    <cfRule type="containsText" dxfId="8113" priority="8132" operator="containsText" text="Reasignación">
      <formula>NOT(ISERROR(SEARCH("Reasignación",K812)))</formula>
    </cfRule>
    <cfRule type="containsText" dxfId="8112" priority="8133" operator="containsText" text="RECHAZADA">
      <formula>NOT(ISERROR(SEARCH("RECHAZADA",K812)))</formula>
    </cfRule>
    <cfRule type="containsText" dxfId="8111" priority="8134" operator="containsText" text="Atendida">
      <formula>NOT(ISERROR(SEARCH("Atendida",K812)))</formula>
    </cfRule>
  </conditionalFormatting>
  <conditionalFormatting sqref="K813">
    <cfRule type="containsText" dxfId="8110" priority="8105" operator="containsText" text="Reasignación">
      <formula>NOT(ISERROR(SEARCH("Reasignación",K813)))</formula>
    </cfRule>
    <cfRule type="containsText" dxfId="8109" priority="8106" operator="containsText" text="RECHAZADA">
      <formula>NOT(ISERROR(SEARCH("RECHAZADA",K813)))</formula>
    </cfRule>
    <cfRule type="containsText" dxfId="8108" priority="8107" operator="containsText" text="Atendida">
      <formula>NOT(ISERROR(SEARCH("Atendida",K813)))</formula>
    </cfRule>
  </conditionalFormatting>
  <conditionalFormatting sqref="K813">
    <cfRule type="containsText" dxfId="8107" priority="8108" operator="containsText" text="Reasignación">
      <formula>NOT(ISERROR(SEARCH("Reasignación",K813)))</formula>
    </cfRule>
    <cfRule type="containsText" dxfId="8106" priority="8109" operator="containsText" text="RECHAZADA">
      <formula>NOT(ISERROR(SEARCH("RECHAZADA",K813)))</formula>
    </cfRule>
    <cfRule type="containsText" dxfId="8105" priority="8110" operator="containsText" text="Atendida">
      <formula>NOT(ISERROR(SEARCH("Atendida",K813)))</formula>
    </cfRule>
    <cfRule type="containsText" dxfId="8104" priority="8111" operator="containsText" text="Reasignación">
      <formula>NOT(ISERROR(SEARCH("Reasignación",K813)))</formula>
    </cfRule>
    <cfRule type="containsText" dxfId="8103" priority="8112" operator="containsText" text="RECHAZADA">
      <formula>NOT(ISERROR(SEARCH("RECHAZADA",K813)))</formula>
    </cfRule>
    <cfRule type="containsText" dxfId="8102" priority="8113" operator="containsText" text="Atendida">
      <formula>NOT(ISERROR(SEARCH("Atendida",K813)))</formula>
    </cfRule>
    <cfRule type="containsText" dxfId="8101" priority="8114" operator="containsText" text="Reasignación">
      <formula>NOT(ISERROR(SEARCH("Reasignación",K813)))</formula>
    </cfRule>
    <cfRule type="containsText" dxfId="8100" priority="8115" operator="containsText" text="RECHAZADA">
      <formula>NOT(ISERROR(SEARCH("RECHAZADA",K813)))</formula>
    </cfRule>
    <cfRule type="containsText" dxfId="8099" priority="8116" operator="containsText" text="Atendida">
      <formula>NOT(ISERROR(SEARCH("Atendida",K813)))</formula>
    </cfRule>
    <cfRule type="containsText" dxfId="8098" priority="8117" operator="containsText" text="Reasignación">
      <formula>NOT(ISERROR(SEARCH("Reasignación",K813)))</formula>
    </cfRule>
    <cfRule type="containsText" dxfId="8097" priority="8118" operator="containsText" text="RECHAZADA">
      <formula>NOT(ISERROR(SEARCH("RECHAZADA",K813)))</formula>
    </cfRule>
    <cfRule type="containsText" dxfId="8096" priority="8119" operator="containsText" text="Atendida">
      <formula>NOT(ISERROR(SEARCH("Atendida",K813)))</formula>
    </cfRule>
  </conditionalFormatting>
  <conditionalFormatting sqref="B836:B841 B833:B834 B819:B830 B814:B817">
    <cfRule type="duplicateValues" dxfId="8095" priority="8104"/>
  </conditionalFormatting>
  <conditionalFormatting sqref="K814">
    <cfRule type="containsText" dxfId="8094" priority="8089" operator="containsText" text="Reasignación">
      <formula>NOT(ISERROR(SEARCH("Reasignación",K814)))</formula>
    </cfRule>
    <cfRule type="containsText" dxfId="8093" priority="8090" operator="containsText" text="RECHAZADA">
      <formula>NOT(ISERROR(SEARCH("RECHAZADA",K814)))</formula>
    </cfRule>
    <cfRule type="containsText" dxfId="8092" priority="8091" operator="containsText" text="Atendida">
      <formula>NOT(ISERROR(SEARCH("Atendida",K814)))</formula>
    </cfRule>
  </conditionalFormatting>
  <conditionalFormatting sqref="K814">
    <cfRule type="containsText" dxfId="8091" priority="8092" operator="containsText" text="Reasignación">
      <formula>NOT(ISERROR(SEARCH("Reasignación",K814)))</formula>
    </cfRule>
    <cfRule type="containsText" dxfId="8090" priority="8093" operator="containsText" text="RECHAZADA">
      <formula>NOT(ISERROR(SEARCH("RECHAZADA",K814)))</formula>
    </cfRule>
    <cfRule type="containsText" dxfId="8089" priority="8094" operator="containsText" text="Atendida">
      <formula>NOT(ISERROR(SEARCH("Atendida",K814)))</formula>
    </cfRule>
    <cfRule type="containsText" dxfId="8088" priority="8095" operator="containsText" text="Reasignación">
      <formula>NOT(ISERROR(SEARCH("Reasignación",K814)))</formula>
    </cfRule>
    <cfRule type="containsText" dxfId="8087" priority="8096" operator="containsText" text="RECHAZADA">
      <formula>NOT(ISERROR(SEARCH("RECHAZADA",K814)))</formula>
    </cfRule>
    <cfRule type="containsText" dxfId="8086" priority="8097" operator="containsText" text="Atendida">
      <formula>NOT(ISERROR(SEARCH("Atendida",K814)))</formula>
    </cfRule>
    <cfRule type="containsText" dxfId="8085" priority="8098" operator="containsText" text="Reasignación">
      <formula>NOT(ISERROR(SEARCH("Reasignación",K814)))</formula>
    </cfRule>
    <cfRule type="containsText" dxfId="8084" priority="8099" operator="containsText" text="RECHAZADA">
      <formula>NOT(ISERROR(SEARCH("RECHAZADA",K814)))</formula>
    </cfRule>
    <cfRule type="containsText" dxfId="8083" priority="8100" operator="containsText" text="Atendida">
      <formula>NOT(ISERROR(SEARCH("Atendida",K814)))</formula>
    </cfRule>
    <cfRule type="containsText" dxfId="8082" priority="8101" operator="containsText" text="Reasignación">
      <formula>NOT(ISERROR(SEARCH("Reasignación",K814)))</formula>
    </cfRule>
    <cfRule type="containsText" dxfId="8081" priority="8102" operator="containsText" text="RECHAZADA">
      <formula>NOT(ISERROR(SEARCH("RECHAZADA",K814)))</formula>
    </cfRule>
    <cfRule type="containsText" dxfId="8080" priority="8103" operator="containsText" text="Atendida">
      <formula>NOT(ISERROR(SEARCH("Atendida",K814)))</formula>
    </cfRule>
  </conditionalFormatting>
  <conditionalFormatting sqref="K815">
    <cfRule type="containsText" dxfId="8079" priority="8059" operator="containsText" text="Reasignación">
      <formula>NOT(ISERROR(SEARCH("Reasignación",K815)))</formula>
    </cfRule>
    <cfRule type="containsText" dxfId="8078" priority="8060" operator="containsText" text="RECHAZADA">
      <formula>NOT(ISERROR(SEARCH("RECHAZADA",K815)))</formula>
    </cfRule>
    <cfRule type="containsText" dxfId="8077" priority="8061" operator="containsText" text="Atendida">
      <formula>NOT(ISERROR(SEARCH("Atendida",K815)))</formula>
    </cfRule>
  </conditionalFormatting>
  <conditionalFormatting sqref="K815">
    <cfRule type="containsText" dxfId="8076" priority="8062" operator="containsText" text="Reasignación">
      <formula>NOT(ISERROR(SEARCH("Reasignación",K815)))</formula>
    </cfRule>
    <cfRule type="containsText" dxfId="8075" priority="8063" operator="containsText" text="RECHAZADA">
      <formula>NOT(ISERROR(SEARCH("RECHAZADA",K815)))</formula>
    </cfRule>
    <cfRule type="containsText" dxfId="8074" priority="8064" operator="containsText" text="Atendida">
      <formula>NOT(ISERROR(SEARCH("Atendida",K815)))</formula>
    </cfRule>
    <cfRule type="containsText" dxfId="8073" priority="8065" operator="containsText" text="Reasignación">
      <formula>NOT(ISERROR(SEARCH("Reasignación",K815)))</formula>
    </cfRule>
    <cfRule type="containsText" dxfId="8072" priority="8066" operator="containsText" text="RECHAZADA">
      <formula>NOT(ISERROR(SEARCH("RECHAZADA",K815)))</formula>
    </cfRule>
    <cfRule type="containsText" dxfId="8071" priority="8067" operator="containsText" text="Atendida">
      <formula>NOT(ISERROR(SEARCH("Atendida",K815)))</formula>
    </cfRule>
    <cfRule type="containsText" dxfId="8070" priority="8068" operator="containsText" text="Reasignación">
      <formula>NOT(ISERROR(SEARCH("Reasignación",K815)))</formula>
    </cfRule>
    <cfRule type="containsText" dxfId="8069" priority="8069" operator="containsText" text="RECHAZADA">
      <formula>NOT(ISERROR(SEARCH("RECHAZADA",K815)))</formula>
    </cfRule>
    <cfRule type="containsText" dxfId="8068" priority="8070" operator="containsText" text="Atendida">
      <formula>NOT(ISERROR(SEARCH("Atendida",K815)))</formula>
    </cfRule>
    <cfRule type="containsText" dxfId="8067" priority="8071" operator="containsText" text="Reasignación">
      <formula>NOT(ISERROR(SEARCH("Reasignación",K815)))</formula>
    </cfRule>
    <cfRule type="containsText" dxfId="8066" priority="8072" operator="containsText" text="RECHAZADA">
      <formula>NOT(ISERROR(SEARCH("RECHAZADA",K815)))</formula>
    </cfRule>
    <cfRule type="containsText" dxfId="8065" priority="8073" operator="containsText" text="Atendida">
      <formula>NOT(ISERROR(SEARCH("Atendida",K815)))</formula>
    </cfRule>
  </conditionalFormatting>
  <conditionalFormatting sqref="K815">
    <cfRule type="containsText" dxfId="8064" priority="8086" operator="containsText" text="Reasignación">
      <formula>NOT(ISERROR(SEARCH("Reasignación",K815)))</formula>
    </cfRule>
    <cfRule type="containsText" dxfId="8063" priority="8087" operator="containsText" text="RECHAZADA">
      <formula>NOT(ISERROR(SEARCH("RECHAZADA",K815)))</formula>
    </cfRule>
    <cfRule type="containsText" dxfId="8062" priority="8088" operator="containsText" text="Atendida">
      <formula>NOT(ISERROR(SEARCH("Atendida",K815)))</formula>
    </cfRule>
  </conditionalFormatting>
  <conditionalFormatting sqref="K815">
    <cfRule type="containsText" dxfId="8061" priority="8074" operator="containsText" text="Reasignación">
      <formula>NOT(ISERROR(SEARCH("Reasignación",K815)))</formula>
    </cfRule>
    <cfRule type="containsText" dxfId="8060" priority="8075" operator="containsText" text="RECHAZADA">
      <formula>NOT(ISERROR(SEARCH("RECHAZADA",K815)))</formula>
    </cfRule>
    <cfRule type="containsText" dxfId="8059" priority="8076" operator="containsText" text="Atendida">
      <formula>NOT(ISERROR(SEARCH("Atendida",K815)))</formula>
    </cfRule>
    <cfRule type="containsText" dxfId="8058" priority="8077" operator="containsText" text="Reasignación">
      <formula>NOT(ISERROR(SEARCH("Reasignación",K815)))</formula>
    </cfRule>
    <cfRule type="containsText" dxfId="8057" priority="8078" operator="containsText" text="RECHAZADA">
      <formula>NOT(ISERROR(SEARCH("RECHAZADA",K815)))</formula>
    </cfRule>
    <cfRule type="containsText" dxfId="8056" priority="8079" operator="containsText" text="Atendida">
      <formula>NOT(ISERROR(SEARCH("Atendida",K815)))</formula>
    </cfRule>
    <cfRule type="containsText" dxfId="8055" priority="8080" operator="containsText" text="Reasignación">
      <formula>NOT(ISERROR(SEARCH("Reasignación",K815)))</formula>
    </cfRule>
    <cfRule type="containsText" dxfId="8054" priority="8081" operator="containsText" text="RECHAZADA">
      <formula>NOT(ISERROR(SEARCH("RECHAZADA",K815)))</formula>
    </cfRule>
    <cfRule type="containsText" dxfId="8053" priority="8082" operator="containsText" text="Atendida">
      <formula>NOT(ISERROR(SEARCH("Atendida",K815)))</formula>
    </cfRule>
    <cfRule type="containsText" dxfId="8052" priority="8083" operator="containsText" text="Reasignación">
      <formula>NOT(ISERROR(SEARCH("Reasignación",K815)))</formula>
    </cfRule>
    <cfRule type="containsText" dxfId="8051" priority="8084" operator="containsText" text="RECHAZADA">
      <formula>NOT(ISERROR(SEARCH("RECHAZADA",K815)))</formula>
    </cfRule>
    <cfRule type="containsText" dxfId="8050" priority="8085" operator="containsText" text="Atendida">
      <formula>NOT(ISERROR(SEARCH("Atendida",K815)))</formula>
    </cfRule>
  </conditionalFormatting>
  <conditionalFormatting sqref="K839:K841 K836:K837 K817 K819">
    <cfRule type="containsText" dxfId="8049" priority="8056" operator="containsText" text="Reasignación">
      <formula>NOT(ISERROR(SEARCH("Reasignación",K817)))</formula>
    </cfRule>
    <cfRule type="containsText" dxfId="8048" priority="8057" operator="containsText" text="RECHAZADA">
      <formula>NOT(ISERROR(SEARCH("RECHAZADA",K817)))</formula>
    </cfRule>
    <cfRule type="containsText" dxfId="8047" priority="8058" operator="containsText" text="Atendida">
      <formula>NOT(ISERROR(SEARCH("Atendida",K817)))</formula>
    </cfRule>
  </conditionalFormatting>
  <conditionalFormatting sqref="K817">
    <cfRule type="containsText" dxfId="8046" priority="8041" operator="containsText" text="Reasignación">
      <formula>NOT(ISERROR(SEARCH("Reasignación",K817)))</formula>
    </cfRule>
    <cfRule type="containsText" dxfId="8045" priority="8042" operator="containsText" text="RECHAZADA">
      <formula>NOT(ISERROR(SEARCH("RECHAZADA",K817)))</formula>
    </cfRule>
    <cfRule type="containsText" dxfId="8044" priority="8043" operator="containsText" text="Atendida">
      <formula>NOT(ISERROR(SEARCH("Atendida",K817)))</formula>
    </cfRule>
  </conditionalFormatting>
  <conditionalFormatting sqref="K817">
    <cfRule type="containsText" dxfId="8043" priority="8044" operator="containsText" text="Reasignación">
      <formula>NOT(ISERROR(SEARCH("Reasignación",K817)))</formula>
    </cfRule>
    <cfRule type="containsText" dxfId="8042" priority="8045" operator="containsText" text="RECHAZADA">
      <formula>NOT(ISERROR(SEARCH("RECHAZADA",K817)))</formula>
    </cfRule>
    <cfRule type="containsText" dxfId="8041" priority="8046" operator="containsText" text="Atendida">
      <formula>NOT(ISERROR(SEARCH("Atendida",K817)))</formula>
    </cfRule>
    <cfRule type="containsText" dxfId="8040" priority="8047" operator="containsText" text="Reasignación">
      <formula>NOT(ISERROR(SEARCH("Reasignación",K817)))</formula>
    </cfRule>
    <cfRule type="containsText" dxfId="8039" priority="8048" operator="containsText" text="RECHAZADA">
      <formula>NOT(ISERROR(SEARCH("RECHAZADA",K817)))</formula>
    </cfRule>
    <cfRule type="containsText" dxfId="8038" priority="8049" operator="containsText" text="Atendida">
      <formula>NOT(ISERROR(SEARCH("Atendida",K817)))</formula>
    </cfRule>
    <cfRule type="containsText" dxfId="8037" priority="8050" operator="containsText" text="Reasignación">
      <formula>NOT(ISERROR(SEARCH("Reasignación",K817)))</formula>
    </cfRule>
    <cfRule type="containsText" dxfId="8036" priority="8051" operator="containsText" text="RECHAZADA">
      <formula>NOT(ISERROR(SEARCH("RECHAZADA",K817)))</formula>
    </cfRule>
    <cfRule type="containsText" dxfId="8035" priority="8052" operator="containsText" text="Atendida">
      <formula>NOT(ISERROR(SEARCH("Atendida",K817)))</formula>
    </cfRule>
    <cfRule type="containsText" dxfId="8034" priority="8053" operator="containsText" text="Reasignación">
      <formula>NOT(ISERROR(SEARCH("Reasignación",K817)))</formula>
    </cfRule>
    <cfRule type="containsText" dxfId="8033" priority="8054" operator="containsText" text="RECHAZADA">
      <formula>NOT(ISERROR(SEARCH("RECHAZADA",K817)))</formula>
    </cfRule>
    <cfRule type="containsText" dxfId="8032" priority="8055" operator="containsText" text="Atendida">
      <formula>NOT(ISERROR(SEARCH("Atendida",K817)))</formula>
    </cfRule>
  </conditionalFormatting>
  <conditionalFormatting sqref="K816">
    <cfRule type="containsText" dxfId="8031" priority="8038" operator="containsText" text="Reasignación">
      <formula>NOT(ISERROR(SEARCH("Reasignación",K816)))</formula>
    </cfRule>
    <cfRule type="containsText" dxfId="8030" priority="8039" operator="containsText" text="RECHAZADA">
      <formula>NOT(ISERROR(SEARCH("RECHAZADA",K816)))</formula>
    </cfRule>
    <cfRule type="containsText" dxfId="8029" priority="8040" operator="containsText" text="Atendida">
      <formula>NOT(ISERROR(SEARCH("Atendida",K816)))</formula>
    </cfRule>
  </conditionalFormatting>
  <conditionalFormatting sqref="K816">
    <cfRule type="containsText" dxfId="8028" priority="8023" operator="containsText" text="Reasignación">
      <formula>NOT(ISERROR(SEARCH("Reasignación",K816)))</formula>
    </cfRule>
    <cfRule type="containsText" dxfId="8027" priority="8024" operator="containsText" text="RECHAZADA">
      <formula>NOT(ISERROR(SEARCH("RECHAZADA",K816)))</formula>
    </cfRule>
    <cfRule type="containsText" dxfId="8026" priority="8025" operator="containsText" text="Atendida">
      <formula>NOT(ISERROR(SEARCH("Atendida",K816)))</formula>
    </cfRule>
  </conditionalFormatting>
  <conditionalFormatting sqref="K816">
    <cfRule type="containsText" dxfId="8025" priority="8026" operator="containsText" text="Reasignación">
      <formula>NOT(ISERROR(SEARCH("Reasignación",K816)))</formula>
    </cfRule>
    <cfRule type="containsText" dxfId="8024" priority="8027" operator="containsText" text="RECHAZADA">
      <formula>NOT(ISERROR(SEARCH("RECHAZADA",K816)))</formula>
    </cfRule>
    <cfRule type="containsText" dxfId="8023" priority="8028" operator="containsText" text="Atendida">
      <formula>NOT(ISERROR(SEARCH("Atendida",K816)))</formula>
    </cfRule>
    <cfRule type="containsText" dxfId="8022" priority="8029" operator="containsText" text="Reasignación">
      <formula>NOT(ISERROR(SEARCH("Reasignación",K816)))</formula>
    </cfRule>
    <cfRule type="containsText" dxfId="8021" priority="8030" operator="containsText" text="RECHAZADA">
      <formula>NOT(ISERROR(SEARCH("RECHAZADA",K816)))</formula>
    </cfRule>
    <cfRule type="containsText" dxfId="8020" priority="8031" operator="containsText" text="Atendida">
      <formula>NOT(ISERROR(SEARCH("Atendida",K816)))</formula>
    </cfRule>
    <cfRule type="containsText" dxfId="8019" priority="8032" operator="containsText" text="Reasignación">
      <formula>NOT(ISERROR(SEARCH("Reasignación",K816)))</formula>
    </cfRule>
    <cfRule type="containsText" dxfId="8018" priority="8033" operator="containsText" text="RECHAZADA">
      <formula>NOT(ISERROR(SEARCH("RECHAZADA",K816)))</formula>
    </cfRule>
    <cfRule type="containsText" dxfId="8017" priority="8034" operator="containsText" text="Atendida">
      <formula>NOT(ISERROR(SEARCH("Atendida",K816)))</formula>
    </cfRule>
    <cfRule type="containsText" dxfId="8016" priority="8035" operator="containsText" text="Reasignación">
      <formula>NOT(ISERROR(SEARCH("Reasignación",K816)))</formula>
    </cfRule>
    <cfRule type="containsText" dxfId="8015" priority="8036" operator="containsText" text="RECHAZADA">
      <formula>NOT(ISERROR(SEARCH("RECHAZADA",K816)))</formula>
    </cfRule>
    <cfRule type="containsText" dxfId="8014" priority="8037" operator="containsText" text="Atendida">
      <formula>NOT(ISERROR(SEARCH("Atendida",K816)))</formula>
    </cfRule>
  </conditionalFormatting>
  <conditionalFormatting sqref="B818">
    <cfRule type="duplicateValues" dxfId="8013" priority="8022"/>
  </conditionalFormatting>
  <conditionalFormatting sqref="E818">
    <cfRule type="duplicateValues" dxfId="8012" priority="8018"/>
  </conditionalFormatting>
  <conditionalFormatting sqref="M818">
    <cfRule type="containsText" dxfId="8011" priority="8021" operator="containsText" text="Atendida">
      <formula>NOT(ISERROR(SEARCH("Atendida",M818)))</formula>
    </cfRule>
  </conditionalFormatting>
  <conditionalFormatting sqref="M818">
    <cfRule type="containsText" dxfId="8010" priority="8020" operator="containsText" text="RECHAZADA">
      <formula>NOT(ISERROR(SEARCH("RECHAZADA",M818)))</formula>
    </cfRule>
  </conditionalFormatting>
  <conditionalFormatting sqref="M818">
    <cfRule type="containsText" dxfId="8009" priority="8019" operator="containsText" text="CONFORME">
      <formula>NOT(ISERROR(SEARCH("CONFORME",M818)))</formula>
    </cfRule>
  </conditionalFormatting>
  <conditionalFormatting sqref="M818">
    <cfRule type="containsText" dxfId="8008" priority="8017" operator="containsText" text="OBSERVADO">
      <formula>NOT(ISERROR(SEARCH("OBSERVADO",M818)))</formula>
    </cfRule>
  </conditionalFormatting>
  <conditionalFormatting sqref="K819">
    <cfRule type="containsText" dxfId="8007" priority="7999" operator="containsText" text="Reasignación">
      <formula>NOT(ISERROR(SEARCH("Reasignación",K819)))</formula>
    </cfRule>
    <cfRule type="containsText" dxfId="8006" priority="8000" operator="containsText" text="RECHAZADA">
      <formula>NOT(ISERROR(SEARCH("RECHAZADA",K819)))</formula>
    </cfRule>
    <cfRule type="containsText" dxfId="8005" priority="8001" operator="containsText" text="Atendida">
      <formula>NOT(ISERROR(SEARCH("Atendida",K819)))</formula>
    </cfRule>
  </conditionalFormatting>
  <conditionalFormatting sqref="K819">
    <cfRule type="containsText" dxfId="8004" priority="8002" operator="containsText" text="Reasignación">
      <formula>NOT(ISERROR(SEARCH("Reasignación",K819)))</formula>
    </cfRule>
    <cfRule type="containsText" dxfId="8003" priority="8003" operator="containsText" text="RECHAZADA">
      <formula>NOT(ISERROR(SEARCH("RECHAZADA",K819)))</formula>
    </cfRule>
    <cfRule type="containsText" dxfId="8002" priority="8004" operator="containsText" text="Atendida">
      <formula>NOT(ISERROR(SEARCH("Atendida",K819)))</formula>
    </cfRule>
    <cfRule type="containsText" dxfId="8001" priority="8005" operator="containsText" text="Reasignación">
      <formula>NOT(ISERROR(SEARCH("Reasignación",K819)))</formula>
    </cfRule>
    <cfRule type="containsText" dxfId="8000" priority="8006" operator="containsText" text="RECHAZADA">
      <formula>NOT(ISERROR(SEARCH("RECHAZADA",K819)))</formula>
    </cfRule>
    <cfRule type="containsText" dxfId="7999" priority="8007" operator="containsText" text="Atendida">
      <formula>NOT(ISERROR(SEARCH("Atendida",K819)))</formula>
    </cfRule>
    <cfRule type="containsText" dxfId="7998" priority="8008" operator="containsText" text="Reasignación">
      <formula>NOT(ISERROR(SEARCH("Reasignación",K819)))</formula>
    </cfRule>
    <cfRule type="containsText" dxfId="7997" priority="8009" operator="containsText" text="RECHAZADA">
      <formula>NOT(ISERROR(SEARCH("RECHAZADA",K819)))</formula>
    </cfRule>
    <cfRule type="containsText" dxfId="7996" priority="8010" operator="containsText" text="Atendida">
      <formula>NOT(ISERROR(SEARCH("Atendida",K819)))</formula>
    </cfRule>
    <cfRule type="containsText" dxfId="7995" priority="8011" operator="containsText" text="Reasignación">
      <formula>NOT(ISERROR(SEARCH("Reasignación",K819)))</formula>
    </cfRule>
    <cfRule type="containsText" dxfId="7994" priority="8012" operator="containsText" text="RECHAZADA">
      <formula>NOT(ISERROR(SEARCH("RECHAZADA",K819)))</formula>
    </cfRule>
    <cfRule type="containsText" dxfId="7993" priority="8013" operator="containsText" text="Atendida">
      <formula>NOT(ISERROR(SEARCH("Atendida",K819)))</formula>
    </cfRule>
  </conditionalFormatting>
  <conditionalFormatting sqref="K819">
    <cfRule type="containsText" dxfId="7992" priority="8014" operator="containsText" text="Reasignación">
      <formula>NOT(ISERROR(SEARCH("Reasignación",K819)))</formula>
    </cfRule>
    <cfRule type="containsText" dxfId="7991" priority="8015" operator="containsText" text="RECHAZADA">
      <formula>NOT(ISERROR(SEARCH("RECHAZADA",K819)))</formula>
    </cfRule>
    <cfRule type="containsText" dxfId="7990" priority="8016" operator="containsText" text="Atendida">
      <formula>NOT(ISERROR(SEARCH("Atendida",K819)))</formula>
    </cfRule>
  </conditionalFormatting>
  <conditionalFormatting sqref="K818">
    <cfRule type="containsText" dxfId="7989" priority="7996" operator="containsText" text="Reasignación">
      <formula>NOT(ISERROR(SEARCH("Reasignación",K818)))</formula>
    </cfRule>
    <cfRule type="containsText" dxfId="7988" priority="7997" operator="containsText" text="RECHAZADA">
      <formula>NOT(ISERROR(SEARCH("RECHAZADA",K818)))</formula>
    </cfRule>
    <cfRule type="containsText" dxfId="7987" priority="7998" operator="containsText" text="Atendida">
      <formula>NOT(ISERROR(SEARCH("Atendida",K818)))</formula>
    </cfRule>
  </conditionalFormatting>
  <conditionalFormatting sqref="K818">
    <cfRule type="containsText" dxfId="7986" priority="7969" operator="containsText" text="Reasignación">
      <formula>NOT(ISERROR(SEARCH("Reasignación",K818)))</formula>
    </cfRule>
    <cfRule type="containsText" dxfId="7985" priority="7970" operator="containsText" text="RECHAZADA">
      <formula>NOT(ISERROR(SEARCH("RECHAZADA",K818)))</formula>
    </cfRule>
    <cfRule type="containsText" dxfId="7984" priority="7971" operator="containsText" text="Atendida">
      <formula>NOT(ISERROR(SEARCH("Atendida",K818)))</formula>
    </cfRule>
  </conditionalFormatting>
  <conditionalFormatting sqref="K818">
    <cfRule type="containsText" dxfId="7983" priority="7972" operator="containsText" text="Reasignación">
      <formula>NOT(ISERROR(SEARCH("Reasignación",K818)))</formula>
    </cfRule>
    <cfRule type="containsText" dxfId="7982" priority="7973" operator="containsText" text="RECHAZADA">
      <formula>NOT(ISERROR(SEARCH("RECHAZADA",K818)))</formula>
    </cfRule>
    <cfRule type="containsText" dxfId="7981" priority="7974" operator="containsText" text="Atendida">
      <formula>NOT(ISERROR(SEARCH("Atendida",K818)))</formula>
    </cfRule>
    <cfRule type="containsText" dxfId="7980" priority="7975" operator="containsText" text="Reasignación">
      <formula>NOT(ISERROR(SEARCH("Reasignación",K818)))</formula>
    </cfRule>
    <cfRule type="containsText" dxfId="7979" priority="7976" operator="containsText" text="RECHAZADA">
      <formula>NOT(ISERROR(SEARCH("RECHAZADA",K818)))</formula>
    </cfRule>
    <cfRule type="containsText" dxfId="7978" priority="7977" operator="containsText" text="Atendida">
      <formula>NOT(ISERROR(SEARCH("Atendida",K818)))</formula>
    </cfRule>
    <cfRule type="containsText" dxfId="7977" priority="7978" operator="containsText" text="Reasignación">
      <formula>NOT(ISERROR(SEARCH("Reasignación",K818)))</formula>
    </cfRule>
    <cfRule type="containsText" dxfId="7976" priority="7979" operator="containsText" text="RECHAZADA">
      <formula>NOT(ISERROR(SEARCH("RECHAZADA",K818)))</formula>
    </cfRule>
    <cfRule type="containsText" dxfId="7975" priority="7980" operator="containsText" text="Atendida">
      <formula>NOT(ISERROR(SEARCH("Atendida",K818)))</formula>
    </cfRule>
    <cfRule type="containsText" dxfId="7974" priority="7981" operator="containsText" text="Reasignación">
      <formula>NOT(ISERROR(SEARCH("Reasignación",K818)))</formula>
    </cfRule>
    <cfRule type="containsText" dxfId="7973" priority="7982" operator="containsText" text="RECHAZADA">
      <formula>NOT(ISERROR(SEARCH("RECHAZADA",K818)))</formula>
    </cfRule>
    <cfRule type="containsText" dxfId="7972" priority="7983" operator="containsText" text="Atendida">
      <formula>NOT(ISERROR(SEARCH("Atendida",K818)))</formula>
    </cfRule>
  </conditionalFormatting>
  <conditionalFormatting sqref="K818">
    <cfRule type="containsText" dxfId="7971" priority="7984" operator="containsText" text="Reasignación">
      <formula>NOT(ISERROR(SEARCH("Reasignación",K818)))</formula>
    </cfRule>
    <cfRule type="containsText" dxfId="7970" priority="7985" operator="containsText" text="RECHAZADA">
      <formula>NOT(ISERROR(SEARCH("RECHAZADA",K818)))</formula>
    </cfRule>
    <cfRule type="containsText" dxfId="7969" priority="7986" operator="containsText" text="Atendida">
      <formula>NOT(ISERROR(SEARCH("Atendida",K818)))</formula>
    </cfRule>
    <cfRule type="containsText" dxfId="7968" priority="7987" operator="containsText" text="Reasignación">
      <formula>NOT(ISERROR(SEARCH("Reasignación",K818)))</formula>
    </cfRule>
    <cfRule type="containsText" dxfId="7967" priority="7988" operator="containsText" text="RECHAZADA">
      <formula>NOT(ISERROR(SEARCH("RECHAZADA",K818)))</formula>
    </cfRule>
    <cfRule type="containsText" dxfId="7966" priority="7989" operator="containsText" text="Atendida">
      <formula>NOT(ISERROR(SEARCH("Atendida",K818)))</formula>
    </cfRule>
    <cfRule type="containsText" dxfId="7965" priority="7990" operator="containsText" text="Reasignación">
      <formula>NOT(ISERROR(SEARCH("Reasignación",K818)))</formula>
    </cfRule>
    <cfRule type="containsText" dxfId="7964" priority="7991" operator="containsText" text="RECHAZADA">
      <formula>NOT(ISERROR(SEARCH("RECHAZADA",K818)))</formula>
    </cfRule>
    <cfRule type="containsText" dxfId="7963" priority="7992" operator="containsText" text="Atendida">
      <formula>NOT(ISERROR(SEARCH("Atendida",K818)))</formula>
    </cfRule>
    <cfRule type="containsText" dxfId="7962" priority="7993" operator="containsText" text="Reasignación">
      <formula>NOT(ISERROR(SEARCH("Reasignación",K818)))</formula>
    </cfRule>
    <cfRule type="containsText" dxfId="7961" priority="7994" operator="containsText" text="RECHAZADA">
      <formula>NOT(ISERROR(SEARCH("RECHAZADA",K818)))</formula>
    </cfRule>
    <cfRule type="containsText" dxfId="7960" priority="7995" operator="containsText" text="Atendida">
      <formula>NOT(ISERROR(SEARCH("Atendida",K818)))</formula>
    </cfRule>
  </conditionalFormatting>
  <conditionalFormatting sqref="K820">
    <cfRule type="containsText" dxfId="7959" priority="7966" operator="containsText" text="Reasignación">
      <formula>NOT(ISERROR(SEARCH("Reasignación",K820)))</formula>
    </cfRule>
    <cfRule type="containsText" dxfId="7958" priority="7967" operator="containsText" text="RECHAZADA">
      <formula>NOT(ISERROR(SEARCH("RECHAZADA",K820)))</formula>
    </cfRule>
    <cfRule type="containsText" dxfId="7957" priority="7968" operator="containsText" text="Atendida">
      <formula>NOT(ISERROR(SEARCH("Atendida",K820)))</formula>
    </cfRule>
  </conditionalFormatting>
  <conditionalFormatting sqref="K820">
    <cfRule type="containsText" dxfId="7956" priority="7948" operator="containsText" text="Reasignación">
      <formula>NOT(ISERROR(SEARCH("Reasignación",K820)))</formula>
    </cfRule>
    <cfRule type="containsText" dxfId="7955" priority="7949" operator="containsText" text="RECHAZADA">
      <formula>NOT(ISERROR(SEARCH("RECHAZADA",K820)))</formula>
    </cfRule>
    <cfRule type="containsText" dxfId="7954" priority="7950" operator="containsText" text="Atendida">
      <formula>NOT(ISERROR(SEARCH("Atendida",K820)))</formula>
    </cfRule>
  </conditionalFormatting>
  <conditionalFormatting sqref="K820">
    <cfRule type="containsText" dxfId="7953" priority="7951" operator="containsText" text="Reasignación">
      <formula>NOT(ISERROR(SEARCH("Reasignación",K820)))</formula>
    </cfRule>
    <cfRule type="containsText" dxfId="7952" priority="7952" operator="containsText" text="RECHAZADA">
      <formula>NOT(ISERROR(SEARCH("RECHAZADA",K820)))</formula>
    </cfRule>
    <cfRule type="containsText" dxfId="7951" priority="7953" operator="containsText" text="Atendida">
      <formula>NOT(ISERROR(SEARCH("Atendida",K820)))</formula>
    </cfRule>
    <cfRule type="containsText" dxfId="7950" priority="7954" operator="containsText" text="Reasignación">
      <formula>NOT(ISERROR(SEARCH("Reasignación",K820)))</formula>
    </cfRule>
    <cfRule type="containsText" dxfId="7949" priority="7955" operator="containsText" text="RECHAZADA">
      <formula>NOT(ISERROR(SEARCH("RECHAZADA",K820)))</formula>
    </cfRule>
    <cfRule type="containsText" dxfId="7948" priority="7956" operator="containsText" text="Atendida">
      <formula>NOT(ISERROR(SEARCH("Atendida",K820)))</formula>
    </cfRule>
    <cfRule type="containsText" dxfId="7947" priority="7957" operator="containsText" text="Reasignación">
      <formula>NOT(ISERROR(SEARCH("Reasignación",K820)))</formula>
    </cfRule>
    <cfRule type="containsText" dxfId="7946" priority="7958" operator="containsText" text="RECHAZADA">
      <formula>NOT(ISERROR(SEARCH("RECHAZADA",K820)))</formula>
    </cfRule>
    <cfRule type="containsText" dxfId="7945" priority="7959" operator="containsText" text="Atendida">
      <formula>NOT(ISERROR(SEARCH("Atendida",K820)))</formula>
    </cfRule>
    <cfRule type="containsText" dxfId="7944" priority="7960" operator="containsText" text="Reasignación">
      <formula>NOT(ISERROR(SEARCH("Reasignación",K820)))</formula>
    </cfRule>
    <cfRule type="containsText" dxfId="7943" priority="7961" operator="containsText" text="RECHAZADA">
      <formula>NOT(ISERROR(SEARCH("RECHAZADA",K820)))</formula>
    </cfRule>
    <cfRule type="containsText" dxfId="7942" priority="7962" operator="containsText" text="Atendida">
      <formula>NOT(ISERROR(SEARCH("Atendida",K820)))</formula>
    </cfRule>
  </conditionalFormatting>
  <conditionalFormatting sqref="K820">
    <cfRule type="containsText" dxfId="7941" priority="7963" operator="containsText" text="Reasignación">
      <formula>NOT(ISERROR(SEARCH("Reasignación",K820)))</formula>
    </cfRule>
    <cfRule type="containsText" dxfId="7940" priority="7964" operator="containsText" text="RECHAZADA">
      <formula>NOT(ISERROR(SEARCH("RECHAZADA",K820)))</formula>
    </cfRule>
    <cfRule type="containsText" dxfId="7939" priority="7965" operator="containsText" text="Atendida">
      <formula>NOT(ISERROR(SEARCH("Atendida",K820)))</formula>
    </cfRule>
  </conditionalFormatting>
  <conditionalFormatting sqref="K821">
    <cfRule type="containsText" dxfId="7938" priority="7918" operator="containsText" text="Reasignación">
      <formula>NOT(ISERROR(SEARCH("Reasignación",K821)))</formula>
    </cfRule>
    <cfRule type="containsText" dxfId="7937" priority="7919" operator="containsText" text="RECHAZADA">
      <formula>NOT(ISERROR(SEARCH("RECHAZADA",K821)))</formula>
    </cfRule>
    <cfRule type="containsText" dxfId="7936" priority="7920" operator="containsText" text="Atendida">
      <formula>NOT(ISERROR(SEARCH("Atendida",K821)))</formula>
    </cfRule>
  </conditionalFormatting>
  <conditionalFormatting sqref="K821">
    <cfRule type="containsText" dxfId="7935" priority="7921" operator="containsText" text="Reasignación">
      <formula>NOT(ISERROR(SEARCH("Reasignación",K821)))</formula>
    </cfRule>
    <cfRule type="containsText" dxfId="7934" priority="7922" operator="containsText" text="RECHAZADA">
      <formula>NOT(ISERROR(SEARCH("RECHAZADA",K821)))</formula>
    </cfRule>
    <cfRule type="containsText" dxfId="7933" priority="7923" operator="containsText" text="Atendida">
      <formula>NOT(ISERROR(SEARCH("Atendida",K821)))</formula>
    </cfRule>
    <cfRule type="containsText" dxfId="7932" priority="7924" operator="containsText" text="Reasignación">
      <formula>NOT(ISERROR(SEARCH("Reasignación",K821)))</formula>
    </cfRule>
    <cfRule type="containsText" dxfId="7931" priority="7925" operator="containsText" text="RECHAZADA">
      <formula>NOT(ISERROR(SEARCH("RECHAZADA",K821)))</formula>
    </cfRule>
    <cfRule type="containsText" dxfId="7930" priority="7926" operator="containsText" text="Atendida">
      <formula>NOT(ISERROR(SEARCH("Atendida",K821)))</formula>
    </cfRule>
    <cfRule type="containsText" dxfId="7929" priority="7927" operator="containsText" text="Reasignación">
      <formula>NOT(ISERROR(SEARCH("Reasignación",K821)))</formula>
    </cfRule>
    <cfRule type="containsText" dxfId="7928" priority="7928" operator="containsText" text="RECHAZADA">
      <formula>NOT(ISERROR(SEARCH("RECHAZADA",K821)))</formula>
    </cfRule>
    <cfRule type="containsText" dxfId="7927" priority="7929" operator="containsText" text="Atendida">
      <formula>NOT(ISERROR(SEARCH("Atendida",K821)))</formula>
    </cfRule>
    <cfRule type="containsText" dxfId="7926" priority="7930" operator="containsText" text="Reasignación">
      <formula>NOT(ISERROR(SEARCH("Reasignación",K821)))</formula>
    </cfRule>
    <cfRule type="containsText" dxfId="7925" priority="7931" operator="containsText" text="RECHAZADA">
      <formula>NOT(ISERROR(SEARCH("RECHAZADA",K821)))</formula>
    </cfRule>
    <cfRule type="containsText" dxfId="7924" priority="7932" operator="containsText" text="Atendida">
      <formula>NOT(ISERROR(SEARCH("Atendida",K821)))</formula>
    </cfRule>
  </conditionalFormatting>
  <conditionalFormatting sqref="K821">
    <cfRule type="containsText" dxfId="7923" priority="7945" operator="containsText" text="Reasignación">
      <formula>NOT(ISERROR(SEARCH("Reasignación",K821)))</formula>
    </cfRule>
    <cfRule type="containsText" dxfId="7922" priority="7946" operator="containsText" text="RECHAZADA">
      <formula>NOT(ISERROR(SEARCH("RECHAZADA",K821)))</formula>
    </cfRule>
    <cfRule type="containsText" dxfId="7921" priority="7947" operator="containsText" text="Atendida">
      <formula>NOT(ISERROR(SEARCH("Atendida",K821)))</formula>
    </cfRule>
  </conditionalFormatting>
  <conditionalFormatting sqref="K821">
    <cfRule type="containsText" dxfId="7920" priority="7933" operator="containsText" text="Reasignación">
      <formula>NOT(ISERROR(SEARCH("Reasignación",K821)))</formula>
    </cfRule>
    <cfRule type="containsText" dxfId="7919" priority="7934" operator="containsText" text="RECHAZADA">
      <formula>NOT(ISERROR(SEARCH("RECHAZADA",K821)))</formula>
    </cfRule>
    <cfRule type="containsText" dxfId="7918" priority="7935" operator="containsText" text="Atendida">
      <formula>NOT(ISERROR(SEARCH("Atendida",K821)))</formula>
    </cfRule>
    <cfRule type="containsText" dxfId="7917" priority="7936" operator="containsText" text="Reasignación">
      <formula>NOT(ISERROR(SEARCH("Reasignación",K821)))</formula>
    </cfRule>
    <cfRule type="containsText" dxfId="7916" priority="7937" operator="containsText" text="RECHAZADA">
      <formula>NOT(ISERROR(SEARCH("RECHAZADA",K821)))</formula>
    </cfRule>
    <cfRule type="containsText" dxfId="7915" priority="7938" operator="containsText" text="Atendida">
      <formula>NOT(ISERROR(SEARCH("Atendida",K821)))</formula>
    </cfRule>
    <cfRule type="containsText" dxfId="7914" priority="7939" operator="containsText" text="Reasignación">
      <formula>NOT(ISERROR(SEARCH("Reasignación",K821)))</formula>
    </cfRule>
    <cfRule type="containsText" dxfId="7913" priority="7940" operator="containsText" text="RECHAZADA">
      <formula>NOT(ISERROR(SEARCH("RECHAZADA",K821)))</formula>
    </cfRule>
    <cfRule type="containsText" dxfId="7912" priority="7941" operator="containsText" text="Atendida">
      <formula>NOT(ISERROR(SEARCH("Atendida",K821)))</formula>
    </cfRule>
    <cfRule type="containsText" dxfId="7911" priority="7942" operator="containsText" text="Reasignación">
      <formula>NOT(ISERROR(SEARCH("Reasignación",K821)))</formula>
    </cfRule>
    <cfRule type="containsText" dxfId="7910" priority="7943" operator="containsText" text="RECHAZADA">
      <formula>NOT(ISERROR(SEARCH("RECHAZADA",K821)))</formula>
    </cfRule>
    <cfRule type="containsText" dxfId="7909" priority="7944" operator="containsText" text="Atendida">
      <formula>NOT(ISERROR(SEARCH("Atendida",K821)))</formula>
    </cfRule>
  </conditionalFormatting>
  <conditionalFormatting sqref="K822">
    <cfRule type="containsText" dxfId="7908" priority="7888" operator="containsText" text="Reasignación">
      <formula>NOT(ISERROR(SEARCH("Reasignación",K822)))</formula>
    </cfRule>
    <cfRule type="containsText" dxfId="7907" priority="7889" operator="containsText" text="RECHAZADA">
      <formula>NOT(ISERROR(SEARCH("RECHAZADA",K822)))</formula>
    </cfRule>
    <cfRule type="containsText" dxfId="7906" priority="7890" operator="containsText" text="Atendida">
      <formula>NOT(ISERROR(SEARCH("Atendida",K822)))</formula>
    </cfRule>
  </conditionalFormatting>
  <conditionalFormatting sqref="K822">
    <cfRule type="containsText" dxfId="7905" priority="7891" operator="containsText" text="Reasignación">
      <formula>NOT(ISERROR(SEARCH("Reasignación",K822)))</formula>
    </cfRule>
    <cfRule type="containsText" dxfId="7904" priority="7892" operator="containsText" text="RECHAZADA">
      <formula>NOT(ISERROR(SEARCH("RECHAZADA",K822)))</formula>
    </cfRule>
    <cfRule type="containsText" dxfId="7903" priority="7893" operator="containsText" text="Atendida">
      <formula>NOT(ISERROR(SEARCH("Atendida",K822)))</formula>
    </cfRule>
    <cfRule type="containsText" dxfId="7902" priority="7894" operator="containsText" text="Reasignación">
      <formula>NOT(ISERROR(SEARCH("Reasignación",K822)))</formula>
    </cfRule>
    <cfRule type="containsText" dxfId="7901" priority="7895" operator="containsText" text="RECHAZADA">
      <formula>NOT(ISERROR(SEARCH("RECHAZADA",K822)))</formula>
    </cfRule>
    <cfRule type="containsText" dxfId="7900" priority="7896" operator="containsText" text="Atendida">
      <formula>NOT(ISERROR(SEARCH("Atendida",K822)))</formula>
    </cfRule>
    <cfRule type="containsText" dxfId="7899" priority="7897" operator="containsText" text="Reasignación">
      <formula>NOT(ISERROR(SEARCH("Reasignación",K822)))</formula>
    </cfRule>
    <cfRule type="containsText" dxfId="7898" priority="7898" operator="containsText" text="RECHAZADA">
      <formula>NOT(ISERROR(SEARCH("RECHAZADA",K822)))</formula>
    </cfRule>
    <cfRule type="containsText" dxfId="7897" priority="7899" operator="containsText" text="Atendida">
      <formula>NOT(ISERROR(SEARCH("Atendida",K822)))</formula>
    </cfRule>
    <cfRule type="containsText" dxfId="7896" priority="7900" operator="containsText" text="Reasignación">
      <formula>NOT(ISERROR(SEARCH("Reasignación",K822)))</formula>
    </cfRule>
    <cfRule type="containsText" dxfId="7895" priority="7901" operator="containsText" text="RECHAZADA">
      <formula>NOT(ISERROR(SEARCH("RECHAZADA",K822)))</formula>
    </cfRule>
    <cfRule type="containsText" dxfId="7894" priority="7902" operator="containsText" text="Atendida">
      <formula>NOT(ISERROR(SEARCH("Atendida",K822)))</formula>
    </cfRule>
  </conditionalFormatting>
  <conditionalFormatting sqref="K822">
    <cfRule type="containsText" dxfId="7893" priority="7915" operator="containsText" text="Reasignación">
      <formula>NOT(ISERROR(SEARCH("Reasignación",K822)))</formula>
    </cfRule>
    <cfRule type="containsText" dxfId="7892" priority="7916" operator="containsText" text="RECHAZADA">
      <formula>NOT(ISERROR(SEARCH("RECHAZADA",K822)))</formula>
    </cfRule>
    <cfRule type="containsText" dxfId="7891" priority="7917" operator="containsText" text="Atendida">
      <formula>NOT(ISERROR(SEARCH("Atendida",K822)))</formula>
    </cfRule>
  </conditionalFormatting>
  <conditionalFormatting sqref="K822">
    <cfRule type="containsText" dxfId="7890" priority="7903" operator="containsText" text="Reasignación">
      <formula>NOT(ISERROR(SEARCH("Reasignación",K822)))</formula>
    </cfRule>
    <cfRule type="containsText" dxfId="7889" priority="7904" operator="containsText" text="RECHAZADA">
      <formula>NOT(ISERROR(SEARCH("RECHAZADA",K822)))</formula>
    </cfRule>
    <cfRule type="containsText" dxfId="7888" priority="7905" operator="containsText" text="Atendida">
      <formula>NOT(ISERROR(SEARCH("Atendida",K822)))</formula>
    </cfRule>
    <cfRule type="containsText" dxfId="7887" priority="7906" operator="containsText" text="Reasignación">
      <formula>NOT(ISERROR(SEARCH("Reasignación",K822)))</formula>
    </cfRule>
    <cfRule type="containsText" dxfId="7886" priority="7907" operator="containsText" text="RECHAZADA">
      <formula>NOT(ISERROR(SEARCH("RECHAZADA",K822)))</formula>
    </cfRule>
    <cfRule type="containsText" dxfId="7885" priority="7908" operator="containsText" text="Atendida">
      <formula>NOT(ISERROR(SEARCH("Atendida",K822)))</formula>
    </cfRule>
    <cfRule type="containsText" dxfId="7884" priority="7909" operator="containsText" text="Reasignación">
      <formula>NOT(ISERROR(SEARCH("Reasignación",K822)))</formula>
    </cfRule>
    <cfRule type="containsText" dxfId="7883" priority="7910" operator="containsText" text="RECHAZADA">
      <formula>NOT(ISERROR(SEARCH("RECHAZADA",K822)))</formula>
    </cfRule>
    <cfRule type="containsText" dxfId="7882" priority="7911" operator="containsText" text="Atendida">
      <formula>NOT(ISERROR(SEARCH("Atendida",K822)))</formula>
    </cfRule>
    <cfRule type="containsText" dxfId="7881" priority="7912" operator="containsText" text="Reasignación">
      <formula>NOT(ISERROR(SEARCH("Reasignación",K822)))</formula>
    </cfRule>
    <cfRule type="containsText" dxfId="7880" priority="7913" operator="containsText" text="RECHAZADA">
      <formula>NOT(ISERROR(SEARCH("RECHAZADA",K822)))</formula>
    </cfRule>
    <cfRule type="containsText" dxfId="7879" priority="7914" operator="containsText" text="Atendida">
      <formula>NOT(ISERROR(SEARCH("Atendida",K822)))</formula>
    </cfRule>
  </conditionalFormatting>
  <conditionalFormatting sqref="K823">
    <cfRule type="containsText" dxfId="7878" priority="7858" operator="containsText" text="Reasignación">
      <formula>NOT(ISERROR(SEARCH("Reasignación",K823)))</formula>
    </cfRule>
    <cfRule type="containsText" dxfId="7877" priority="7859" operator="containsText" text="RECHAZADA">
      <formula>NOT(ISERROR(SEARCH("RECHAZADA",K823)))</formula>
    </cfRule>
    <cfRule type="containsText" dxfId="7876" priority="7860" operator="containsText" text="Atendida">
      <formula>NOT(ISERROR(SEARCH("Atendida",K823)))</formula>
    </cfRule>
  </conditionalFormatting>
  <conditionalFormatting sqref="K823">
    <cfRule type="containsText" dxfId="7875" priority="7861" operator="containsText" text="Reasignación">
      <formula>NOT(ISERROR(SEARCH("Reasignación",K823)))</formula>
    </cfRule>
    <cfRule type="containsText" dxfId="7874" priority="7862" operator="containsText" text="RECHAZADA">
      <formula>NOT(ISERROR(SEARCH("RECHAZADA",K823)))</formula>
    </cfRule>
    <cfRule type="containsText" dxfId="7873" priority="7863" operator="containsText" text="Atendida">
      <formula>NOT(ISERROR(SEARCH("Atendida",K823)))</formula>
    </cfRule>
    <cfRule type="containsText" dxfId="7872" priority="7864" operator="containsText" text="Reasignación">
      <formula>NOT(ISERROR(SEARCH("Reasignación",K823)))</formula>
    </cfRule>
    <cfRule type="containsText" dxfId="7871" priority="7865" operator="containsText" text="RECHAZADA">
      <formula>NOT(ISERROR(SEARCH("RECHAZADA",K823)))</formula>
    </cfRule>
    <cfRule type="containsText" dxfId="7870" priority="7866" operator="containsText" text="Atendida">
      <formula>NOT(ISERROR(SEARCH("Atendida",K823)))</formula>
    </cfRule>
    <cfRule type="containsText" dxfId="7869" priority="7867" operator="containsText" text="Reasignación">
      <formula>NOT(ISERROR(SEARCH("Reasignación",K823)))</formula>
    </cfRule>
    <cfRule type="containsText" dxfId="7868" priority="7868" operator="containsText" text="RECHAZADA">
      <formula>NOT(ISERROR(SEARCH("RECHAZADA",K823)))</formula>
    </cfRule>
    <cfRule type="containsText" dxfId="7867" priority="7869" operator="containsText" text="Atendida">
      <formula>NOT(ISERROR(SEARCH("Atendida",K823)))</formula>
    </cfRule>
    <cfRule type="containsText" dxfId="7866" priority="7870" operator="containsText" text="Reasignación">
      <formula>NOT(ISERROR(SEARCH("Reasignación",K823)))</formula>
    </cfRule>
    <cfRule type="containsText" dxfId="7865" priority="7871" operator="containsText" text="RECHAZADA">
      <formula>NOT(ISERROR(SEARCH("RECHAZADA",K823)))</formula>
    </cfRule>
    <cfRule type="containsText" dxfId="7864" priority="7872" operator="containsText" text="Atendida">
      <formula>NOT(ISERROR(SEARCH("Atendida",K823)))</formula>
    </cfRule>
  </conditionalFormatting>
  <conditionalFormatting sqref="K823">
    <cfRule type="containsText" dxfId="7863" priority="7885" operator="containsText" text="Reasignación">
      <formula>NOT(ISERROR(SEARCH("Reasignación",K823)))</formula>
    </cfRule>
    <cfRule type="containsText" dxfId="7862" priority="7886" operator="containsText" text="RECHAZADA">
      <formula>NOT(ISERROR(SEARCH("RECHAZADA",K823)))</formula>
    </cfRule>
    <cfRule type="containsText" dxfId="7861" priority="7887" operator="containsText" text="Atendida">
      <formula>NOT(ISERROR(SEARCH("Atendida",K823)))</formula>
    </cfRule>
  </conditionalFormatting>
  <conditionalFormatting sqref="K823">
    <cfRule type="containsText" dxfId="7860" priority="7873" operator="containsText" text="Reasignación">
      <formula>NOT(ISERROR(SEARCH("Reasignación",K823)))</formula>
    </cfRule>
    <cfRule type="containsText" dxfId="7859" priority="7874" operator="containsText" text="RECHAZADA">
      <formula>NOT(ISERROR(SEARCH("RECHAZADA",K823)))</formula>
    </cfRule>
    <cfRule type="containsText" dxfId="7858" priority="7875" operator="containsText" text="Atendida">
      <formula>NOT(ISERROR(SEARCH("Atendida",K823)))</formula>
    </cfRule>
    <cfRule type="containsText" dxfId="7857" priority="7876" operator="containsText" text="Reasignación">
      <formula>NOT(ISERROR(SEARCH("Reasignación",K823)))</formula>
    </cfRule>
    <cfRule type="containsText" dxfId="7856" priority="7877" operator="containsText" text="RECHAZADA">
      <formula>NOT(ISERROR(SEARCH("RECHAZADA",K823)))</formula>
    </cfRule>
    <cfRule type="containsText" dxfId="7855" priority="7878" operator="containsText" text="Atendida">
      <formula>NOT(ISERROR(SEARCH("Atendida",K823)))</formula>
    </cfRule>
    <cfRule type="containsText" dxfId="7854" priority="7879" operator="containsText" text="Reasignación">
      <formula>NOT(ISERROR(SEARCH("Reasignación",K823)))</formula>
    </cfRule>
    <cfRule type="containsText" dxfId="7853" priority="7880" operator="containsText" text="RECHAZADA">
      <formula>NOT(ISERROR(SEARCH("RECHAZADA",K823)))</formula>
    </cfRule>
    <cfRule type="containsText" dxfId="7852" priority="7881" operator="containsText" text="Atendida">
      <formula>NOT(ISERROR(SEARCH("Atendida",K823)))</formula>
    </cfRule>
    <cfRule type="containsText" dxfId="7851" priority="7882" operator="containsText" text="Reasignación">
      <formula>NOT(ISERROR(SEARCH("Reasignación",K823)))</formula>
    </cfRule>
    <cfRule type="containsText" dxfId="7850" priority="7883" operator="containsText" text="RECHAZADA">
      <formula>NOT(ISERROR(SEARCH("RECHAZADA",K823)))</formula>
    </cfRule>
    <cfRule type="containsText" dxfId="7849" priority="7884" operator="containsText" text="Atendida">
      <formula>NOT(ISERROR(SEARCH("Atendida",K823)))</formula>
    </cfRule>
  </conditionalFormatting>
  <conditionalFormatting sqref="K824">
    <cfRule type="containsText" dxfId="7848" priority="7852" operator="containsText" text="Reasignación">
      <formula>NOT(ISERROR(SEARCH("Reasignación",K824)))</formula>
    </cfRule>
    <cfRule type="containsText" dxfId="7847" priority="7853" operator="containsText" text="RECHAZADA">
      <formula>NOT(ISERROR(SEARCH("RECHAZADA",K824)))</formula>
    </cfRule>
    <cfRule type="containsText" dxfId="7846" priority="7854" operator="containsText" text="Atendida">
      <formula>NOT(ISERROR(SEARCH("Atendida",K824)))</formula>
    </cfRule>
  </conditionalFormatting>
  <conditionalFormatting sqref="K824">
    <cfRule type="containsText" dxfId="7845" priority="7855" operator="containsText" text="Reasignación">
      <formula>NOT(ISERROR(SEARCH("Reasignación",K824)))</formula>
    </cfRule>
    <cfRule type="containsText" dxfId="7844" priority="7856" operator="containsText" text="RECHAZADA">
      <formula>NOT(ISERROR(SEARCH("RECHAZADA",K824)))</formula>
    </cfRule>
    <cfRule type="containsText" dxfId="7843" priority="7857" operator="containsText" text="Atendida">
      <formula>NOT(ISERROR(SEARCH("Atendida",K824)))</formula>
    </cfRule>
  </conditionalFormatting>
  <conditionalFormatting sqref="K824">
    <cfRule type="containsText" dxfId="7842" priority="7837" operator="containsText" text="Reasignación">
      <formula>NOT(ISERROR(SEARCH("Reasignación",K824)))</formula>
    </cfRule>
    <cfRule type="containsText" dxfId="7841" priority="7838" operator="containsText" text="RECHAZADA">
      <formula>NOT(ISERROR(SEARCH("RECHAZADA",K824)))</formula>
    </cfRule>
    <cfRule type="containsText" dxfId="7840" priority="7839" operator="containsText" text="Atendida">
      <formula>NOT(ISERROR(SEARCH("Atendida",K824)))</formula>
    </cfRule>
  </conditionalFormatting>
  <conditionalFormatting sqref="K824">
    <cfRule type="containsText" dxfId="7839" priority="7840" operator="containsText" text="Reasignación">
      <formula>NOT(ISERROR(SEARCH("Reasignación",K824)))</formula>
    </cfRule>
    <cfRule type="containsText" dxfId="7838" priority="7841" operator="containsText" text="RECHAZADA">
      <formula>NOT(ISERROR(SEARCH("RECHAZADA",K824)))</formula>
    </cfRule>
    <cfRule type="containsText" dxfId="7837" priority="7842" operator="containsText" text="Atendida">
      <formula>NOT(ISERROR(SEARCH("Atendida",K824)))</formula>
    </cfRule>
    <cfRule type="containsText" dxfId="7836" priority="7843" operator="containsText" text="Reasignación">
      <formula>NOT(ISERROR(SEARCH("Reasignación",K824)))</formula>
    </cfRule>
    <cfRule type="containsText" dxfId="7835" priority="7844" operator="containsText" text="RECHAZADA">
      <formula>NOT(ISERROR(SEARCH("RECHAZADA",K824)))</formula>
    </cfRule>
    <cfRule type="containsText" dxfId="7834" priority="7845" operator="containsText" text="Atendida">
      <formula>NOT(ISERROR(SEARCH("Atendida",K824)))</formula>
    </cfRule>
    <cfRule type="containsText" dxfId="7833" priority="7846" operator="containsText" text="Reasignación">
      <formula>NOT(ISERROR(SEARCH("Reasignación",K824)))</formula>
    </cfRule>
    <cfRule type="containsText" dxfId="7832" priority="7847" operator="containsText" text="RECHAZADA">
      <formula>NOT(ISERROR(SEARCH("RECHAZADA",K824)))</formula>
    </cfRule>
    <cfRule type="containsText" dxfId="7831" priority="7848" operator="containsText" text="Atendida">
      <formula>NOT(ISERROR(SEARCH("Atendida",K824)))</formula>
    </cfRule>
    <cfRule type="containsText" dxfId="7830" priority="7849" operator="containsText" text="Reasignación">
      <formula>NOT(ISERROR(SEARCH("Reasignación",K824)))</formula>
    </cfRule>
    <cfRule type="containsText" dxfId="7829" priority="7850" operator="containsText" text="RECHAZADA">
      <formula>NOT(ISERROR(SEARCH("RECHAZADA",K824)))</formula>
    </cfRule>
    <cfRule type="containsText" dxfId="7828" priority="7851" operator="containsText" text="Atendida">
      <formula>NOT(ISERROR(SEARCH("Atendida",K824)))</formula>
    </cfRule>
  </conditionalFormatting>
  <conditionalFormatting sqref="K825">
    <cfRule type="containsText" dxfId="7827" priority="7834" operator="containsText" text="Reasignación">
      <formula>NOT(ISERROR(SEARCH("Reasignación",K825)))</formula>
    </cfRule>
    <cfRule type="containsText" dxfId="7826" priority="7835" operator="containsText" text="RECHAZADA">
      <formula>NOT(ISERROR(SEARCH("RECHAZADA",K825)))</formula>
    </cfRule>
    <cfRule type="containsText" dxfId="7825" priority="7836" operator="containsText" text="Atendida">
      <formula>NOT(ISERROR(SEARCH("Atendida",K825)))</formula>
    </cfRule>
  </conditionalFormatting>
  <conditionalFormatting sqref="K825">
    <cfRule type="containsText" dxfId="7824" priority="7816" operator="containsText" text="Reasignación">
      <formula>NOT(ISERROR(SEARCH("Reasignación",K825)))</formula>
    </cfRule>
    <cfRule type="containsText" dxfId="7823" priority="7817" operator="containsText" text="RECHAZADA">
      <formula>NOT(ISERROR(SEARCH("RECHAZADA",K825)))</formula>
    </cfRule>
    <cfRule type="containsText" dxfId="7822" priority="7818" operator="containsText" text="Atendida">
      <formula>NOT(ISERROR(SEARCH("Atendida",K825)))</formula>
    </cfRule>
  </conditionalFormatting>
  <conditionalFormatting sqref="K825">
    <cfRule type="containsText" dxfId="7821" priority="7819" operator="containsText" text="Reasignación">
      <formula>NOT(ISERROR(SEARCH("Reasignación",K825)))</formula>
    </cfRule>
    <cfRule type="containsText" dxfId="7820" priority="7820" operator="containsText" text="RECHAZADA">
      <formula>NOT(ISERROR(SEARCH("RECHAZADA",K825)))</formula>
    </cfRule>
    <cfRule type="containsText" dxfId="7819" priority="7821" operator="containsText" text="Atendida">
      <formula>NOT(ISERROR(SEARCH("Atendida",K825)))</formula>
    </cfRule>
    <cfRule type="containsText" dxfId="7818" priority="7822" operator="containsText" text="Reasignación">
      <formula>NOT(ISERROR(SEARCH("Reasignación",K825)))</formula>
    </cfRule>
    <cfRule type="containsText" dxfId="7817" priority="7823" operator="containsText" text="RECHAZADA">
      <formula>NOT(ISERROR(SEARCH("RECHAZADA",K825)))</formula>
    </cfRule>
    <cfRule type="containsText" dxfId="7816" priority="7824" operator="containsText" text="Atendida">
      <formula>NOT(ISERROR(SEARCH("Atendida",K825)))</formula>
    </cfRule>
    <cfRule type="containsText" dxfId="7815" priority="7825" operator="containsText" text="Reasignación">
      <formula>NOT(ISERROR(SEARCH("Reasignación",K825)))</formula>
    </cfRule>
    <cfRule type="containsText" dxfId="7814" priority="7826" operator="containsText" text="RECHAZADA">
      <formula>NOT(ISERROR(SEARCH("RECHAZADA",K825)))</formula>
    </cfRule>
    <cfRule type="containsText" dxfId="7813" priority="7827" operator="containsText" text="Atendida">
      <formula>NOT(ISERROR(SEARCH("Atendida",K825)))</formula>
    </cfRule>
    <cfRule type="containsText" dxfId="7812" priority="7828" operator="containsText" text="Reasignación">
      <formula>NOT(ISERROR(SEARCH("Reasignación",K825)))</formula>
    </cfRule>
    <cfRule type="containsText" dxfId="7811" priority="7829" operator="containsText" text="RECHAZADA">
      <formula>NOT(ISERROR(SEARCH("RECHAZADA",K825)))</formula>
    </cfRule>
    <cfRule type="containsText" dxfId="7810" priority="7830" operator="containsText" text="Atendida">
      <formula>NOT(ISERROR(SEARCH("Atendida",K825)))</formula>
    </cfRule>
  </conditionalFormatting>
  <conditionalFormatting sqref="K825">
    <cfRule type="containsText" dxfId="7809" priority="7831" operator="containsText" text="Reasignación">
      <formula>NOT(ISERROR(SEARCH("Reasignación",K825)))</formula>
    </cfRule>
    <cfRule type="containsText" dxfId="7808" priority="7832" operator="containsText" text="RECHAZADA">
      <formula>NOT(ISERROR(SEARCH("RECHAZADA",K825)))</formula>
    </cfRule>
    <cfRule type="containsText" dxfId="7807" priority="7833" operator="containsText" text="Atendida">
      <formula>NOT(ISERROR(SEARCH("Atendida",K825)))</formula>
    </cfRule>
  </conditionalFormatting>
  <conditionalFormatting sqref="K826">
    <cfRule type="containsText" dxfId="7806" priority="7795" operator="containsText" text="Reasignación">
      <formula>NOT(ISERROR(SEARCH("Reasignación",K826)))</formula>
    </cfRule>
    <cfRule type="containsText" dxfId="7805" priority="7796" operator="containsText" text="RECHAZADA">
      <formula>NOT(ISERROR(SEARCH("RECHAZADA",K826)))</formula>
    </cfRule>
    <cfRule type="containsText" dxfId="7804" priority="7797" operator="containsText" text="Atendida">
      <formula>NOT(ISERROR(SEARCH("Atendida",K826)))</formula>
    </cfRule>
  </conditionalFormatting>
  <conditionalFormatting sqref="K826">
    <cfRule type="containsText" dxfId="7803" priority="7798" operator="containsText" text="Reasignación">
      <formula>NOT(ISERROR(SEARCH("Reasignación",K826)))</formula>
    </cfRule>
    <cfRule type="containsText" dxfId="7802" priority="7799" operator="containsText" text="RECHAZADA">
      <formula>NOT(ISERROR(SEARCH("RECHAZADA",K826)))</formula>
    </cfRule>
    <cfRule type="containsText" dxfId="7801" priority="7800" operator="containsText" text="Atendida">
      <formula>NOT(ISERROR(SEARCH("Atendida",K826)))</formula>
    </cfRule>
    <cfRule type="containsText" dxfId="7800" priority="7801" operator="containsText" text="Reasignación">
      <formula>NOT(ISERROR(SEARCH("Reasignación",K826)))</formula>
    </cfRule>
    <cfRule type="containsText" dxfId="7799" priority="7802" operator="containsText" text="RECHAZADA">
      <formula>NOT(ISERROR(SEARCH("RECHAZADA",K826)))</formula>
    </cfRule>
    <cfRule type="containsText" dxfId="7798" priority="7803" operator="containsText" text="Atendida">
      <formula>NOT(ISERROR(SEARCH("Atendida",K826)))</formula>
    </cfRule>
    <cfRule type="containsText" dxfId="7797" priority="7804" operator="containsText" text="Reasignación">
      <formula>NOT(ISERROR(SEARCH("Reasignación",K826)))</formula>
    </cfRule>
    <cfRule type="containsText" dxfId="7796" priority="7805" operator="containsText" text="RECHAZADA">
      <formula>NOT(ISERROR(SEARCH("RECHAZADA",K826)))</formula>
    </cfRule>
    <cfRule type="containsText" dxfId="7795" priority="7806" operator="containsText" text="Atendida">
      <formula>NOT(ISERROR(SEARCH("Atendida",K826)))</formula>
    </cfRule>
    <cfRule type="containsText" dxfId="7794" priority="7807" operator="containsText" text="Reasignación">
      <formula>NOT(ISERROR(SEARCH("Reasignación",K826)))</formula>
    </cfRule>
    <cfRule type="containsText" dxfId="7793" priority="7808" operator="containsText" text="RECHAZADA">
      <formula>NOT(ISERROR(SEARCH("RECHAZADA",K826)))</formula>
    </cfRule>
    <cfRule type="containsText" dxfId="7792" priority="7809" operator="containsText" text="Atendida">
      <formula>NOT(ISERROR(SEARCH("Atendida",K826)))</formula>
    </cfRule>
  </conditionalFormatting>
  <conditionalFormatting sqref="K826">
    <cfRule type="containsText" dxfId="7791" priority="7813" operator="containsText" text="Reasignación">
      <formula>NOT(ISERROR(SEARCH("Reasignación",K826)))</formula>
    </cfRule>
    <cfRule type="containsText" dxfId="7790" priority="7814" operator="containsText" text="RECHAZADA">
      <formula>NOT(ISERROR(SEARCH("RECHAZADA",K826)))</formula>
    </cfRule>
    <cfRule type="containsText" dxfId="7789" priority="7815" operator="containsText" text="Atendida">
      <formula>NOT(ISERROR(SEARCH("Atendida",K826)))</formula>
    </cfRule>
  </conditionalFormatting>
  <conditionalFormatting sqref="K826">
    <cfRule type="containsText" dxfId="7788" priority="7810" operator="containsText" text="Reasignación">
      <formula>NOT(ISERROR(SEARCH("Reasignación",K826)))</formula>
    </cfRule>
    <cfRule type="containsText" dxfId="7787" priority="7811" operator="containsText" text="RECHAZADA">
      <formula>NOT(ISERROR(SEARCH("RECHAZADA",K826)))</formula>
    </cfRule>
    <cfRule type="containsText" dxfId="7786" priority="7812" operator="containsText" text="Atendida">
      <formula>NOT(ISERROR(SEARCH("Atendida",K826)))</formula>
    </cfRule>
  </conditionalFormatting>
  <conditionalFormatting sqref="K827">
    <cfRule type="containsText" dxfId="7785" priority="7789" operator="containsText" text="Reasignación">
      <formula>NOT(ISERROR(SEARCH("Reasignación",K827)))</formula>
    </cfRule>
    <cfRule type="containsText" dxfId="7784" priority="7790" operator="containsText" text="RECHAZADA">
      <formula>NOT(ISERROR(SEARCH("RECHAZADA",K827)))</formula>
    </cfRule>
    <cfRule type="containsText" dxfId="7783" priority="7791" operator="containsText" text="Atendida">
      <formula>NOT(ISERROR(SEARCH("Atendida",K827)))</formula>
    </cfRule>
  </conditionalFormatting>
  <conditionalFormatting sqref="K827">
    <cfRule type="containsText" dxfId="7782" priority="7774" operator="containsText" text="Reasignación">
      <formula>NOT(ISERROR(SEARCH("Reasignación",K827)))</formula>
    </cfRule>
    <cfRule type="containsText" dxfId="7781" priority="7775" operator="containsText" text="RECHAZADA">
      <formula>NOT(ISERROR(SEARCH("RECHAZADA",K827)))</formula>
    </cfRule>
    <cfRule type="containsText" dxfId="7780" priority="7776" operator="containsText" text="Atendida">
      <formula>NOT(ISERROR(SEARCH("Atendida",K827)))</formula>
    </cfRule>
  </conditionalFormatting>
  <conditionalFormatting sqref="K827">
    <cfRule type="containsText" dxfId="7779" priority="7777" operator="containsText" text="Reasignación">
      <formula>NOT(ISERROR(SEARCH("Reasignación",K827)))</formula>
    </cfRule>
    <cfRule type="containsText" dxfId="7778" priority="7778" operator="containsText" text="RECHAZADA">
      <formula>NOT(ISERROR(SEARCH("RECHAZADA",K827)))</formula>
    </cfRule>
    <cfRule type="containsText" dxfId="7777" priority="7779" operator="containsText" text="Atendida">
      <formula>NOT(ISERROR(SEARCH("Atendida",K827)))</formula>
    </cfRule>
    <cfRule type="containsText" dxfId="7776" priority="7780" operator="containsText" text="Reasignación">
      <formula>NOT(ISERROR(SEARCH("Reasignación",K827)))</formula>
    </cfRule>
    <cfRule type="containsText" dxfId="7775" priority="7781" operator="containsText" text="RECHAZADA">
      <formula>NOT(ISERROR(SEARCH("RECHAZADA",K827)))</formula>
    </cfRule>
    <cfRule type="containsText" dxfId="7774" priority="7782" operator="containsText" text="Atendida">
      <formula>NOT(ISERROR(SEARCH("Atendida",K827)))</formula>
    </cfRule>
    <cfRule type="containsText" dxfId="7773" priority="7783" operator="containsText" text="Reasignación">
      <formula>NOT(ISERROR(SEARCH("Reasignación",K827)))</formula>
    </cfRule>
    <cfRule type="containsText" dxfId="7772" priority="7784" operator="containsText" text="RECHAZADA">
      <formula>NOT(ISERROR(SEARCH("RECHAZADA",K827)))</formula>
    </cfRule>
    <cfRule type="containsText" dxfId="7771" priority="7785" operator="containsText" text="Atendida">
      <formula>NOT(ISERROR(SEARCH("Atendida",K827)))</formula>
    </cfRule>
    <cfRule type="containsText" dxfId="7770" priority="7786" operator="containsText" text="Reasignación">
      <formula>NOT(ISERROR(SEARCH("Reasignación",K827)))</formula>
    </cfRule>
    <cfRule type="containsText" dxfId="7769" priority="7787" operator="containsText" text="RECHAZADA">
      <formula>NOT(ISERROR(SEARCH("RECHAZADA",K827)))</formula>
    </cfRule>
    <cfRule type="containsText" dxfId="7768" priority="7788" operator="containsText" text="Atendida">
      <formula>NOT(ISERROR(SEARCH("Atendida",K827)))</formula>
    </cfRule>
  </conditionalFormatting>
  <conditionalFormatting sqref="K827">
    <cfRule type="containsText" dxfId="7767" priority="7792" operator="containsText" text="Reasignación">
      <formula>NOT(ISERROR(SEARCH("Reasignación",K827)))</formula>
    </cfRule>
    <cfRule type="containsText" dxfId="7766" priority="7793" operator="containsText" text="RECHAZADA">
      <formula>NOT(ISERROR(SEARCH("RECHAZADA",K827)))</formula>
    </cfRule>
    <cfRule type="containsText" dxfId="7765" priority="7794" operator="containsText" text="Atendida">
      <formula>NOT(ISERROR(SEARCH("Atendida",K827)))</formula>
    </cfRule>
  </conditionalFormatting>
  <conditionalFormatting sqref="K829">
    <cfRule type="containsText" dxfId="7764" priority="7768" operator="containsText" text="Reasignación">
      <formula>NOT(ISERROR(SEARCH("Reasignación",K829)))</formula>
    </cfRule>
    <cfRule type="containsText" dxfId="7763" priority="7769" operator="containsText" text="RECHAZADA">
      <formula>NOT(ISERROR(SEARCH("RECHAZADA",K829)))</formula>
    </cfRule>
    <cfRule type="containsText" dxfId="7762" priority="7770" operator="containsText" text="Atendida">
      <formula>NOT(ISERROR(SEARCH("Atendida",K829)))</formula>
    </cfRule>
  </conditionalFormatting>
  <conditionalFormatting sqref="K829">
    <cfRule type="containsText" dxfId="7761" priority="7753" operator="containsText" text="Reasignación">
      <formula>NOT(ISERROR(SEARCH("Reasignación",K829)))</formula>
    </cfRule>
    <cfRule type="containsText" dxfId="7760" priority="7754" operator="containsText" text="RECHAZADA">
      <formula>NOT(ISERROR(SEARCH("RECHAZADA",K829)))</formula>
    </cfRule>
    <cfRule type="containsText" dxfId="7759" priority="7755" operator="containsText" text="Atendida">
      <formula>NOT(ISERROR(SEARCH("Atendida",K829)))</formula>
    </cfRule>
  </conditionalFormatting>
  <conditionalFormatting sqref="K829">
    <cfRule type="containsText" dxfId="7758" priority="7756" operator="containsText" text="Reasignación">
      <formula>NOT(ISERROR(SEARCH("Reasignación",K829)))</formula>
    </cfRule>
    <cfRule type="containsText" dxfId="7757" priority="7757" operator="containsText" text="RECHAZADA">
      <formula>NOT(ISERROR(SEARCH("RECHAZADA",K829)))</formula>
    </cfRule>
    <cfRule type="containsText" dxfId="7756" priority="7758" operator="containsText" text="Atendida">
      <formula>NOT(ISERROR(SEARCH("Atendida",K829)))</formula>
    </cfRule>
    <cfRule type="containsText" dxfId="7755" priority="7759" operator="containsText" text="Reasignación">
      <formula>NOT(ISERROR(SEARCH("Reasignación",K829)))</formula>
    </cfRule>
    <cfRule type="containsText" dxfId="7754" priority="7760" operator="containsText" text="RECHAZADA">
      <formula>NOT(ISERROR(SEARCH("RECHAZADA",K829)))</formula>
    </cfRule>
    <cfRule type="containsText" dxfId="7753" priority="7761" operator="containsText" text="Atendida">
      <formula>NOT(ISERROR(SEARCH("Atendida",K829)))</formula>
    </cfRule>
    <cfRule type="containsText" dxfId="7752" priority="7762" operator="containsText" text="Reasignación">
      <formula>NOT(ISERROR(SEARCH("Reasignación",K829)))</formula>
    </cfRule>
    <cfRule type="containsText" dxfId="7751" priority="7763" operator="containsText" text="RECHAZADA">
      <formula>NOT(ISERROR(SEARCH("RECHAZADA",K829)))</formula>
    </cfRule>
    <cfRule type="containsText" dxfId="7750" priority="7764" operator="containsText" text="Atendida">
      <formula>NOT(ISERROR(SEARCH("Atendida",K829)))</formula>
    </cfRule>
    <cfRule type="containsText" dxfId="7749" priority="7765" operator="containsText" text="Reasignación">
      <formula>NOT(ISERROR(SEARCH("Reasignación",K829)))</formula>
    </cfRule>
    <cfRule type="containsText" dxfId="7748" priority="7766" operator="containsText" text="RECHAZADA">
      <formula>NOT(ISERROR(SEARCH("RECHAZADA",K829)))</formula>
    </cfRule>
    <cfRule type="containsText" dxfId="7747" priority="7767" operator="containsText" text="Atendida">
      <formula>NOT(ISERROR(SEARCH("Atendida",K829)))</formula>
    </cfRule>
  </conditionalFormatting>
  <conditionalFormatting sqref="K829">
    <cfRule type="containsText" dxfId="7746" priority="7771" operator="containsText" text="Reasignación">
      <formula>NOT(ISERROR(SEARCH("Reasignación",K829)))</formula>
    </cfRule>
    <cfRule type="containsText" dxfId="7745" priority="7772" operator="containsText" text="RECHAZADA">
      <formula>NOT(ISERROR(SEARCH("RECHAZADA",K829)))</formula>
    </cfRule>
    <cfRule type="containsText" dxfId="7744" priority="7773" operator="containsText" text="Atendida">
      <formula>NOT(ISERROR(SEARCH("Atendida",K829)))</formula>
    </cfRule>
  </conditionalFormatting>
  <conditionalFormatting sqref="K828">
    <cfRule type="containsText" dxfId="7743" priority="7732" operator="containsText" text="Reasignación">
      <formula>NOT(ISERROR(SEARCH("Reasignación",K828)))</formula>
    </cfRule>
    <cfRule type="containsText" dxfId="7742" priority="7733" operator="containsText" text="RECHAZADA">
      <formula>NOT(ISERROR(SEARCH("RECHAZADA",K828)))</formula>
    </cfRule>
    <cfRule type="containsText" dxfId="7741" priority="7734" operator="containsText" text="Atendida">
      <formula>NOT(ISERROR(SEARCH("Atendida",K828)))</formula>
    </cfRule>
  </conditionalFormatting>
  <conditionalFormatting sqref="K828">
    <cfRule type="containsText" dxfId="7740" priority="7735" operator="containsText" text="Reasignación">
      <formula>NOT(ISERROR(SEARCH("Reasignación",K828)))</formula>
    </cfRule>
    <cfRule type="containsText" dxfId="7739" priority="7736" operator="containsText" text="RECHAZADA">
      <formula>NOT(ISERROR(SEARCH("RECHAZADA",K828)))</formula>
    </cfRule>
    <cfRule type="containsText" dxfId="7738" priority="7737" operator="containsText" text="Atendida">
      <formula>NOT(ISERROR(SEARCH("Atendida",K828)))</formula>
    </cfRule>
    <cfRule type="containsText" dxfId="7737" priority="7738" operator="containsText" text="Reasignación">
      <formula>NOT(ISERROR(SEARCH("Reasignación",K828)))</formula>
    </cfRule>
    <cfRule type="containsText" dxfId="7736" priority="7739" operator="containsText" text="RECHAZADA">
      <formula>NOT(ISERROR(SEARCH("RECHAZADA",K828)))</formula>
    </cfRule>
    <cfRule type="containsText" dxfId="7735" priority="7740" operator="containsText" text="Atendida">
      <formula>NOT(ISERROR(SEARCH("Atendida",K828)))</formula>
    </cfRule>
    <cfRule type="containsText" dxfId="7734" priority="7741" operator="containsText" text="Reasignación">
      <formula>NOT(ISERROR(SEARCH("Reasignación",K828)))</formula>
    </cfRule>
    <cfRule type="containsText" dxfId="7733" priority="7742" operator="containsText" text="RECHAZADA">
      <formula>NOT(ISERROR(SEARCH("RECHAZADA",K828)))</formula>
    </cfRule>
    <cfRule type="containsText" dxfId="7732" priority="7743" operator="containsText" text="Atendida">
      <formula>NOT(ISERROR(SEARCH("Atendida",K828)))</formula>
    </cfRule>
    <cfRule type="containsText" dxfId="7731" priority="7744" operator="containsText" text="Reasignación">
      <formula>NOT(ISERROR(SEARCH("Reasignación",K828)))</formula>
    </cfRule>
    <cfRule type="containsText" dxfId="7730" priority="7745" operator="containsText" text="RECHAZADA">
      <formula>NOT(ISERROR(SEARCH("RECHAZADA",K828)))</formula>
    </cfRule>
    <cfRule type="containsText" dxfId="7729" priority="7746" operator="containsText" text="Atendida">
      <formula>NOT(ISERROR(SEARCH("Atendida",K828)))</formula>
    </cfRule>
  </conditionalFormatting>
  <conditionalFormatting sqref="K828">
    <cfRule type="containsText" dxfId="7728" priority="7750" operator="containsText" text="Reasignación">
      <formula>NOT(ISERROR(SEARCH("Reasignación",K828)))</formula>
    </cfRule>
    <cfRule type="containsText" dxfId="7727" priority="7751" operator="containsText" text="RECHAZADA">
      <formula>NOT(ISERROR(SEARCH("RECHAZADA",K828)))</formula>
    </cfRule>
    <cfRule type="containsText" dxfId="7726" priority="7752" operator="containsText" text="Atendida">
      <formula>NOT(ISERROR(SEARCH("Atendida",K828)))</formula>
    </cfRule>
  </conditionalFormatting>
  <conditionalFormatting sqref="K828">
    <cfRule type="containsText" dxfId="7725" priority="7747" operator="containsText" text="Reasignación">
      <formula>NOT(ISERROR(SEARCH("Reasignación",K828)))</formula>
    </cfRule>
    <cfRule type="containsText" dxfId="7724" priority="7748" operator="containsText" text="RECHAZADA">
      <formula>NOT(ISERROR(SEARCH("RECHAZADA",K828)))</formula>
    </cfRule>
    <cfRule type="containsText" dxfId="7723" priority="7749" operator="containsText" text="Atendida">
      <formula>NOT(ISERROR(SEARCH("Atendida",K828)))</formula>
    </cfRule>
  </conditionalFormatting>
  <conditionalFormatting sqref="K830">
    <cfRule type="containsText" dxfId="7722" priority="7726" operator="containsText" text="Reasignación">
      <formula>NOT(ISERROR(SEARCH("Reasignación",K830)))</formula>
    </cfRule>
    <cfRule type="containsText" dxfId="7721" priority="7727" operator="containsText" text="RECHAZADA">
      <formula>NOT(ISERROR(SEARCH("RECHAZADA",K830)))</formula>
    </cfRule>
    <cfRule type="containsText" dxfId="7720" priority="7728" operator="containsText" text="Atendida">
      <formula>NOT(ISERROR(SEARCH("Atendida",K830)))</formula>
    </cfRule>
  </conditionalFormatting>
  <conditionalFormatting sqref="K830">
    <cfRule type="containsText" dxfId="7719" priority="7711" operator="containsText" text="Reasignación">
      <formula>NOT(ISERROR(SEARCH("Reasignación",K830)))</formula>
    </cfRule>
    <cfRule type="containsText" dxfId="7718" priority="7712" operator="containsText" text="RECHAZADA">
      <formula>NOT(ISERROR(SEARCH("RECHAZADA",K830)))</formula>
    </cfRule>
    <cfRule type="containsText" dxfId="7717" priority="7713" operator="containsText" text="Atendida">
      <formula>NOT(ISERROR(SEARCH("Atendida",K830)))</formula>
    </cfRule>
  </conditionalFormatting>
  <conditionalFormatting sqref="K830">
    <cfRule type="containsText" dxfId="7716" priority="7714" operator="containsText" text="Reasignación">
      <formula>NOT(ISERROR(SEARCH("Reasignación",K830)))</formula>
    </cfRule>
    <cfRule type="containsText" dxfId="7715" priority="7715" operator="containsText" text="RECHAZADA">
      <formula>NOT(ISERROR(SEARCH("RECHAZADA",K830)))</formula>
    </cfRule>
    <cfRule type="containsText" dxfId="7714" priority="7716" operator="containsText" text="Atendida">
      <formula>NOT(ISERROR(SEARCH("Atendida",K830)))</formula>
    </cfRule>
    <cfRule type="containsText" dxfId="7713" priority="7717" operator="containsText" text="Reasignación">
      <formula>NOT(ISERROR(SEARCH("Reasignación",K830)))</formula>
    </cfRule>
    <cfRule type="containsText" dxfId="7712" priority="7718" operator="containsText" text="RECHAZADA">
      <formula>NOT(ISERROR(SEARCH("RECHAZADA",K830)))</formula>
    </cfRule>
    <cfRule type="containsText" dxfId="7711" priority="7719" operator="containsText" text="Atendida">
      <formula>NOT(ISERROR(SEARCH("Atendida",K830)))</formula>
    </cfRule>
    <cfRule type="containsText" dxfId="7710" priority="7720" operator="containsText" text="Reasignación">
      <formula>NOT(ISERROR(SEARCH("Reasignación",K830)))</formula>
    </cfRule>
    <cfRule type="containsText" dxfId="7709" priority="7721" operator="containsText" text="RECHAZADA">
      <formula>NOT(ISERROR(SEARCH("RECHAZADA",K830)))</formula>
    </cfRule>
    <cfRule type="containsText" dxfId="7708" priority="7722" operator="containsText" text="Atendida">
      <formula>NOT(ISERROR(SEARCH("Atendida",K830)))</formula>
    </cfRule>
    <cfRule type="containsText" dxfId="7707" priority="7723" operator="containsText" text="Reasignación">
      <formula>NOT(ISERROR(SEARCH("Reasignación",K830)))</formula>
    </cfRule>
    <cfRule type="containsText" dxfId="7706" priority="7724" operator="containsText" text="RECHAZADA">
      <formula>NOT(ISERROR(SEARCH("RECHAZADA",K830)))</formula>
    </cfRule>
    <cfRule type="containsText" dxfId="7705" priority="7725" operator="containsText" text="Atendida">
      <formula>NOT(ISERROR(SEARCH("Atendida",K830)))</formula>
    </cfRule>
  </conditionalFormatting>
  <conditionalFormatting sqref="K830">
    <cfRule type="containsText" dxfId="7704" priority="7729" operator="containsText" text="Reasignación">
      <formula>NOT(ISERROR(SEARCH("Reasignación",K830)))</formula>
    </cfRule>
    <cfRule type="containsText" dxfId="7703" priority="7730" operator="containsText" text="RECHAZADA">
      <formula>NOT(ISERROR(SEARCH("RECHAZADA",K830)))</formula>
    </cfRule>
    <cfRule type="containsText" dxfId="7702" priority="7731" operator="containsText" text="Atendida">
      <formula>NOT(ISERROR(SEARCH("Atendida",K830)))</formula>
    </cfRule>
  </conditionalFormatting>
  <conditionalFormatting sqref="E831">
    <cfRule type="duplicateValues" dxfId="7701" priority="7706"/>
  </conditionalFormatting>
  <conditionalFormatting sqref="M831">
    <cfRule type="containsText" dxfId="7700" priority="7709" operator="containsText" text="Atendida">
      <formula>NOT(ISERROR(SEARCH("Atendida",M831)))</formula>
    </cfRule>
  </conditionalFormatting>
  <conditionalFormatting sqref="M831">
    <cfRule type="containsText" dxfId="7699" priority="7708" operator="containsText" text="RECHAZADA">
      <formula>NOT(ISERROR(SEARCH("RECHAZADA",M831)))</formula>
    </cfRule>
  </conditionalFormatting>
  <conditionalFormatting sqref="M831">
    <cfRule type="containsText" dxfId="7698" priority="7707" operator="containsText" text="CONFORME">
      <formula>NOT(ISERROR(SEARCH("CONFORME",M831)))</formula>
    </cfRule>
  </conditionalFormatting>
  <conditionalFormatting sqref="M831">
    <cfRule type="containsText" dxfId="7697" priority="7705" operator="containsText" text="OBSERVADO">
      <formula>NOT(ISERROR(SEARCH("OBSERVADO",M831)))</formula>
    </cfRule>
  </conditionalFormatting>
  <conditionalFormatting sqref="B831">
    <cfRule type="duplicateValues" dxfId="7696" priority="7710"/>
  </conditionalFormatting>
  <conditionalFormatting sqref="E832">
    <cfRule type="duplicateValues" dxfId="7695" priority="7700"/>
  </conditionalFormatting>
  <conditionalFormatting sqref="M832">
    <cfRule type="containsText" dxfId="7694" priority="7703" operator="containsText" text="Atendida">
      <formula>NOT(ISERROR(SEARCH("Atendida",M832)))</formula>
    </cfRule>
  </conditionalFormatting>
  <conditionalFormatting sqref="M832">
    <cfRule type="containsText" dxfId="7693" priority="7702" operator="containsText" text="RECHAZADA">
      <formula>NOT(ISERROR(SEARCH("RECHAZADA",M832)))</formula>
    </cfRule>
  </conditionalFormatting>
  <conditionalFormatting sqref="M832">
    <cfRule type="containsText" dxfId="7692" priority="7701" operator="containsText" text="CONFORME">
      <formula>NOT(ISERROR(SEARCH("CONFORME",M832)))</formula>
    </cfRule>
  </conditionalFormatting>
  <conditionalFormatting sqref="M832">
    <cfRule type="containsText" dxfId="7691" priority="7699" operator="containsText" text="OBSERVADO">
      <formula>NOT(ISERROR(SEARCH("OBSERVADO",M832)))</formula>
    </cfRule>
  </conditionalFormatting>
  <conditionalFormatting sqref="B832">
    <cfRule type="duplicateValues" dxfId="7690" priority="7704"/>
  </conditionalFormatting>
  <conditionalFormatting sqref="K833">
    <cfRule type="containsText" dxfId="7689" priority="7693" operator="containsText" text="Reasignación">
      <formula>NOT(ISERROR(SEARCH("Reasignación",K833)))</formula>
    </cfRule>
    <cfRule type="containsText" dxfId="7688" priority="7694" operator="containsText" text="RECHAZADA">
      <formula>NOT(ISERROR(SEARCH("RECHAZADA",K833)))</formula>
    </cfRule>
    <cfRule type="containsText" dxfId="7687" priority="7695" operator="containsText" text="Atendida">
      <formula>NOT(ISERROR(SEARCH("Atendida",K833)))</formula>
    </cfRule>
  </conditionalFormatting>
  <conditionalFormatting sqref="K833">
    <cfRule type="containsText" dxfId="7686" priority="7678" operator="containsText" text="Reasignación">
      <formula>NOT(ISERROR(SEARCH("Reasignación",K833)))</formula>
    </cfRule>
    <cfRule type="containsText" dxfId="7685" priority="7679" operator="containsText" text="RECHAZADA">
      <formula>NOT(ISERROR(SEARCH("RECHAZADA",K833)))</formula>
    </cfRule>
    <cfRule type="containsText" dxfId="7684" priority="7680" operator="containsText" text="Atendida">
      <formula>NOT(ISERROR(SEARCH("Atendida",K833)))</formula>
    </cfRule>
  </conditionalFormatting>
  <conditionalFormatting sqref="K833">
    <cfRule type="containsText" dxfId="7683" priority="7681" operator="containsText" text="Reasignación">
      <formula>NOT(ISERROR(SEARCH("Reasignación",K833)))</formula>
    </cfRule>
    <cfRule type="containsText" dxfId="7682" priority="7682" operator="containsText" text="RECHAZADA">
      <formula>NOT(ISERROR(SEARCH("RECHAZADA",K833)))</formula>
    </cfRule>
    <cfRule type="containsText" dxfId="7681" priority="7683" operator="containsText" text="Atendida">
      <formula>NOT(ISERROR(SEARCH("Atendida",K833)))</formula>
    </cfRule>
    <cfRule type="containsText" dxfId="7680" priority="7684" operator="containsText" text="Reasignación">
      <formula>NOT(ISERROR(SEARCH("Reasignación",K833)))</formula>
    </cfRule>
    <cfRule type="containsText" dxfId="7679" priority="7685" operator="containsText" text="RECHAZADA">
      <formula>NOT(ISERROR(SEARCH("RECHAZADA",K833)))</formula>
    </cfRule>
    <cfRule type="containsText" dxfId="7678" priority="7686" operator="containsText" text="Atendida">
      <formula>NOT(ISERROR(SEARCH("Atendida",K833)))</formula>
    </cfRule>
    <cfRule type="containsText" dxfId="7677" priority="7687" operator="containsText" text="Reasignación">
      <formula>NOT(ISERROR(SEARCH("Reasignación",K833)))</formula>
    </cfRule>
    <cfRule type="containsText" dxfId="7676" priority="7688" operator="containsText" text="RECHAZADA">
      <formula>NOT(ISERROR(SEARCH("RECHAZADA",K833)))</formula>
    </cfRule>
    <cfRule type="containsText" dxfId="7675" priority="7689" operator="containsText" text="Atendida">
      <formula>NOT(ISERROR(SEARCH("Atendida",K833)))</formula>
    </cfRule>
    <cfRule type="containsText" dxfId="7674" priority="7690" operator="containsText" text="Reasignación">
      <formula>NOT(ISERROR(SEARCH("Reasignación",K833)))</formula>
    </cfRule>
    <cfRule type="containsText" dxfId="7673" priority="7691" operator="containsText" text="RECHAZADA">
      <formula>NOT(ISERROR(SEARCH("RECHAZADA",K833)))</formula>
    </cfRule>
    <cfRule type="containsText" dxfId="7672" priority="7692" operator="containsText" text="Atendida">
      <formula>NOT(ISERROR(SEARCH("Atendida",K833)))</formula>
    </cfRule>
  </conditionalFormatting>
  <conditionalFormatting sqref="K833">
    <cfRule type="containsText" dxfId="7671" priority="7696" operator="containsText" text="Reasignación">
      <formula>NOT(ISERROR(SEARCH("Reasignación",K833)))</formula>
    </cfRule>
    <cfRule type="containsText" dxfId="7670" priority="7697" operator="containsText" text="RECHAZADA">
      <formula>NOT(ISERROR(SEARCH("RECHAZADA",K833)))</formula>
    </cfRule>
    <cfRule type="containsText" dxfId="7669" priority="7698" operator="containsText" text="Atendida">
      <formula>NOT(ISERROR(SEARCH("Atendida",K833)))</formula>
    </cfRule>
  </conditionalFormatting>
  <conditionalFormatting sqref="K834">
    <cfRule type="containsText" dxfId="7668" priority="7672" operator="containsText" text="Reasignación">
      <formula>NOT(ISERROR(SEARCH("Reasignación",K834)))</formula>
    </cfRule>
    <cfRule type="containsText" dxfId="7667" priority="7673" operator="containsText" text="RECHAZADA">
      <formula>NOT(ISERROR(SEARCH("RECHAZADA",K834)))</formula>
    </cfRule>
    <cfRule type="containsText" dxfId="7666" priority="7674" operator="containsText" text="Atendida">
      <formula>NOT(ISERROR(SEARCH("Atendida",K834)))</formula>
    </cfRule>
  </conditionalFormatting>
  <conditionalFormatting sqref="K834">
    <cfRule type="containsText" dxfId="7665" priority="7657" operator="containsText" text="Reasignación">
      <formula>NOT(ISERROR(SEARCH("Reasignación",K834)))</formula>
    </cfRule>
    <cfRule type="containsText" dxfId="7664" priority="7658" operator="containsText" text="RECHAZADA">
      <formula>NOT(ISERROR(SEARCH("RECHAZADA",K834)))</formula>
    </cfRule>
    <cfRule type="containsText" dxfId="7663" priority="7659" operator="containsText" text="Atendida">
      <formula>NOT(ISERROR(SEARCH("Atendida",K834)))</formula>
    </cfRule>
  </conditionalFormatting>
  <conditionalFormatting sqref="K834">
    <cfRule type="containsText" dxfId="7662" priority="7660" operator="containsText" text="Reasignación">
      <formula>NOT(ISERROR(SEARCH("Reasignación",K834)))</formula>
    </cfRule>
    <cfRule type="containsText" dxfId="7661" priority="7661" operator="containsText" text="RECHAZADA">
      <formula>NOT(ISERROR(SEARCH("RECHAZADA",K834)))</formula>
    </cfRule>
    <cfRule type="containsText" dxfId="7660" priority="7662" operator="containsText" text="Atendida">
      <formula>NOT(ISERROR(SEARCH("Atendida",K834)))</formula>
    </cfRule>
    <cfRule type="containsText" dxfId="7659" priority="7663" operator="containsText" text="Reasignación">
      <formula>NOT(ISERROR(SEARCH("Reasignación",K834)))</formula>
    </cfRule>
    <cfRule type="containsText" dxfId="7658" priority="7664" operator="containsText" text="RECHAZADA">
      <formula>NOT(ISERROR(SEARCH("RECHAZADA",K834)))</formula>
    </cfRule>
    <cfRule type="containsText" dxfId="7657" priority="7665" operator="containsText" text="Atendida">
      <formula>NOT(ISERROR(SEARCH("Atendida",K834)))</formula>
    </cfRule>
    <cfRule type="containsText" dxfId="7656" priority="7666" operator="containsText" text="Reasignación">
      <formula>NOT(ISERROR(SEARCH("Reasignación",K834)))</formula>
    </cfRule>
    <cfRule type="containsText" dxfId="7655" priority="7667" operator="containsText" text="RECHAZADA">
      <formula>NOT(ISERROR(SEARCH("RECHAZADA",K834)))</formula>
    </cfRule>
    <cfRule type="containsText" dxfId="7654" priority="7668" operator="containsText" text="Atendida">
      <formula>NOT(ISERROR(SEARCH("Atendida",K834)))</formula>
    </cfRule>
    <cfRule type="containsText" dxfId="7653" priority="7669" operator="containsText" text="Reasignación">
      <formula>NOT(ISERROR(SEARCH("Reasignación",K834)))</formula>
    </cfRule>
    <cfRule type="containsText" dxfId="7652" priority="7670" operator="containsText" text="RECHAZADA">
      <formula>NOT(ISERROR(SEARCH("RECHAZADA",K834)))</formula>
    </cfRule>
    <cfRule type="containsText" dxfId="7651" priority="7671" operator="containsText" text="Atendida">
      <formula>NOT(ISERROR(SEARCH("Atendida",K834)))</formula>
    </cfRule>
  </conditionalFormatting>
  <conditionalFormatting sqref="K834">
    <cfRule type="containsText" dxfId="7650" priority="7675" operator="containsText" text="Reasignación">
      <formula>NOT(ISERROR(SEARCH("Reasignación",K834)))</formula>
    </cfRule>
    <cfRule type="containsText" dxfId="7649" priority="7676" operator="containsText" text="RECHAZADA">
      <formula>NOT(ISERROR(SEARCH("RECHAZADA",K834)))</formula>
    </cfRule>
    <cfRule type="containsText" dxfId="7648" priority="7677" operator="containsText" text="Atendida">
      <formula>NOT(ISERROR(SEARCH("Atendida",K834)))</formula>
    </cfRule>
  </conditionalFormatting>
  <conditionalFormatting sqref="K831">
    <cfRule type="containsText" dxfId="7647" priority="7651" operator="containsText" text="Reasignación">
      <formula>NOT(ISERROR(SEARCH("Reasignación",K831)))</formula>
    </cfRule>
    <cfRule type="containsText" dxfId="7646" priority="7652" operator="containsText" text="RECHAZADA">
      <formula>NOT(ISERROR(SEARCH("RECHAZADA",K831)))</formula>
    </cfRule>
    <cfRule type="containsText" dxfId="7645" priority="7653" operator="containsText" text="Atendida">
      <formula>NOT(ISERROR(SEARCH("Atendida",K831)))</formula>
    </cfRule>
  </conditionalFormatting>
  <conditionalFormatting sqref="K831">
    <cfRule type="containsText" dxfId="7644" priority="7636" operator="containsText" text="Reasignación">
      <formula>NOT(ISERROR(SEARCH("Reasignación",K831)))</formula>
    </cfRule>
    <cfRule type="containsText" dxfId="7643" priority="7637" operator="containsText" text="RECHAZADA">
      <formula>NOT(ISERROR(SEARCH("RECHAZADA",K831)))</formula>
    </cfRule>
    <cfRule type="containsText" dxfId="7642" priority="7638" operator="containsText" text="Atendida">
      <formula>NOT(ISERROR(SEARCH("Atendida",K831)))</formula>
    </cfRule>
  </conditionalFormatting>
  <conditionalFormatting sqref="K831">
    <cfRule type="containsText" dxfId="7641" priority="7639" operator="containsText" text="Reasignación">
      <formula>NOT(ISERROR(SEARCH("Reasignación",K831)))</formula>
    </cfRule>
    <cfRule type="containsText" dxfId="7640" priority="7640" operator="containsText" text="RECHAZADA">
      <formula>NOT(ISERROR(SEARCH("RECHAZADA",K831)))</formula>
    </cfRule>
    <cfRule type="containsText" dxfId="7639" priority="7641" operator="containsText" text="Atendida">
      <formula>NOT(ISERROR(SEARCH("Atendida",K831)))</formula>
    </cfRule>
    <cfRule type="containsText" dxfId="7638" priority="7642" operator="containsText" text="Reasignación">
      <formula>NOT(ISERROR(SEARCH("Reasignación",K831)))</formula>
    </cfRule>
    <cfRule type="containsText" dxfId="7637" priority="7643" operator="containsText" text="RECHAZADA">
      <formula>NOT(ISERROR(SEARCH("RECHAZADA",K831)))</formula>
    </cfRule>
    <cfRule type="containsText" dxfId="7636" priority="7644" operator="containsText" text="Atendida">
      <formula>NOT(ISERROR(SEARCH("Atendida",K831)))</formula>
    </cfRule>
    <cfRule type="containsText" dxfId="7635" priority="7645" operator="containsText" text="Reasignación">
      <formula>NOT(ISERROR(SEARCH("Reasignación",K831)))</formula>
    </cfRule>
    <cfRule type="containsText" dxfId="7634" priority="7646" operator="containsText" text="RECHAZADA">
      <formula>NOT(ISERROR(SEARCH("RECHAZADA",K831)))</formula>
    </cfRule>
    <cfRule type="containsText" dxfId="7633" priority="7647" operator="containsText" text="Atendida">
      <formula>NOT(ISERROR(SEARCH("Atendida",K831)))</formula>
    </cfRule>
    <cfRule type="containsText" dxfId="7632" priority="7648" operator="containsText" text="Reasignación">
      <formula>NOT(ISERROR(SEARCH("Reasignación",K831)))</formula>
    </cfRule>
    <cfRule type="containsText" dxfId="7631" priority="7649" operator="containsText" text="RECHAZADA">
      <formula>NOT(ISERROR(SEARCH("RECHAZADA",K831)))</formula>
    </cfRule>
    <cfRule type="containsText" dxfId="7630" priority="7650" operator="containsText" text="Atendida">
      <formula>NOT(ISERROR(SEARCH("Atendida",K831)))</formula>
    </cfRule>
  </conditionalFormatting>
  <conditionalFormatting sqref="K831">
    <cfRule type="containsText" dxfId="7629" priority="7654" operator="containsText" text="Reasignación">
      <formula>NOT(ISERROR(SEARCH("Reasignación",K831)))</formula>
    </cfRule>
    <cfRule type="containsText" dxfId="7628" priority="7655" operator="containsText" text="RECHAZADA">
      <formula>NOT(ISERROR(SEARCH("RECHAZADA",K831)))</formula>
    </cfRule>
    <cfRule type="containsText" dxfId="7627" priority="7656" operator="containsText" text="Atendida">
      <formula>NOT(ISERROR(SEARCH("Atendida",K831)))</formula>
    </cfRule>
  </conditionalFormatting>
  <conditionalFormatting sqref="K832">
    <cfRule type="containsText" dxfId="7626" priority="7630" operator="containsText" text="Reasignación">
      <formula>NOT(ISERROR(SEARCH("Reasignación",K832)))</formula>
    </cfRule>
    <cfRule type="containsText" dxfId="7625" priority="7631" operator="containsText" text="RECHAZADA">
      <formula>NOT(ISERROR(SEARCH("RECHAZADA",K832)))</formula>
    </cfRule>
    <cfRule type="containsText" dxfId="7624" priority="7632" operator="containsText" text="Atendida">
      <formula>NOT(ISERROR(SEARCH("Atendida",K832)))</formula>
    </cfRule>
  </conditionalFormatting>
  <conditionalFormatting sqref="K832">
    <cfRule type="containsText" dxfId="7623" priority="7615" operator="containsText" text="Reasignación">
      <formula>NOT(ISERROR(SEARCH("Reasignación",K832)))</formula>
    </cfRule>
    <cfRule type="containsText" dxfId="7622" priority="7616" operator="containsText" text="RECHAZADA">
      <formula>NOT(ISERROR(SEARCH("RECHAZADA",K832)))</formula>
    </cfRule>
    <cfRule type="containsText" dxfId="7621" priority="7617" operator="containsText" text="Atendida">
      <formula>NOT(ISERROR(SEARCH("Atendida",K832)))</formula>
    </cfRule>
  </conditionalFormatting>
  <conditionalFormatting sqref="K832">
    <cfRule type="containsText" dxfId="7620" priority="7618" operator="containsText" text="Reasignación">
      <formula>NOT(ISERROR(SEARCH("Reasignación",K832)))</formula>
    </cfRule>
    <cfRule type="containsText" dxfId="7619" priority="7619" operator="containsText" text="RECHAZADA">
      <formula>NOT(ISERROR(SEARCH("RECHAZADA",K832)))</formula>
    </cfRule>
    <cfRule type="containsText" dxfId="7618" priority="7620" operator="containsText" text="Atendida">
      <formula>NOT(ISERROR(SEARCH("Atendida",K832)))</formula>
    </cfRule>
    <cfRule type="containsText" dxfId="7617" priority="7621" operator="containsText" text="Reasignación">
      <formula>NOT(ISERROR(SEARCH("Reasignación",K832)))</formula>
    </cfRule>
    <cfRule type="containsText" dxfId="7616" priority="7622" operator="containsText" text="RECHAZADA">
      <formula>NOT(ISERROR(SEARCH("RECHAZADA",K832)))</formula>
    </cfRule>
    <cfRule type="containsText" dxfId="7615" priority="7623" operator="containsText" text="Atendida">
      <formula>NOT(ISERROR(SEARCH("Atendida",K832)))</formula>
    </cfRule>
    <cfRule type="containsText" dxfId="7614" priority="7624" operator="containsText" text="Reasignación">
      <formula>NOT(ISERROR(SEARCH("Reasignación",K832)))</formula>
    </cfRule>
    <cfRule type="containsText" dxfId="7613" priority="7625" operator="containsText" text="RECHAZADA">
      <formula>NOT(ISERROR(SEARCH("RECHAZADA",K832)))</formula>
    </cfRule>
    <cfRule type="containsText" dxfId="7612" priority="7626" operator="containsText" text="Atendida">
      <formula>NOT(ISERROR(SEARCH("Atendida",K832)))</formula>
    </cfRule>
    <cfRule type="containsText" dxfId="7611" priority="7627" operator="containsText" text="Reasignación">
      <formula>NOT(ISERROR(SEARCH("Reasignación",K832)))</formula>
    </cfRule>
    <cfRule type="containsText" dxfId="7610" priority="7628" operator="containsText" text="RECHAZADA">
      <formula>NOT(ISERROR(SEARCH("RECHAZADA",K832)))</formula>
    </cfRule>
    <cfRule type="containsText" dxfId="7609" priority="7629" operator="containsText" text="Atendida">
      <formula>NOT(ISERROR(SEARCH("Atendida",K832)))</formula>
    </cfRule>
  </conditionalFormatting>
  <conditionalFormatting sqref="K832">
    <cfRule type="containsText" dxfId="7608" priority="7633" operator="containsText" text="Reasignación">
      <formula>NOT(ISERROR(SEARCH("Reasignación",K832)))</formula>
    </cfRule>
    <cfRule type="containsText" dxfId="7607" priority="7634" operator="containsText" text="RECHAZADA">
      <formula>NOT(ISERROR(SEARCH("RECHAZADA",K832)))</formula>
    </cfRule>
    <cfRule type="containsText" dxfId="7606" priority="7635" operator="containsText" text="Atendida">
      <formula>NOT(ISERROR(SEARCH("Atendida",K832)))</formula>
    </cfRule>
  </conditionalFormatting>
  <conditionalFormatting sqref="E835">
    <cfRule type="duplicateValues" dxfId="7605" priority="7610"/>
  </conditionalFormatting>
  <conditionalFormatting sqref="M835">
    <cfRule type="containsText" dxfId="7604" priority="7613" operator="containsText" text="Atendida">
      <formula>NOT(ISERROR(SEARCH("Atendida",M835)))</formula>
    </cfRule>
  </conditionalFormatting>
  <conditionalFormatting sqref="M835">
    <cfRule type="containsText" dxfId="7603" priority="7612" operator="containsText" text="RECHAZADA">
      <formula>NOT(ISERROR(SEARCH("RECHAZADA",M835)))</formula>
    </cfRule>
  </conditionalFormatting>
  <conditionalFormatting sqref="M835">
    <cfRule type="containsText" dxfId="7602" priority="7611" operator="containsText" text="CONFORME">
      <formula>NOT(ISERROR(SEARCH("CONFORME",M835)))</formula>
    </cfRule>
  </conditionalFormatting>
  <conditionalFormatting sqref="M835">
    <cfRule type="containsText" dxfId="7601" priority="7609" operator="containsText" text="OBSERVADO">
      <formula>NOT(ISERROR(SEARCH("OBSERVADO",M835)))</formula>
    </cfRule>
  </conditionalFormatting>
  <conditionalFormatting sqref="B835">
    <cfRule type="duplicateValues" dxfId="7600" priority="7614"/>
  </conditionalFormatting>
  <conditionalFormatting sqref="K835">
    <cfRule type="containsText" dxfId="7599" priority="7588" operator="containsText" text="Reasignación">
      <formula>NOT(ISERROR(SEARCH("Reasignación",K835)))</formula>
    </cfRule>
    <cfRule type="containsText" dxfId="7598" priority="7589" operator="containsText" text="RECHAZADA">
      <formula>NOT(ISERROR(SEARCH("RECHAZADA",K835)))</formula>
    </cfRule>
    <cfRule type="containsText" dxfId="7597" priority="7590" operator="containsText" text="Atendida">
      <formula>NOT(ISERROR(SEARCH("Atendida",K835)))</formula>
    </cfRule>
  </conditionalFormatting>
  <conditionalFormatting sqref="K835">
    <cfRule type="containsText" dxfId="7596" priority="7591" operator="containsText" text="Reasignación">
      <formula>NOT(ISERROR(SEARCH("Reasignación",K835)))</formula>
    </cfRule>
    <cfRule type="containsText" dxfId="7595" priority="7592" operator="containsText" text="RECHAZADA">
      <formula>NOT(ISERROR(SEARCH("RECHAZADA",K835)))</formula>
    </cfRule>
    <cfRule type="containsText" dxfId="7594" priority="7593" operator="containsText" text="Atendida">
      <formula>NOT(ISERROR(SEARCH("Atendida",K835)))</formula>
    </cfRule>
    <cfRule type="containsText" dxfId="7593" priority="7594" operator="containsText" text="Reasignación">
      <formula>NOT(ISERROR(SEARCH("Reasignación",K835)))</formula>
    </cfRule>
    <cfRule type="containsText" dxfId="7592" priority="7595" operator="containsText" text="RECHAZADA">
      <formula>NOT(ISERROR(SEARCH("RECHAZADA",K835)))</formula>
    </cfRule>
    <cfRule type="containsText" dxfId="7591" priority="7596" operator="containsText" text="Atendida">
      <formula>NOT(ISERROR(SEARCH("Atendida",K835)))</formula>
    </cfRule>
    <cfRule type="containsText" dxfId="7590" priority="7597" operator="containsText" text="Reasignación">
      <formula>NOT(ISERROR(SEARCH("Reasignación",K835)))</formula>
    </cfRule>
    <cfRule type="containsText" dxfId="7589" priority="7598" operator="containsText" text="RECHAZADA">
      <formula>NOT(ISERROR(SEARCH("RECHAZADA",K835)))</formula>
    </cfRule>
    <cfRule type="containsText" dxfId="7588" priority="7599" operator="containsText" text="Atendida">
      <formula>NOT(ISERROR(SEARCH("Atendida",K835)))</formula>
    </cfRule>
    <cfRule type="containsText" dxfId="7587" priority="7600" operator="containsText" text="Reasignación">
      <formula>NOT(ISERROR(SEARCH("Reasignación",K835)))</formula>
    </cfRule>
    <cfRule type="containsText" dxfId="7586" priority="7601" operator="containsText" text="RECHAZADA">
      <formula>NOT(ISERROR(SEARCH("RECHAZADA",K835)))</formula>
    </cfRule>
    <cfRule type="containsText" dxfId="7585" priority="7602" operator="containsText" text="Atendida">
      <formula>NOT(ISERROR(SEARCH("Atendida",K835)))</formula>
    </cfRule>
  </conditionalFormatting>
  <conditionalFormatting sqref="K835">
    <cfRule type="containsText" dxfId="7584" priority="7606" operator="containsText" text="Reasignación">
      <formula>NOT(ISERROR(SEARCH("Reasignación",K835)))</formula>
    </cfRule>
    <cfRule type="containsText" dxfId="7583" priority="7607" operator="containsText" text="RECHAZADA">
      <formula>NOT(ISERROR(SEARCH("RECHAZADA",K835)))</formula>
    </cfRule>
    <cfRule type="containsText" dxfId="7582" priority="7608" operator="containsText" text="Atendida">
      <formula>NOT(ISERROR(SEARCH("Atendida",K835)))</formula>
    </cfRule>
  </conditionalFormatting>
  <conditionalFormatting sqref="K835">
    <cfRule type="containsText" dxfId="7581" priority="7603" operator="containsText" text="Reasignación">
      <formula>NOT(ISERROR(SEARCH("Reasignación",K835)))</formula>
    </cfRule>
    <cfRule type="containsText" dxfId="7580" priority="7604" operator="containsText" text="RECHAZADA">
      <formula>NOT(ISERROR(SEARCH("RECHAZADA",K835)))</formula>
    </cfRule>
    <cfRule type="containsText" dxfId="7579" priority="7605" operator="containsText" text="Atendida">
      <formula>NOT(ISERROR(SEARCH("Atendida",K835)))</formula>
    </cfRule>
  </conditionalFormatting>
  <conditionalFormatting sqref="K841 K836:K837">
    <cfRule type="containsText" dxfId="7578" priority="7576" operator="containsText" text="Reasignación">
      <formula>NOT(ISERROR(SEARCH("Reasignación",K836)))</formula>
    </cfRule>
    <cfRule type="containsText" dxfId="7577" priority="7577" operator="containsText" text="RECHAZADA">
      <formula>NOT(ISERROR(SEARCH("RECHAZADA",K836)))</formula>
    </cfRule>
    <cfRule type="containsText" dxfId="7576" priority="7578" operator="containsText" text="Atendida">
      <formula>NOT(ISERROR(SEARCH("Atendida",K836)))</formula>
    </cfRule>
    <cfRule type="containsText" dxfId="7575" priority="7579" operator="containsText" text="Reasignación">
      <formula>NOT(ISERROR(SEARCH("Reasignación",K836)))</formula>
    </cfRule>
    <cfRule type="containsText" dxfId="7574" priority="7580" operator="containsText" text="RECHAZADA">
      <formula>NOT(ISERROR(SEARCH("RECHAZADA",K836)))</formula>
    </cfRule>
    <cfRule type="containsText" dxfId="7573" priority="7581" operator="containsText" text="Atendida">
      <formula>NOT(ISERROR(SEARCH("Atendida",K836)))</formula>
    </cfRule>
    <cfRule type="containsText" dxfId="7572" priority="7582" operator="containsText" text="Reasignación">
      <formula>NOT(ISERROR(SEARCH("Reasignación",K836)))</formula>
    </cfRule>
    <cfRule type="containsText" dxfId="7571" priority="7583" operator="containsText" text="RECHAZADA">
      <formula>NOT(ISERROR(SEARCH("RECHAZADA",K836)))</formula>
    </cfRule>
    <cfRule type="containsText" dxfId="7570" priority="7584" operator="containsText" text="Atendida">
      <formula>NOT(ISERROR(SEARCH("Atendida",K836)))</formula>
    </cfRule>
    <cfRule type="containsText" dxfId="7569" priority="7585" operator="containsText" text="Reasignación">
      <formula>NOT(ISERROR(SEARCH("Reasignación",K836)))</formula>
    </cfRule>
    <cfRule type="containsText" dxfId="7568" priority="7586" operator="containsText" text="RECHAZADA">
      <formula>NOT(ISERROR(SEARCH("RECHAZADA",K836)))</formula>
    </cfRule>
    <cfRule type="containsText" dxfId="7567" priority="7587" operator="containsText" text="Atendida">
      <formula>NOT(ISERROR(SEARCH("Atendida",K836)))</formula>
    </cfRule>
  </conditionalFormatting>
  <conditionalFormatting sqref="K836">
    <cfRule type="containsText" dxfId="7566" priority="7528" operator="containsText" text="Reasignación">
      <formula>NOT(ISERROR(SEARCH("Reasignación",K836)))</formula>
    </cfRule>
    <cfRule type="containsText" dxfId="7565" priority="7529" operator="containsText" text="RECHAZADA">
      <formula>NOT(ISERROR(SEARCH("RECHAZADA",K836)))</formula>
    </cfRule>
    <cfRule type="containsText" dxfId="7564" priority="7530" operator="containsText" text="Atendida">
      <formula>NOT(ISERROR(SEARCH("Atendida",K836)))</formula>
    </cfRule>
  </conditionalFormatting>
  <conditionalFormatting sqref="K836">
    <cfRule type="containsText" dxfId="7563" priority="7531" operator="containsText" text="Reasignación">
      <formula>NOT(ISERROR(SEARCH("Reasignación",K836)))</formula>
    </cfRule>
    <cfRule type="containsText" dxfId="7562" priority="7532" operator="containsText" text="RECHAZADA">
      <formula>NOT(ISERROR(SEARCH("RECHAZADA",K836)))</formula>
    </cfRule>
    <cfRule type="containsText" dxfId="7561" priority="7533" operator="containsText" text="Atendida">
      <formula>NOT(ISERROR(SEARCH("Atendida",K836)))</formula>
    </cfRule>
    <cfRule type="containsText" dxfId="7560" priority="7534" operator="containsText" text="Reasignación">
      <formula>NOT(ISERROR(SEARCH("Reasignación",K836)))</formula>
    </cfRule>
    <cfRule type="containsText" dxfId="7559" priority="7535" operator="containsText" text="RECHAZADA">
      <formula>NOT(ISERROR(SEARCH("RECHAZADA",K836)))</formula>
    </cfRule>
    <cfRule type="containsText" dxfId="7558" priority="7536" operator="containsText" text="Atendida">
      <formula>NOT(ISERROR(SEARCH("Atendida",K836)))</formula>
    </cfRule>
    <cfRule type="containsText" dxfId="7557" priority="7537" operator="containsText" text="Reasignación">
      <formula>NOT(ISERROR(SEARCH("Reasignación",K836)))</formula>
    </cfRule>
    <cfRule type="containsText" dxfId="7556" priority="7538" operator="containsText" text="RECHAZADA">
      <formula>NOT(ISERROR(SEARCH("RECHAZADA",K836)))</formula>
    </cfRule>
    <cfRule type="containsText" dxfId="7555" priority="7539" operator="containsText" text="Atendida">
      <formula>NOT(ISERROR(SEARCH("Atendida",K836)))</formula>
    </cfRule>
    <cfRule type="containsText" dxfId="7554" priority="7540" operator="containsText" text="Reasignación">
      <formula>NOT(ISERROR(SEARCH("Reasignación",K836)))</formula>
    </cfRule>
    <cfRule type="containsText" dxfId="7553" priority="7541" operator="containsText" text="RECHAZADA">
      <formula>NOT(ISERROR(SEARCH("RECHAZADA",K836)))</formula>
    </cfRule>
    <cfRule type="containsText" dxfId="7552" priority="7542" operator="containsText" text="Atendida">
      <formula>NOT(ISERROR(SEARCH("Atendida",K836)))</formula>
    </cfRule>
  </conditionalFormatting>
  <conditionalFormatting sqref="K836">
    <cfRule type="containsText" dxfId="7551" priority="7573" operator="containsText" text="Reasignación">
      <formula>NOT(ISERROR(SEARCH("Reasignación",K836)))</formula>
    </cfRule>
    <cfRule type="containsText" dxfId="7550" priority="7574" operator="containsText" text="RECHAZADA">
      <formula>NOT(ISERROR(SEARCH("RECHAZADA",K836)))</formula>
    </cfRule>
    <cfRule type="containsText" dxfId="7549" priority="7575" operator="containsText" text="Atendida">
      <formula>NOT(ISERROR(SEARCH("Atendida",K836)))</formula>
    </cfRule>
  </conditionalFormatting>
  <conditionalFormatting sqref="K836">
    <cfRule type="containsText" dxfId="7548" priority="7561" operator="containsText" text="Reasignación">
      <formula>NOT(ISERROR(SEARCH("Reasignación",K836)))</formula>
    </cfRule>
    <cfRule type="containsText" dxfId="7547" priority="7562" operator="containsText" text="RECHAZADA">
      <formula>NOT(ISERROR(SEARCH("RECHAZADA",K836)))</formula>
    </cfRule>
    <cfRule type="containsText" dxfId="7546" priority="7563" operator="containsText" text="Atendida">
      <formula>NOT(ISERROR(SEARCH("Atendida",K836)))</formula>
    </cfRule>
    <cfRule type="containsText" dxfId="7545" priority="7564" operator="containsText" text="Reasignación">
      <formula>NOT(ISERROR(SEARCH("Reasignación",K836)))</formula>
    </cfRule>
    <cfRule type="containsText" dxfId="7544" priority="7565" operator="containsText" text="RECHAZADA">
      <formula>NOT(ISERROR(SEARCH("RECHAZADA",K836)))</formula>
    </cfRule>
    <cfRule type="containsText" dxfId="7543" priority="7566" operator="containsText" text="Atendida">
      <formula>NOT(ISERROR(SEARCH("Atendida",K836)))</formula>
    </cfRule>
    <cfRule type="containsText" dxfId="7542" priority="7567" operator="containsText" text="Reasignación">
      <formula>NOT(ISERROR(SEARCH("Reasignación",K836)))</formula>
    </cfRule>
    <cfRule type="containsText" dxfId="7541" priority="7568" operator="containsText" text="RECHAZADA">
      <formula>NOT(ISERROR(SEARCH("RECHAZADA",K836)))</formula>
    </cfRule>
    <cfRule type="containsText" dxfId="7540" priority="7569" operator="containsText" text="Atendida">
      <formula>NOT(ISERROR(SEARCH("Atendida",K836)))</formula>
    </cfRule>
    <cfRule type="containsText" dxfId="7539" priority="7570" operator="containsText" text="Reasignación">
      <formula>NOT(ISERROR(SEARCH("Reasignación",K836)))</formula>
    </cfRule>
    <cfRule type="containsText" dxfId="7538" priority="7571" operator="containsText" text="RECHAZADA">
      <formula>NOT(ISERROR(SEARCH("RECHAZADA",K836)))</formula>
    </cfRule>
    <cfRule type="containsText" dxfId="7537" priority="7572" operator="containsText" text="Atendida">
      <formula>NOT(ISERROR(SEARCH("Atendida",K836)))</formula>
    </cfRule>
  </conditionalFormatting>
  <conditionalFormatting sqref="K836">
    <cfRule type="containsText" dxfId="7536" priority="7549" operator="containsText" text="Reasignación">
      <formula>NOT(ISERROR(SEARCH("Reasignación",K836)))</formula>
    </cfRule>
    <cfRule type="containsText" dxfId="7535" priority="7550" operator="containsText" text="RECHAZADA">
      <formula>NOT(ISERROR(SEARCH("RECHAZADA",K836)))</formula>
    </cfRule>
    <cfRule type="containsText" dxfId="7534" priority="7551" operator="containsText" text="Atendida">
      <formula>NOT(ISERROR(SEARCH("Atendida",K836)))</formula>
    </cfRule>
    <cfRule type="containsText" dxfId="7533" priority="7552" operator="containsText" text="Reasignación">
      <formula>NOT(ISERROR(SEARCH("Reasignación",K836)))</formula>
    </cfRule>
    <cfRule type="containsText" dxfId="7532" priority="7553" operator="containsText" text="RECHAZADA">
      <formula>NOT(ISERROR(SEARCH("RECHAZADA",K836)))</formula>
    </cfRule>
    <cfRule type="containsText" dxfId="7531" priority="7554" operator="containsText" text="Atendida">
      <formula>NOT(ISERROR(SEARCH("Atendida",K836)))</formula>
    </cfRule>
    <cfRule type="containsText" dxfId="7530" priority="7555" operator="containsText" text="Reasignación">
      <formula>NOT(ISERROR(SEARCH("Reasignación",K836)))</formula>
    </cfRule>
    <cfRule type="containsText" dxfId="7529" priority="7556" operator="containsText" text="RECHAZADA">
      <formula>NOT(ISERROR(SEARCH("RECHAZADA",K836)))</formula>
    </cfRule>
    <cfRule type="containsText" dxfId="7528" priority="7557" operator="containsText" text="Atendida">
      <formula>NOT(ISERROR(SEARCH("Atendida",K836)))</formula>
    </cfRule>
    <cfRule type="containsText" dxfId="7527" priority="7558" operator="containsText" text="Reasignación">
      <formula>NOT(ISERROR(SEARCH("Reasignación",K836)))</formula>
    </cfRule>
    <cfRule type="containsText" dxfId="7526" priority="7559" operator="containsText" text="RECHAZADA">
      <formula>NOT(ISERROR(SEARCH("RECHAZADA",K836)))</formula>
    </cfRule>
    <cfRule type="containsText" dxfId="7525" priority="7560" operator="containsText" text="Atendida">
      <formula>NOT(ISERROR(SEARCH("Atendida",K836)))</formula>
    </cfRule>
  </conditionalFormatting>
  <conditionalFormatting sqref="K836">
    <cfRule type="containsText" dxfId="7524" priority="7543" operator="containsText" text="Reasignación">
      <formula>NOT(ISERROR(SEARCH("Reasignación",K836)))</formula>
    </cfRule>
    <cfRule type="containsText" dxfId="7523" priority="7544" operator="containsText" text="RECHAZADA">
      <formula>NOT(ISERROR(SEARCH("RECHAZADA",K836)))</formula>
    </cfRule>
    <cfRule type="containsText" dxfId="7522" priority="7545" operator="containsText" text="Atendida">
      <formula>NOT(ISERROR(SEARCH("Atendida",K836)))</formula>
    </cfRule>
  </conditionalFormatting>
  <conditionalFormatting sqref="K836">
    <cfRule type="containsText" dxfId="7521" priority="7546" operator="containsText" text="Reasignación">
      <formula>NOT(ISERROR(SEARCH("Reasignación",K836)))</formula>
    </cfRule>
    <cfRule type="containsText" dxfId="7520" priority="7547" operator="containsText" text="RECHAZADA">
      <formula>NOT(ISERROR(SEARCH("RECHAZADA",K836)))</formula>
    </cfRule>
    <cfRule type="containsText" dxfId="7519" priority="7548" operator="containsText" text="Atendida">
      <formula>NOT(ISERROR(SEARCH("Atendida",K836)))</formula>
    </cfRule>
  </conditionalFormatting>
  <conditionalFormatting sqref="K837">
    <cfRule type="containsText" dxfId="7518" priority="7456" operator="containsText" text="Reasignación">
      <formula>NOT(ISERROR(SEARCH("Reasignación",K837)))</formula>
    </cfRule>
    <cfRule type="containsText" dxfId="7517" priority="7457" operator="containsText" text="RECHAZADA">
      <formula>NOT(ISERROR(SEARCH("RECHAZADA",K837)))</formula>
    </cfRule>
    <cfRule type="containsText" dxfId="7516" priority="7458" operator="containsText" text="Atendida">
      <formula>NOT(ISERROR(SEARCH("Atendida",K837)))</formula>
    </cfRule>
  </conditionalFormatting>
  <conditionalFormatting sqref="K837">
    <cfRule type="containsText" dxfId="7515" priority="7459" operator="containsText" text="Reasignación">
      <formula>NOT(ISERROR(SEARCH("Reasignación",K837)))</formula>
    </cfRule>
    <cfRule type="containsText" dxfId="7514" priority="7460" operator="containsText" text="RECHAZADA">
      <formula>NOT(ISERROR(SEARCH("RECHAZADA",K837)))</formula>
    </cfRule>
    <cfRule type="containsText" dxfId="7513" priority="7461" operator="containsText" text="Atendida">
      <formula>NOT(ISERROR(SEARCH("Atendida",K837)))</formula>
    </cfRule>
    <cfRule type="containsText" dxfId="7512" priority="7462" operator="containsText" text="Reasignación">
      <formula>NOT(ISERROR(SEARCH("Reasignación",K837)))</formula>
    </cfRule>
    <cfRule type="containsText" dxfId="7511" priority="7463" operator="containsText" text="RECHAZADA">
      <formula>NOT(ISERROR(SEARCH("RECHAZADA",K837)))</formula>
    </cfRule>
    <cfRule type="containsText" dxfId="7510" priority="7464" operator="containsText" text="Atendida">
      <formula>NOT(ISERROR(SEARCH("Atendida",K837)))</formula>
    </cfRule>
    <cfRule type="containsText" dxfId="7509" priority="7465" operator="containsText" text="Reasignación">
      <formula>NOT(ISERROR(SEARCH("Reasignación",K837)))</formula>
    </cfRule>
    <cfRule type="containsText" dxfId="7508" priority="7466" operator="containsText" text="RECHAZADA">
      <formula>NOT(ISERROR(SEARCH("RECHAZADA",K837)))</formula>
    </cfRule>
    <cfRule type="containsText" dxfId="7507" priority="7467" operator="containsText" text="Atendida">
      <formula>NOT(ISERROR(SEARCH("Atendida",K837)))</formula>
    </cfRule>
    <cfRule type="containsText" dxfId="7506" priority="7468" operator="containsText" text="Reasignación">
      <formula>NOT(ISERROR(SEARCH("Reasignación",K837)))</formula>
    </cfRule>
    <cfRule type="containsText" dxfId="7505" priority="7469" operator="containsText" text="RECHAZADA">
      <formula>NOT(ISERROR(SEARCH("RECHAZADA",K837)))</formula>
    </cfRule>
    <cfRule type="containsText" dxfId="7504" priority="7470" operator="containsText" text="Atendida">
      <formula>NOT(ISERROR(SEARCH("Atendida",K837)))</formula>
    </cfRule>
  </conditionalFormatting>
  <conditionalFormatting sqref="K837">
    <cfRule type="containsText" dxfId="7503" priority="7516" operator="containsText" text="Reasignación">
      <formula>NOT(ISERROR(SEARCH("Reasignación",K837)))</formula>
    </cfRule>
    <cfRule type="containsText" dxfId="7502" priority="7517" operator="containsText" text="RECHAZADA">
      <formula>NOT(ISERROR(SEARCH("RECHAZADA",K837)))</formula>
    </cfRule>
    <cfRule type="containsText" dxfId="7501" priority="7518" operator="containsText" text="Atendida">
      <formula>NOT(ISERROR(SEARCH("Atendida",K837)))</formula>
    </cfRule>
    <cfRule type="containsText" dxfId="7500" priority="7519" operator="containsText" text="Reasignación">
      <formula>NOT(ISERROR(SEARCH("Reasignación",K837)))</formula>
    </cfRule>
    <cfRule type="containsText" dxfId="7499" priority="7520" operator="containsText" text="RECHAZADA">
      <formula>NOT(ISERROR(SEARCH("RECHAZADA",K837)))</formula>
    </cfRule>
    <cfRule type="containsText" dxfId="7498" priority="7521" operator="containsText" text="Atendida">
      <formula>NOT(ISERROR(SEARCH("Atendida",K837)))</formula>
    </cfRule>
    <cfRule type="containsText" dxfId="7497" priority="7522" operator="containsText" text="Reasignación">
      <formula>NOT(ISERROR(SEARCH("Reasignación",K837)))</formula>
    </cfRule>
    <cfRule type="containsText" dxfId="7496" priority="7523" operator="containsText" text="RECHAZADA">
      <formula>NOT(ISERROR(SEARCH("RECHAZADA",K837)))</formula>
    </cfRule>
    <cfRule type="containsText" dxfId="7495" priority="7524" operator="containsText" text="Atendida">
      <formula>NOT(ISERROR(SEARCH("Atendida",K837)))</formula>
    </cfRule>
    <cfRule type="containsText" dxfId="7494" priority="7525" operator="containsText" text="Reasignación">
      <formula>NOT(ISERROR(SEARCH("Reasignación",K837)))</formula>
    </cfRule>
    <cfRule type="containsText" dxfId="7493" priority="7526" operator="containsText" text="RECHAZADA">
      <formula>NOT(ISERROR(SEARCH("RECHAZADA",K837)))</formula>
    </cfRule>
    <cfRule type="containsText" dxfId="7492" priority="7527" operator="containsText" text="Atendida">
      <formula>NOT(ISERROR(SEARCH("Atendida",K837)))</formula>
    </cfRule>
  </conditionalFormatting>
  <conditionalFormatting sqref="K837">
    <cfRule type="containsText" dxfId="7491" priority="7504" operator="containsText" text="Reasignación">
      <formula>NOT(ISERROR(SEARCH("Reasignación",K837)))</formula>
    </cfRule>
    <cfRule type="containsText" dxfId="7490" priority="7505" operator="containsText" text="RECHAZADA">
      <formula>NOT(ISERROR(SEARCH("RECHAZADA",K837)))</formula>
    </cfRule>
    <cfRule type="containsText" dxfId="7489" priority="7506" operator="containsText" text="Atendida">
      <formula>NOT(ISERROR(SEARCH("Atendida",K837)))</formula>
    </cfRule>
    <cfRule type="containsText" dxfId="7488" priority="7507" operator="containsText" text="Reasignación">
      <formula>NOT(ISERROR(SEARCH("Reasignación",K837)))</formula>
    </cfRule>
    <cfRule type="containsText" dxfId="7487" priority="7508" operator="containsText" text="RECHAZADA">
      <formula>NOT(ISERROR(SEARCH("RECHAZADA",K837)))</formula>
    </cfRule>
    <cfRule type="containsText" dxfId="7486" priority="7509" operator="containsText" text="Atendida">
      <formula>NOT(ISERROR(SEARCH("Atendida",K837)))</formula>
    </cfRule>
    <cfRule type="containsText" dxfId="7485" priority="7510" operator="containsText" text="Reasignación">
      <formula>NOT(ISERROR(SEARCH("Reasignación",K837)))</formula>
    </cfRule>
    <cfRule type="containsText" dxfId="7484" priority="7511" operator="containsText" text="RECHAZADA">
      <formula>NOT(ISERROR(SEARCH("RECHAZADA",K837)))</formula>
    </cfRule>
    <cfRule type="containsText" dxfId="7483" priority="7512" operator="containsText" text="Atendida">
      <formula>NOT(ISERROR(SEARCH("Atendida",K837)))</formula>
    </cfRule>
    <cfRule type="containsText" dxfId="7482" priority="7513" operator="containsText" text="Reasignación">
      <formula>NOT(ISERROR(SEARCH("Reasignación",K837)))</formula>
    </cfRule>
    <cfRule type="containsText" dxfId="7481" priority="7514" operator="containsText" text="RECHAZADA">
      <formula>NOT(ISERROR(SEARCH("RECHAZADA",K837)))</formula>
    </cfRule>
    <cfRule type="containsText" dxfId="7480" priority="7515" operator="containsText" text="Atendida">
      <formula>NOT(ISERROR(SEARCH("Atendida",K837)))</formula>
    </cfRule>
  </conditionalFormatting>
  <conditionalFormatting sqref="K837">
    <cfRule type="containsText" dxfId="7479" priority="7501" operator="containsText" text="Reasignación">
      <formula>NOT(ISERROR(SEARCH("Reasignación",K837)))</formula>
    </cfRule>
    <cfRule type="containsText" dxfId="7478" priority="7502" operator="containsText" text="RECHAZADA">
      <formula>NOT(ISERROR(SEARCH("RECHAZADA",K837)))</formula>
    </cfRule>
    <cfRule type="containsText" dxfId="7477" priority="7503" operator="containsText" text="Atendida">
      <formula>NOT(ISERROR(SEARCH("Atendida",K837)))</formula>
    </cfRule>
  </conditionalFormatting>
  <conditionalFormatting sqref="K837">
    <cfRule type="containsText" dxfId="7476" priority="7489" operator="containsText" text="Reasignación">
      <formula>NOT(ISERROR(SEARCH("Reasignación",K837)))</formula>
    </cfRule>
    <cfRule type="containsText" dxfId="7475" priority="7490" operator="containsText" text="RECHAZADA">
      <formula>NOT(ISERROR(SEARCH("RECHAZADA",K837)))</formula>
    </cfRule>
    <cfRule type="containsText" dxfId="7474" priority="7491" operator="containsText" text="Atendida">
      <formula>NOT(ISERROR(SEARCH("Atendida",K837)))</formula>
    </cfRule>
    <cfRule type="containsText" dxfId="7473" priority="7492" operator="containsText" text="Reasignación">
      <formula>NOT(ISERROR(SEARCH("Reasignación",K837)))</formula>
    </cfRule>
    <cfRule type="containsText" dxfId="7472" priority="7493" operator="containsText" text="RECHAZADA">
      <formula>NOT(ISERROR(SEARCH("RECHAZADA",K837)))</formula>
    </cfRule>
    <cfRule type="containsText" dxfId="7471" priority="7494" operator="containsText" text="Atendida">
      <formula>NOT(ISERROR(SEARCH("Atendida",K837)))</formula>
    </cfRule>
    <cfRule type="containsText" dxfId="7470" priority="7495" operator="containsText" text="Reasignación">
      <formula>NOT(ISERROR(SEARCH("Reasignación",K837)))</formula>
    </cfRule>
    <cfRule type="containsText" dxfId="7469" priority="7496" operator="containsText" text="RECHAZADA">
      <formula>NOT(ISERROR(SEARCH("RECHAZADA",K837)))</formula>
    </cfRule>
    <cfRule type="containsText" dxfId="7468" priority="7497" operator="containsText" text="Atendida">
      <formula>NOT(ISERROR(SEARCH("Atendida",K837)))</formula>
    </cfRule>
    <cfRule type="containsText" dxfId="7467" priority="7498" operator="containsText" text="Reasignación">
      <formula>NOT(ISERROR(SEARCH("Reasignación",K837)))</formula>
    </cfRule>
    <cfRule type="containsText" dxfId="7466" priority="7499" operator="containsText" text="RECHAZADA">
      <formula>NOT(ISERROR(SEARCH("RECHAZADA",K837)))</formula>
    </cfRule>
    <cfRule type="containsText" dxfId="7465" priority="7500" operator="containsText" text="Atendida">
      <formula>NOT(ISERROR(SEARCH("Atendida",K837)))</formula>
    </cfRule>
  </conditionalFormatting>
  <conditionalFormatting sqref="K837">
    <cfRule type="containsText" dxfId="7464" priority="7477" operator="containsText" text="Reasignación">
      <formula>NOT(ISERROR(SEARCH("Reasignación",K837)))</formula>
    </cfRule>
    <cfRule type="containsText" dxfId="7463" priority="7478" operator="containsText" text="RECHAZADA">
      <formula>NOT(ISERROR(SEARCH("RECHAZADA",K837)))</formula>
    </cfRule>
    <cfRule type="containsText" dxfId="7462" priority="7479" operator="containsText" text="Atendida">
      <formula>NOT(ISERROR(SEARCH("Atendida",K837)))</formula>
    </cfRule>
    <cfRule type="containsText" dxfId="7461" priority="7480" operator="containsText" text="Reasignación">
      <formula>NOT(ISERROR(SEARCH("Reasignación",K837)))</formula>
    </cfRule>
    <cfRule type="containsText" dxfId="7460" priority="7481" operator="containsText" text="RECHAZADA">
      <formula>NOT(ISERROR(SEARCH("RECHAZADA",K837)))</formula>
    </cfRule>
    <cfRule type="containsText" dxfId="7459" priority="7482" operator="containsText" text="Atendida">
      <formula>NOT(ISERROR(SEARCH("Atendida",K837)))</formula>
    </cfRule>
    <cfRule type="containsText" dxfId="7458" priority="7483" operator="containsText" text="Reasignación">
      <formula>NOT(ISERROR(SEARCH("Reasignación",K837)))</formula>
    </cfRule>
    <cfRule type="containsText" dxfId="7457" priority="7484" operator="containsText" text="RECHAZADA">
      <formula>NOT(ISERROR(SEARCH("RECHAZADA",K837)))</formula>
    </cfRule>
    <cfRule type="containsText" dxfId="7456" priority="7485" operator="containsText" text="Atendida">
      <formula>NOT(ISERROR(SEARCH("Atendida",K837)))</formula>
    </cfRule>
    <cfRule type="containsText" dxfId="7455" priority="7486" operator="containsText" text="Reasignación">
      <formula>NOT(ISERROR(SEARCH("Reasignación",K837)))</formula>
    </cfRule>
    <cfRule type="containsText" dxfId="7454" priority="7487" operator="containsText" text="RECHAZADA">
      <formula>NOT(ISERROR(SEARCH("RECHAZADA",K837)))</formula>
    </cfRule>
    <cfRule type="containsText" dxfId="7453" priority="7488" operator="containsText" text="Atendida">
      <formula>NOT(ISERROR(SEARCH("Atendida",K837)))</formula>
    </cfRule>
  </conditionalFormatting>
  <conditionalFormatting sqref="K837">
    <cfRule type="containsText" dxfId="7452" priority="7471" operator="containsText" text="Reasignación">
      <formula>NOT(ISERROR(SEARCH("Reasignación",K837)))</formula>
    </cfRule>
    <cfRule type="containsText" dxfId="7451" priority="7472" operator="containsText" text="RECHAZADA">
      <formula>NOT(ISERROR(SEARCH("RECHAZADA",K837)))</formula>
    </cfRule>
    <cfRule type="containsText" dxfId="7450" priority="7473" operator="containsText" text="Atendida">
      <formula>NOT(ISERROR(SEARCH("Atendida",K837)))</formula>
    </cfRule>
  </conditionalFormatting>
  <conditionalFormatting sqref="K837">
    <cfRule type="containsText" dxfId="7449" priority="7474" operator="containsText" text="Reasignación">
      <formula>NOT(ISERROR(SEARCH("Reasignación",K837)))</formula>
    </cfRule>
    <cfRule type="containsText" dxfId="7448" priority="7475" operator="containsText" text="RECHAZADA">
      <formula>NOT(ISERROR(SEARCH("RECHAZADA",K837)))</formula>
    </cfRule>
    <cfRule type="containsText" dxfId="7447" priority="7476" operator="containsText" text="Atendida">
      <formula>NOT(ISERROR(SEARCH("Atendida",K837)))</formula>
    </cfRule>
  </conditionalFormatting>
  <conditionalFormatting sqref="K838">
    <cfRule type="containsText" dxfId="7446" priority="7453" operator="containsText" text="Reasignación">
      <formula>NOT(ISERROR(SEARCH("Reasignación",K838)))</formula>
    </cfRule>
    <cfRule type="containsText" dxfId="7445" priority="7454" operator="containsText" text="RECHAZADA">
      <formula>NOT(ISERROR(SEARCH("RECHAZADA",K838)))</formula>
    </cfRule>
    <cfRule type="containsText" dxfId="7444" priority="7455" operator="containsText" text="Atendida">
      <formula>NOT(ISERROR(SEARCH("Atendida",K838)))</formula>
    </cfRule>
  </conditionalFormatting>
  <conditionalFormatting sqref="K838">
    <cfRule type="containsText" dxfId="7443" priority="7447" operator="containsText" text="Reasignación">
      <formula>NOT(ISERROR(SEARCH("Reasignación",K838)))</formula>
    </cfRule>
    <cfRule type="containsText" dxfId="7442" priority="7448" operator="containsText" text="RECHAZADA">
      <formula>NOT(ISERROR(SEARCH("RECHAZADA",K838)))</formula>
    </cfRule>
    <cfRule type="containsText" dxfId="7441" priority="7449" operator="containsText" text="Atendida">
      <formula>NOT(ISERROR(SEARCH("Atendida",K838)))</formula>
    </cfRule>
  </conditionalFormatting>
  <conditionalFormatting sqref="K838">
    <cfRule type="containsText" dxfId="7440" priority="7432" operator="containsText" text="Reasignación">
      <formula>NOT(ISERROR(SEARCH("Reasignación",K838)))</formula>
    </cfRule>
    <cfRule type="containsText" dxfId="7439" priority="7433" operator="containsText" text="RECHAZADA">
      <formula>NOT(ISERROR(SEARCH("RECHAZADA",K838)))</formula>
    </cfRule>
    <cfRule type="containsText" dxfId="7438" priority="7434" operator="containsText" text="Atendida">
      <formula>NOT(ISERROR(SEARCH("Atendida",K838)))</formula>
    </cfRule>
  </conditionalFormatting>
  <conditionalFormatting sqref="K838">
    <cfRule type="containsText" dxfId="7437" priority="7435" operator="containsText" text="Reasignación">
      <formula>NOT(ISERROR(SEARCH("Reasignación",K838)))</formula>
    </cfRule>
    <cfRule type="containsText" dxfId="7436" priority="7436" operator="containsText" text="RECHAZADA">
      <formula>NOT(ISERROR(SEARCH("RECHAZADA",K838)))</formula>
    </cfRule>
    <cfRule type="containsText" dxfId="7435" priority="7437" operator="containsText" text="Atendida">
      <formula>NOT(ISERROR(SEARCH("Atendida",K838)))</formula>
    </cfRule>
    <cfRule type="containsText" dxfId="7434" priority="7438" operator="containsText" text="Reasignación">
      <formula>NOT(ISERROR(SEARCH("Reasignación",K838)))</formula>
    </cfRule>
    <cfRule type="containsText" dxfId="7433" priority="7439" operator="containsText" text="RECHAZADA">
      <formula>NOT(ISERROR(SEARCH("RECHAZADA",K838)))</formula>
    </cfRule>
    <cfRule type="containsText" dxfId="7432" priority="7440" operator="containsText" text="Atendida">
      <formula>NOT(ISERROR(SEARCH("Atendida",K838)))</formula>
    </cfRule>
    <cfRule type="containsText" dxfId="7431" priority="7441" operator="containsText" text="Reasignación">
      <formula>NOT(ISERROR(SEARCH("Reasignación",K838)))</formula>
    </cfRule>
    <cfRule type="containsText" dxfId="7430" priority="7442" operator="containsText" text="RECHAZADA">
      <formula>NOT(ISERROR(SEARCH("RECHAZADA",K838)))</formula>
    </cfRule>
    <cfRule type="containsText" dxfId="7429" priority="7443" operator="containsText" text="Atendida">
      <formula>NOT(ISERROR(SEARCH("Atendida",K838)))</formula>
    </cfRule>
    <cfRule type="containsText" dxfId="7428" priority="7444" operator="containsText" text="Reasignación">
      <formula>NOT(ISERROR(SEARCH("Reasignación",K838)))</formula>
    </cfRule>
    <cfRule type="containsText" dxfId="7427" priority="7445" operator="containsText" text="RECHAZADA">
      <formula>NOT(ISERROR(SEARCH("RECHAZADA",K838)))</formula>
    </cfRule>
    <cfRule type="containsText" dxfId="7426" priority="7446" operator="containsText" text="Atendida">
      <formula>NOT(ISERROR(SEARCH("Atendida",K838)))</formula>
    </cfRule>
  </conditionalFormatting>
  <conditionalFormatting sqref="K838">
    <cfRule type="containsText" dxfId="7425" priority="7450" operator="containsText" text="Reasignación">
      <formula>NOT(ISERROR(SEARCH("Reasignación",K838)))</formula>
    </cfRule>
    <cfRule type="containsText" dxfId="7424" priority="7451" operator="containsText" text="RECHAZADA">
      <formula>NOT(ISERROR(SEARCH("RECHAZADA",K838)))</formula>
    </cfRule>
    <cfRule type="containsText" dxfId="7423" priority="7452" operator="containsText" text="Atendida">
      <formula>NOT(ISERROR(SEARCH("Atendida",K838)))</formula>
    </cfRule>
  </conditionalFormatting>
  <conditionalFormatting sqref="K839:K840">
    <cfRule type="containsText" dxfId="7422" priority="7420" operator="containsText" text="Reasignación">
      <formula>NOT(ISERROR(SEARCH("Reasignación",K839)))</formula>
    </cfRule>
    <cfRule type="containsText" dxfId="7421" priority="7421" operator="containsText" text="RECHAZADA">
      <formula>NOT(ISERROR(SEARCH("RECHAZADA",K839)))</formula>
    </cfRule>
    <cfRule type="containsText" dxfId="7420" priority="7422" operator="containsText" text="Atendida">
      <formula>NOT(ISERROR(SEARCH("Atendida",K839)))</formula>
    </cfRule>
    <cfRule type="containsText" dxfId="7419" priority="7423" operator="containsText" text="Reasignación">
      <formula>NOT(ISERROR(SEARCH("Reasignación",K839)))</formula>
    </cfRule>
    <cfRule type="containsText" dxfId="7418" priority="7424" operator="containsText" text="RECHAZADA">
      <formula>NOT(ISERROR(SEARCH("RECHAZADA",K839)))</formula>
    </cfRule>
    <cfRule type="containsText" dxfId="7417" priority="7425" operator="containsText" text="Atendida">
      <formula>NOT(ISERROR(SEARCH("Atendida",K839)))</formula>
    </cfRule>
    <cfRule type="containsText" dxfId="7416" priority="7426" operator="containsText" text="Reasignación">
      <formula>NOT(ISERROR(SEARCH("Reasignación",K839)))</formula>
    </cfRule>
    <cfRule type="containsText" dxfId="7415" priority="7427" operator="containsText" text="RECHAZADA">
      <formula>NOT(ISERROR(SEARCH("RECHAZADA",K839)))</formula>
    </cfRule>
    <cfRule type="containsText" dxfId="7414" priority="7428" operator="containsText" text="Atendida">
      <formula>NOT(ISERROR(SEARCH("Atendida",K839)))</formula>
    </cfRule>
    <cfRule type="containsText" dxfId="7413" priority="7429" operator="containsText" text="Reasignación">
      <formula>NOT(ISERROR(SEARCH("Reasignación",K839)))</formula>
    </cfRule>
    <cfRule type="containsText" dxfId="7412" priority="7430" operator="containsText" text="RECHAZADA">
      <formula>NOT(ISERROR(SEARCH("RECHAZADA",K839)))</formula>
    </cfRule>
    <cfRule type="containsText" dxfId="7411" priority="7431" operator="containsText" text="Atendida">
      <formula>NOT(ISERROR(SEARCH("Atendida",K839)))</formula>
    </cfRule>
  </conditionalFormatting>
  <conditionalFormatting sqref="K839">
    <cfRule type="containsText" dxfId="7410" priority="7408" operator="containsText" text="Reasignación">
      <formula>NOT(ISERROR(SEARCH("Reasignación",K839)))</formula>
    </cfRule>
    <cfRule type="containsText" dxfId="7409" priority="7409" operator="containsText" text="RECHAZADA">
      <formula>NOT(ISERROR(SEARCH("RECHAZADA",K839)))</formula>
    </cfRule>
    <cfRule type="containsText" dxfId="7408" priority="7410" operator="containsText" text="Atendida">
      <formula>NOT(ISERROR(SEARCH("Atendida",K839)))</formula>
    </cfRule>
    <cfRule type="containsText" dxfId="7407" priority="7411" operator="containsText" text="Reasignación">
      <formula>NOT(ISERROR(SEARCH("Reasignación",K839)))</formula>
    </cfRule>
    <cfRule type="containsText" dxfId="7406" priority="7412" operator="containsText" text="RECHAZADA">
      <formula>NOT(ISERROR(SEARCH("RECHAZADA",K839)))</formula>
    </cfRule>
    <cfRule type="containsText" dxfId="7405" priority="7413" operator="containsText" text="Atendida">
      <formula>NOT(ISERROR(SEARCH("Atendida",K839)))</formula>
    </cfRule>
    <cfRule type="containsText" dxfId="7404" priority="7414" operator="containsText" text="Reasignación">
      <formula>NOT(ISERROR(SEARCH("Reasignación",K839)))</formula>
    </cfRule>
    <cfRule type="containsText" dxfId="7403" priority="7415" operator="containsText" text="RECHAZADA">
      <formula>NOT(ISERROR(SEARCH("RECHAZADA",K839)))</formula>
    </cfRule>
    <cfRule type="containsText" dxfId="7402" priority="7416" operator="containsText" text="Atendida">
      <formula>NOT(ISERROR(SEARCH("Atendida",K839)))</formula>
    </cfRule>
    <cfRule type="containsText" dxfId="7401" priority="7417" operator="containsText" text="Reasignación">
      <formula>NOT(ISERROR(SEARCH("Reasignación",K839)))</formula>
    </cfRule>
    <cfRule type="containsText" dxfId="7400" priority="7418" operator="containsText" text="RECHAZADA">
      <formula>NOT(ISERROR(SEARCH("RECHAZADA",K839)))</formula>
    </cfRule>
    <cfRule type="containsText" dxfId="7399" priority="7419" operator="containsText" text="Atendida">
      <formula>NOT(ISERROR(SEARCH("Atendida",K839)))</formula>
    </cfRule>
  </conditionalFormatting>
  <conditionalFormatting sqref="K839">
    <cfRule type="containsText" dxfId="7398" priority="7402" operator="containsText" text="Reasignación">
      <formula>NOT(ISERROR(SEARCH("Reasignación",K839)))</formula>
    </cfRule>
    <cfRule type="containsText" dxfId="7397" priority="7403" operator="containsText" text="RECHAZADA">
      <formula>NOT(ISERROR(SEARCH("RECHAZADA",K839)))</formula>
    </cfRule>
    <cfRule type="containsText" dxfId="7396" priority="7404" operator="containsText" text="Atendida">
      <formula>NOT(ISERROR(SEARCH("Atendida",K839)))</formula>
    </cfRule>
  </conditionalFormatting>
  <conditionalFormatting sqref="K839">
    <cfRule type="containsText" dxfId="7395" priority="7387" operator="containsText" text="Reasignación">
      <formula>NOT(ISERROR(SEARCH("Reasignación",K839)))</formula>
    </cfRule>
    <cfRule type="containsText" dxfId="7394" priority="7388" operator="containsText" text="RECHAZADA">
      <formula>NOT(ISERROR(SEARCH("RECHAZADA",K839)))</formula>
    </cfRule>
    <cfRule type="containsText" dxfId="7393" priority="7389" operator="containsText" text="Atendida">
      <formula>NOT(ISERROR(SEARCH("Atendida",K839)))</formula>
    </cfRule>
  </conditionalFormatting>
  <conditionalFormatting sqref="K839">
    <cfRule type="containsText" dxfId="7392" priority="7390" operator="containsText" text="Reasignación">
      <formula>NOT(ISERROR(SEARCH("Reasignación",K839)))</formula>
    </cfRule>
    <cfRule type="containsText" dxfId="7391" priority="7391" operator="containsText" text="RECHAZADA">
      <formula>NOT(ISERROR(SEARCH("RECHAZADA",K839)))</formula>
    </cfRule>
    <cfRule type="containsText" dxfId="7390" priority="7392" operator="containsText" text="Atendida">
      <formula>NOT(ISERROR(SEARCH("Atendida",K839)))</formula>
    </cfRule>
    <cfRule type="containsText" dxfId="7389" priority="7393" operator="containsText" text="Reasignación">
      <formula>NOT(ISERROR(SEARCH("Reasignación",K839)))</formula>
    </cfRule>
    <cfRule type="containsText" dxfId="7388" priority="7394" operator="containsText" text="RECHAZADA">
      <formula>NOT(ISERROR(SEARCH("RECHAZADA",K839)))</formula>
    </cfRule>
    <cfRule type="containsText" dxfId="7387" priority="7395" operator="containsText" text="Atendida">
      <formula>NOT(ISERROR(SEARCH("Atendida",K839)))</formula>
    </cfRule>
    <cfRule type="containsText" dxfId="7386" priority="7396" operator="containsText" text="Reasignación">
      <formula>NOT(ISERROR(SEARCH("Reasignación",K839)))</formula>
    </cfRule>
    <cfRule type="containsText" dxfId="7385" priority="7397" operator="containsText" text="RECHAZADA">
      <formula>NOT(ISERROR(SEARCH("RECHAZADA",K839)))</formula>
    </cfRule>
    <cfRule type="containsText" dxfId="7384" priority="7398" operator="containsText" text="Atendida">
      <formula>NOT(ISERROR(SEARCH("Atendida",K839)))</formula>
    </cfRule>
    <cfRule type="containsText" dxfId="7383" priority="7399" operator="containsText" text="Reasignación">
      <formula>NOT(ISERROR(SEARCH("Reasignación",K839)))</formula>
    </cfRule>
    <cfRule type="containsText" dxfId="7382" priority="7400" operator="containsText" text="RECHAZADA">
      <formula>NOT(ISERROR(SEARCH("RECHAZADA",K839)))</formula>
    </cfRule>
    <cfRule type="containsText" dxfId="7381" priority="7401" operator="containsText" text="Atendida">
      <formula>NOT(ISERROR(SEARCH("Atendida",K839)))</formula>
    </cfRule>
  </conditionalFormatting>
  <conditionalFormatting sqref="K839">
    <cfRule type="containsText" dxfId="7380" priority="7405" operator="containsText" text="Reasignación">
      <formula>NOT(ISERROR(SEARCH("Reasignación",K839)))</formula>
    </cfRule>
    <cfRule type="containsText" dxfId="7379" priority="7406" operator="containsText" text="RECHAZADA">
      <formula>NOT(ISERROR(SEARCH("RECHAZADA",K839)))</formula>
    </cfRule>
    <cfRule type="containsText" dxfId="7378" priority="7407" operator="containsText" text="Atendida">
      <formula>NOT(ISERROR(SEARCH("Atendida",K839)))</formula>
    </cfRule>
  </conditionalFormatting>
  <conditionalFormatting sqref="K840">
    <cfRule type="containsText" dxfId="7377" priority="7375" operator="containsText" text="Reasignación">
      <formula>NOT(ISERROR(SEARCH("Reasignación",K840)))</formula>
    </cfRule>
    <cfRule type="containsText" dxfId="7376" priority="7376" operator="containsText" text="RECHAZADA">
      <formula>NOT(ISERROR(SEARCH("RECHAZADA",K840)))</formula>
    </cfRule>
    <cfRule type="containsText" dxfId="7375" priority="7377" operator="containsText" text="Atendida">
      <formula>NOT(ISERROR(SEARCH("Atendida",K840)))</formula>
    </cfRule>
    <cfRule type="containsText" dxfId="7374" priority="7378" operator="containsText" text="Reasignación">
      <formula>NOT(ISERROR(SEARCH("Reasignación",K840)))</formula>
    </cfRule>
    <cfRule type="containsText" dxfId="7373" priority="7379" operator="containsText" text="RECHAZADA">
      <formula>NOT(ISERROR(SEARCH("RECHAZADA",K840)))</formula>
    </cfRule>
    <cfRule type="containsText" dxfId="7372" priority="7380" operator="containsText" text="Atendida">
      <formula>NOT(ISERROR(SEARCH("Atendida",K840)))</formula>
    </cfRule>
    <cfRule type="containsText" dxfId="7371" priority="7381" operator="containsText" text="Reasignación">
      <formula>NOT(ISERROR(SEARCH("Reasignación",K840)))</formula>
    </cfRule>
    <cfRule type="containsText" dxfId="7370" priority="7382" operator="containsText" text="RECHAZADA">
      <formula>NOT(ISERROR(SEARCH("RECHAZADA",K840)))</formula>
    </cfRule>
    <cfRule type="containsText" dxfId="7369" priority="7383" operator="containsText" text="Atendida">
      <formula>NOT(ISERROR(SEARCH("Atendida",K840)))</formula>
    </cfRule>
    <cfRule type="containsText" dxfId="7368" priority="7384" operator="containsText" text="Reasignación">
      <formula>NOT(ISERROR(SEARCH("Reasignación",K840)))</formula>
    </cfRule>
    <cfRule type="containsText" dxfId="7367" priority="7385" operator="containsText" text="RECHAZADA">
      <formula>NOT(ISERROR(SEARCH("RECHAZADA",K840)))</formula>
    </cfRule>
    <cfRule type="containsText" dxfId="7366" priority="7386" operator="containsText" text="Atendida">
      <formula>NOT(ISERROR(SEARCH("Atendida",K840)))</formula>
    </cfRule>
  </conditionalFormatting>
  <conditionalFormatting sqref="K840">
    <cfRule type="containsText" dxfId="7365" priority="7369" operator="containsText" text="Reasignación">
      <formula>NOT(ISERROR(SEARCH("Reasignación",K840)))</formula>
    </cfRule>
    <cfRule type="containsText" dxfId="7364" priority="7370" operator="containsText" text="RECHAZADA">
      <formula>NOT(ISERROR(SEARCH("RECHAZADA",K840)))</formula>
    </cfRule>
    <cfRule type="containsText" dxfId="7363" priority="7371" operator="containsText" text="Atendida">
      <formula>NOT(ISERROR(SEARCH("Atendida",K840)))</formula>
    </cfRule>
  </conditionalFormatting>
  <conditionalFormatting sqref="K840">
    <cfRule type="containsText" dxfId="7362" priority="7354" operator="containsText" text="Reasignación">
      <formula>NOT(ISERROR(SEARCH("Reasignación",K840)))</formula>
    </cfRule>
    <cfRule type="containsText" dxfId="7361" priority="7355" operator="containsText" text="RECHAZADA">
      <formula>NOT(ISERROR(SEARCH("RECHAZADA",K840)))</formula>
    </cfRule>
    <cfRule type="containsText" dxfId="7360" priority="7356" operator="containsText" text="Atendida">
      <formula>NOT(ISERROR(SEARCH("Atendida",K840)))</formula>
    </cfRule>
  </conditionalFormatting>
  <conditionalFormatting sqref="K840">
    <cfRule type="containsText" dxfId="7359" priority="7357" operator="containsText" text="Reasignación">
      <formula>NOT(ISERROR(SEARCH("Reasignación",K840)))</formula>
    </cfRule>
    <cfRule type="containsText" dxfId="7358" priority="7358" operator="containsText" text="RECHAZADA">
      <formula>NOT(ISERROR(SEARCH("RECHAZADA",K840)))</formula>
    </cfRule>
    <cfRule type="containsText" dxfId="7357" priority="7359" operator="containsText" text="Atendida">
      <formula>NOT(ISERROR(SEARCH("Atendida",K840)))</formula>
    </cfRule>
    <cfRule type="containsText" dxfId="7356" priority="7360" operator="containsText" text="Reasignación">
      <formula>NOT(ISERROR(SEARCH("Reasignación",K840)))</formula>
    </cfRule>
    <cfRule type="containsText" dxfId="7355" priority="7361" operator="containsText" text="RECHAZADA">
      <formula>NOT(ISERROR(SEARCH("RECHAZADA",K840)))</formula>
    </cfRule>
    <cfRule type="containsText" dxfId="7354" priority="7362" operator="containsText" text="Atendida">
      <formula>NOT(ISERROR(SEARCH("Atendida",K840)))</formula>
    </cfRule>
    <cfRule type="containsText" dxfId="7353" priority="7363" operator="containsText" text="Reasignación">
      <formula>NOT(ISERROR(SEARCH("Reasignación",K840)))</formula>
    </cfRule>
    <cfRule type="containsText" dxfId="7352" priority="7364" operator="containsText" text="RECHAZADA">
      <formula>NOT(ISERROR(SEARCH("RECHAZADA",K840)))</formula>
    </cfRule>
    <cfRule type="containsText" dxfId="7351" priority="7365" operator="containsText" text="Atendida">
      <formula>NOT(ISERROR(SEARCH("Atendida",K840)))</formula>
    </cfRule>
    <cfRule type="containsText" dxfId="7350" priority="7366" operator="containsText" text="Reasignación">
      <formula>NOT(ISERROR(SEARCH("Reasignación",K840)))</formula>
    </cfRule>
    <cfRule type="containsText" dxfId="7349" priority="7367" operator="containsText" text="RECHAZADA">
      <formula>NOT(ISERROR(SEARCH("RECHAZADA",K840)))</formula>
    </cfRule>
    <cfRule type="containsText" dxfId="7348" priority="7368" operator="containsText" text="Atendida">
      <formula>NOT(ISERROR(SEARCH("Atendida",K840)))</formula>
    </cfRule>
  </conditionalFormatting>
  <conditionalFormatting sqref="K840">
    <cfRule type="containsText" dxfId="7347" priority="7372" operator="containsText" text="Reasignación">
      <formula>NOT(ISERROR(SEARCH("Reasignación",K840)))</formula>
    </cfRule>
    <cfRule type="containsText" dxfId="7346" priority="7373" operator="containsText" text="RECHAZADA">
      <formula>NOT(ISERROR(SEARCH("RECHAZADA",K840)))</formula>
    </cfRule>
    <cfRule type="containsText" dxfId="7345" priority="7374" operator="containsText" text="Atendida">
      <formula>NOT(ISERROR(SEARCH("Atendida",K840)))</formula>
    </cfRule>
  </conditionalFormatting>
  <conditionalFormatting sqref="K841">
    <cfRule type="containsText" dxfId="7344" priority="7342" operator="containsText" text="Reasignación">
      <formula>NOT(ISERROR(SEARCH("Reasignación",K841)))</formula>
    </cfRule>
    <cfRule type="containsText" dxfId="7343" priority="7343" operator="containsText" text="RECHAZADA">
      <formula>NOT(ISERROR(SEARCH("RECHAZADA",K841)))</formula>
    </cfRule>
    <cfRule type="containsText" dxfId="7342" priority="7344" operator="containsText" text="Atendida">
      <formula>NOT(ISERROR(SEARCH("Atendida",K841)))</formula>
    </cfRule>
    <cfRule type="containsText" dxfId="7341" priority="7345" operator="containsText" text="Reasignación">
      <formula>NOT(ISERROR(SEARCH("Reasignación",K841)))</formula>
    </cfRule>
    <cfRule type="containsText" dxfId="7340" priority="7346" operator="containsText" text="RECHAZADA">
      <formula>NOT(ISERROR(SEARCH("RECHAZADA",K841)))</formula>
    </cfRule>
    <cfRule type="containsText" dxfId="7339" priority="7347" operator="containsText" text="Atendida">
      <formula>NOT(ISERROR(SEARCH("Atendida",K841)))</formula>
    </cfRule>
    <cfRule type="containsText" dxfId="7338" priority="7348" operator="containsText" text="Reasignación">
      <formula>NOT(ISERROR(SEARCH("Reasignación",K841)))</formula>
    </cfRule>
    <cfRule type="containsText" dxfId="7337" priority="7349" operator="containsText" text="RECHAZADA">
      <formula>NOT(ISERROR(SEARCH("RECHAZADA",K841)))</formula>
    </cfRule>
    <cfRule type="containsText" dxfId="7336" priority="7350" operator="containsText" text="Atendida">
      <formula>NOT(ISERROR(SEARCH("Atendida",K841)))</formula>
    </cfRule>
    <cfRule type="containsText" dxfId="7335" priority="7351" operator="containsText" text="Reasignación">
      <formula>NOT(ISERROR(SEARCH("Reasignación",K841)))</formula>
    </cfRule>
    <cfRule type="containsText" dxfId="7334" priority="7352" operator="containsText" text="RECHAZADA">
      <formula>NOT(ISERROR(SEARCH("RECHAZADA",K841)))</formula>
    </cfRule>
    <cfRule type="containsText" dxfId="7333" priority="7353" operator="containsText" text="Atendida">
      <formula>NOT(ISERROR(SEARCH("Atendida",K841)))</formula>
    </cfRule>
  </conditionalFormatting>
  <conditionalFormatting sqref="K841">
    <cfRule type="containsText" dxfId="7332" priority="7330" operator="containsText" text="Reasignación">
      <formula>NOT(ISERROR(SEARCH("Reasignación",K841)))</formula>
    </cfRule>
    <cfRule type="containsText" dxfId="7331" priority="7331" operator="containsText" text="RECHAZADA">
      <formula>NOT(ISERROR(SEARCH("RECHAZADA",K841)))</formula>
    </cfRule>
    <cfRule type="containsText" dxfId="7330" priority="7332" operator="containsText" text="Atendida">
      <formula>NOT(ISERROR(SEARCH("Atendida",K841)))</formula>
    </cfRule>
    <cfRule type="containsText" dxfId="7329" priority="7333" operator="containsText" text="Reasignación">
      <formula>NOT(ISERROR(SEARCH("Reasignación",K841)))</formula>
    </cfRule>
    <cfRule type="containsText" dxfId="7328" priority="7334" operator="containsText" text="RECHAZADA">
      <formula>NOT(ISERROR(SEARCH("RECHAZADA",K841)))</formula>
    </cfRule>
    <cfRule type="containsText" dxfId="7327" priority="7335" operator="containsText" text="Atendida">
      <formula>NOT(ISERROR(SEARCH("Atendida",K841)))</formula>
    </cfRule>
    <cfRule type="containsText" dxfId="7326" priority="7336" operator="containsText" text="Reasignación">
      <formula>NOT(ISERROR(SEARCH("Reasignación",K841)))</formula>
    </cfRule>
    <cfRule type="containsText" dxfId="7325" priority="7337" operator="containsText" text="RECHAZADA">
      <formula>NOT(ISERROR(SEARCH("RECHAZADA",K841)))</formula>
    </cfRule>
    <cfRule type="containsText" dxfId="7324" priority="7338" operator="containsText" text="Atendida">
      <formula>NOT(ISERROR(SEARCH("Atendida",K841)))</formula>
    </cfRule>
    <cfRule type="containsText" dxfId="7323" priority="7339" operator="containsText" text="Reasignación">
      <formula>NOT(ISERROR(SEARCH("Reasignación",K841)))</formula>
    </cfRule>
    <cfRule type="containsText" dxfId="7322" priority="7340" operator="containsText" text="RECHAZADA">
      <formula>NOT(ISERROR(SEARCH("RECHAZADA",K841)))</formula>
    </cfRule>
    <cfRule type="containsText" dxfId="7321" priority="7341" operator="containsText" text="Atendida">
      <formula>NOT(ISERROR(SEARCH("Atendida",K841)))</formula>
    </cfRule>
  </conditionalFormatting>
  <conditionalFormatting sqref="K841">
    <cfRule type="containsText" dxfId="7320" priority="7324" operator="containsText" text="Reasignación">
      <formula>NOT(ISERROR(SEARCH("Reasignación",K841)))</formula>
    </cfRule>
    <cfRule type="containsText" dxfId="7319" priority="7325" operator="containsText" text="RECHAZADA">
      <formula>NOT(ISERROR(SEARCH("RECHAZADA",K841)))</formula>
    </cfRule>
    <cfRule type="containsText" dxfId="7318" priority="7326" operator="containsText" text="Atendida">
      <formula>NOT(ISERROR(SEARCH("Atendida",K841)))</formula>
    </cfRule>
  </conditionalFormatting>
  <conditionalFormatting sqref="K841">
    <cfRule type="containsText" dxfId="7317" priority="7309" operator="containsText" text="Reasignación">
      <formula>NOT(ISERROR(SEARCH("Reasignación",K841)))</formula>
    </cfRule>
    <cfRule type="containsText" dxfId="7316" priority="7310" operator="containsText" text="RECHAZADA">
      <formula>NOT(ISERROR(SEARCH("RECHAZADA",K841)))</formula>
    </cfRule>
    <cfRule type="containsText" dxfId="7315" priority="7311" operator="containsText" text="Atendida">
      <formula>NOT(ISERROR(SEARCH("Atendida",K841)))</formula>
    </cfRule>
  </conditionalFormatting>
  <conditionalFormatting sqref="K841">
    <cfRule type="containsText" dxfId="7314" priority="7312" operator="containsText" text="Reasignación">
      <formula>NOT(ISERROR(SEARCH("Reasignación",K841)))</formula>
    </cfRule>
    <cfRule type="containsText" dxfId="7313" priority="7313" operator="containsText" text="RECHAZADA">
      <formula>NOT(ISERROR(SEARCH("RECHAZADA",K841)))</formula>
    </cfRule>
    <cfRule type="containsText" dxfId="7312" priority="7314" operator="containsText" text="Atendida">
      <formula>NOT(ISERROR(SEARCH("Atendida",K841)))</formula>
    </cfRule>
    <cfRule type="containsText" dxfId="7311" priority="7315" operator="containsText" text="Reasignación">
      <formula>NOT(ISERROR(SEARCH("Reasignación",K841)))</formula>
    </cfRule>
    <cfRule type="containsText" dxfId="7310" priority="7316" operator="containsText" text="RECHAZADA">
      <formula>NOT(ISERROR(SEARCH("RECHAZADA",K841)))</formula>
    </cfRule>
    <cfRule type="containsText" dxfId="7309" priority="7317" operator="containsText" text="Atendida">
      <formula>NOT(ISERROR(SEARCH("Atendida",K841)))</formula>
    </cfRule>
    <cfRule type="containsText" dxfId="7308" priority="7318" operator="containsText" text="Reasignación">
      <formula>NOT(ISERROR(SEARCH("Reasignación",K841)))</formula>
    </cfRule>
    <cfRule type="containsText" dxfId="7307" priority="7319" operator="containsText" text="RECHAZADA">
      <formula>NOT(ISERROR(SEARCH("RECHAZADA",K841)))</formula>
    </cfRule>
    <cfRule type="containsText" dxfId="7306" priority="7320" operator="containsText" text="Atendida">
      <formula>NOT(ISERROR(SEARCH("Atendida",K841)))</formula>
    </cfRule>
    <cfRule type="containsText" dxfId="7305" priority="7321" operator="containsText" text="Reasignación">
      <formula>NOT(ISERROR(SEARCH("Reasignación",K841)))</formula>
    </cfRule>
    <cfRule type="containsText" dxfId="7304" priority="7322" operator="containsText" text="RECHAZADA">
      <formula>NOT(ISERROR(SEARCH("RECHAZADA",K841)))</formula>
    </cfRule>
    <cfRule type="containsText" dxfId="7303" priority="7323" operator="containsText" text="Atendida">
      <formula>NOT(ISERROR(SEARCH("Atendida",K841)))</formula>
    </cfRule>
  </conditionalFormatting>
  <conditionalFormatting sqref="K841">
    <cfRule type="containsText" dxfId="7302" priority="7327" operator="containsText" text="Reasignación">
      <formula>NOT(ISERROR(SEARCH("Reasignación",K841)))</formula>
    </cfRule>
    <cfRule type="containsText" dxfId="7301" priority="7328" operator="containsText" text="RECHAZADA">
      <formula>NOT(ISERROR(SEARCH("RECHAZADA",K841)))</formula>
    </cfRule>
    <cfRule type="containsText" dxfId="7300" priority="7329" operator="containsText" text="Atendida">
      <formula>NOT(ISERROR(SEARCH("Atendida",K841)))</formula>
    </cfRule>
  </conditionalFormatting>
  <conditionalFormatting sqref="E858:E860 E855:E856 E849:E851 E845:E847 E842:E843">
    <cfRule type="duplicateValues" dxfId="7299" priority="7304"/>
  </conditionalFormatting>
  <conditionalFormatting sqref="M858:M860 M855:M856 M849:M851 M845:M847 M842:M843">
    <cfRule type="containsText" dxfId="7298" priority="7307" operator="containsText" text="Atendida">
      <formula>NOT(ISERROR(SEARCH("Atendida",M842)))</formula>
    </cfRule>
  </conditionalFormatting>
  <conditionalFormatting sqref="M858:M860 M855:M856 M849:M851 M845:M847 M842:M843">
    <cfRule type="containsText" dxfId="7297" priority="7306" operator="containsText" text="RECHAZADA">
      <formula>NOT(ISERROR(SEARCH("RECHAZADA",M842)))</formula>
    </cfRule>
  </conditionalFormatting>
  <conditionalFormatting sqref="M858:M860 M855:M856 M849:M851 M845:M847 M842:M843">
    <cfRule type="containsText" dxfId="7296" priority="7305" operator="containsText" text="CONFORME">
      <formula>NOT(ISERROR(SEARCH("CONFORME",M842)))</formula>
    </cfRule>
  </conditionalFormatting>
  <conditionalFormatting sqref="M858:M860 M855:M856 M849:M851 M845:M847 M842:M843">
    <cfRule type="containsText" dxfId="7295" priority="7303" operator="containsText" text="OBSERVADO">
      <formula>NOT(ISERROR(SEARCH("OBSERVADO",M842)))</formula>
    </cfRule>
  </conditionalFormatting>
  <conditionalFormatting sqref="K842">
    <cfRule type="containsText" dxfId="7294" priority="7288" operator="containsText" text="Reasignación">
      <formula>NOT(ISERROR(SEARCH("Reasignación",K842)))</formula>
    </cfRule>
    <cfRule type="containsText" dxfId="7293" priority="7289" operator="containsText" text="RECHAZADA">
      <formula>NOT(ISERROR(SEARCH("RECHAZADA",K842)))</formula>
    </cfRule>
    <cfRule type="containsText" dxfId="7292" priority="7290" operator="containsText" text="Atendida">
      <formula>NOT(ISERROR(SEARCH("Atendida",K842)))</formula>
    </cfRule>
  </conditionalFormatting>
  <conditionalFormatting sqref="K842">
    <cfRule type="containsText" dxfId="7291" priority="7291" operator="containsText" text="Reasignación">
      <formula>NOT(ISERROR(SEARCH("Reasignación",K842)))</formula>
    </cfRule>
    <cfRule type="containsText" dxfId="7290" priority="7292" operator="containsText" text="RECHAZADA">
      <formula>NOT(ISERROR(SEARCH("RECHAZADA",K842)))</formula>
    </cfRule>
    <cfRule type="containsText" dxfId="7289" priority="7293" operator="containsText" text="Atendida">
      <formula>NOT(ISERROR(SEARCH("Atendida",K842)))</formula>
    </cfRule>
    <cfRule type="containsText" dxfId="7288" priority="7294" operator="containsText" text="Reasignación">
      <formula>NOT(ISERROR(SEARCH("Reasignación",K842)))</formula>
    </cfRule>
    <cfRule type="containsText" dxfId="7287" priority="7295" operator="containsText" text="RECHAZADA">
      <formula>NOT(ISERROR(SEARCH("RECHAZADA",K842)))</formula>
    </cfRule>
    <cfRule type="containsText" dxfId="7286" priority="7296" operator="containsText" text="Atendida">
      <formula>NOT(ISERROR(SEARCH("Atendida",K842)))</formula>
    </cfRule>
    <cfRule type="containsText" dxfId="7285" priority="7297" operator="containsText" text="Reasignación">
      <formula>NOT(ISERROR(SEARCH("Reasignación",K842)))</formula>
    </cfRule>
    <cfRule type="containsText" dxfId="7284" priority="7298" operator="containsText" text="RECHAZADA">
      <formula>NOT(ISERROR(SEARCH("RECHAZADA",K842)))</formula>
    </cfRule>
    <cfRule type="containsText" dxfId="7283" priority="7299" operator="containsText" text="Atendida">
      <formula>NOT(ISERROR(SEARCH("Atendida",K842)))</formula>
    </cfRule>
    <cfRule type="containsText" dxfId="7282" priority="7300" operator="containsText" text="Reasignación">
      <formula>NOT(ISERROR(SEARCH("Reasignación",K842)))</formula>
    </cfRule>
    <cfRule type="containsText" dxfId="7281" priority="7301" operator="containsText" text="RECHAZADA">
      <formula>NOT(ISERROR(SEARCH("RECHAZADA",K842)))</formula>
    </cfRule>
    <cfRule type="containsText" dxfId="7280" priority="7302" operator="containsText" text="Atendida">
      <formula>NOT(ISERROR(SEARCH("Atendida",K842)))</formula>
    </cfRule>
  </conditionalFormatting>
  <conditionalFormatting sqref="B842">
    <cfRule type="duplicateValues" dxfId="7279" priority="7308"/>
  </conditionalFormatting>
  <conditionalFormatting sqref="B849:B851 B845:B847 B843">
    <cfRule type="duplicateValues" dxfId="7278" priority="7287"/>
  </conditionalFormatting>
  <conditionalFormatting sqref="K843">
    <cfRule type="containsText" dxfId="7277" priority="7284" operator="containsText" text="Reasignación">
      <formula>NOT(ISERROR(SEARCH("Reasignación",K843)))</formula>
    </cfRule>
    <cfRule type="containsText" dxfId="7276" priority="7285" operator="containsText" text="RECHAZADA">
      <formula>NOT(ISERROR(SEARCH("RECHAZADA",K843)))</formula>
    </cfRule>
    <cfRule type="containsText" dxfId="7275" priority="7286" operator="containsText" text="Atendida">
      <formula>NOT(ISERROR(SEARCH("Atendida",K843)))</formula>
    </cfRule>
  </conditionalFormatting>
  <conditionalFormatting sqref="K843">
    <cfRule type="containsText" dxfId="7274" priority="7266" operator="containsText" text="Reasignación">
      <formula>NOT(ISERROR(SEARCH("Reasignación",K843)))</formula>
    </cfRule>
    <cfRule type="containsText" dxfId="7273" priority="7267" operator="containsText" text="RECHAZADA">
      <formula>NOT(ISERROR(SEARCH("RECHAZADA",K843)))</formula>
    </cfRule>
    <cfRule type="containsText" dxfId="7272" priority="7268" operator="containsText" text="Atendida">
      <formula>NOT(ISERROR(SEARCH("Atendida",K843)))</formula>
    </cfRule>
  </conditionalFormatting>
  <conditionalFormatting sqref="K843">
    <cfRule type="containsText" dxfId="7271" priority="7269" operator="containsText" text="Reasignación">
      <formula>NOT(ISERROR(SEARCH("Reasignación",K843)))</formula>
    </cfRule>
    <cfRule type="containsText" dxfId="7270" priority="7270" operator="containsText" text="RECHAZADA">
      <formula>NOT(ISERROR(SEARCH("RECHAZADA",K843)))</formula>
    </cfRule>
    <cfRule type="containsText" dxfId="7269" priority="7271" operator="containsText" text="Atendida">
      <formula>NOT(ISERROR(SEARCH("Atendida",K843)))</formula>
    </cfRule>
    <cfRule type="containsText" dxfId="7268" priority="7272" operator="containsText" text="Reasignación">
      <formula>NOT(ISERROR(SEARCH("Reasignación",K843)))</formula>
    </cfRule>
    <cfRule type="containsText" dxfId="7267" priority="7273" operator="containsText" text="RECHAZADA">
      <formula>NOT(ISERROR(SEARCH("RECHAZADA",K843)))</formula>
    </cfRule>
    <cfRule type="containsText" dxfId="7266" priority="7274" operator="containsText" text="Atendida">
      <formula>NOT(ISERROR(SEARCH("Atendida",K843)))</formula>
    </cfRule>
    <cfRule type="containsText" dxfId="7265" priority="7275" operator="containsText" text="Reasignación">
      <formula>NOT(ISERROR(SEARCH("Reasignación",K843)))</formula>
    </cfRule>
    <cfRule type="containsText" dxfId="7264" priority="7276" operator="containsText" text="RECHAZADA">
      <formula>NOT(ISERROR(SEARCH("RECHAZADA",K843)))</formula>
    </cfRule>
    <cfRule type="containsText" dxfId="7263" priority="7277" operator="containsText" text="Atendida">
      <formula>NOT(ISERROR(SEARCH("Atendida",K843)))</formula>
    </cfRule>
    <cfRule type="containsText" dxfId="7262" priority="7278" operator="containsText" text="Reasignación">
      <formula>NOT(ISERROR(SEARCH("Reasignación",K843)))</formula>
    </cfRule>
    <cfRule type="containsText" dxfId="7261" priority="7279" operator="containsText" text="RECHAZADA">
      <formula>NOT(ISERROR(SEARCH("RECHAZADA",K843)))</formula>
    </cfRule>
    <cfRule type="containsText" dxfId="7260" priority="7280" operator="containsText" text="Atendida">
      <formula>NOT(ISERROR(SEARCH("Atendida",K843)))</formula>
    </cfRule>
  </conditionalFormatting>
  <conditionalFormatting sqref="K843">
    <cfRule type="containsText" dxfId="7259" priority="7281" operator="containsText" text="Reasignación">
      <formula>NOT(ISERROR(SEARCH("Reasignación",K843)))</formula>
    </cfRule>
    <cfRule type="containsText" dxfId="7258" priority="7282" operator="containsText" text="RECHAZADA">
      <formula>NOT(ISERROR(SEARCH("RECHAZADA",K843)))</formula>
    </cfRule>
    <cfRule type="containsText" dxfId="7257" priority="7283" operator="containsText" text="Atendida">
      <formula>NOT(ISERROR(SEARCH("Atendida",K843)))</formula>
    </cfRule>
  </conditionalFormatting>
  <conditionalFormatting sqref="K856 K850:K851 K845:K847">
    <cfRule type="containsText" dxfId="7256" priority="7263" operator="containsText" text="Reasignación">
      <formula>NOT(ISERROR(SEARCH("Reasignación",K845)))</formula>
    </cfRule>
    <cfRule type="containsText" dxfId="7255" priority="7264" operator="containsText" text="RECHAZADA">
      <formula>NOT(ISERROR(SEARCH("RECHAZADA",K845)))</formula>
    </cfRule>
    <cfRule type="containsText" dxfId="7254" priority="7265" operator="containsText" text="Atendida">
      <formula>NOT(ISERROR(SEARCH("Atendida",K845)))</formula>
    </cfRule>
  </conditionalFormatting>
  <conditionalFormatting sqref="K850 K847 K845">
    <cfRule type="containsText" dxfId="7253" priority="7251" operator="containsText" text="Reasignación">
      <formula>NOT(ISERROR(SEARCH("Reasignación",K845)))</formula>
    </cfRule>
    <cfRule type="containsText" dxfId="7252" priority="7252" operator="containsText" text="RECHAZADA">
      <formula>NOT(ISERROR(SEARCH("RECHAZADA",K845)))</formula>
    </cfRule>
    <cfRule type="containsText" dxfId="7251" priority="7253" operator="containsText" text="Atendida">
      <formula>NOT(ISERROR(SEARCH("Atendida",K845)))</formula>
    </cfRule>
    <cfRule type="containsText" dxfId="7250" priority="7254" operator="containsText" text="Reasignación">
      <formula>NOT(ISERROR(SEARCH("Reasignación",K845)))</formula>
    </cfRule>
    <cfRule type="containsText" dxfId="7249" priority="7255" operator="containsText" text="RECHAZADA">
      <formula>NOT(ISERROR(SEARCH("RECHAZADA",K845)))</formula>
    </cfRule>
    <cfRule type="containsText" dxfId="7248" priority="7256" operator="containsText" text="Atendida">
      <formula>NOT(ISERROR(SEARCH("Atendida",K845)))</formula>
    </cfRule>
    <cfRule type="containsText" dxfId="7247" priority="7257" operator="containsText" text="Reasignación">
      <formula>NOT(ISERROR(SEARCH("Reasignación",K845)))</formula>
    </cfRule>
    <cfRule type="containsText" dxfId="7246" priority="7258" operator="containsText" text="RECHAZADA">
      <formula>NOT(ISERROR(SEARCH("RECHAZADA",K845)))</formula>
    </cfRule>
    <cfRule type="containsText" dxfId="7245" priority="7259" operator="containsText" text="Atendida">
      <formula>NOT(ISERROR(SEARCH("Atendida",K845)))</formula>
    </cfRule>
    <cfRule type="containsText" dxfId="7244" priority="7260" operator="containsText" text="Reasignación">
      <formula>NOT(ISERROR(SEARCH("Reasignación",K845)))</formula>
    </cfRule>
    <cfRule type="containsText" dxfId="7243" priority="7261" operator="containsText" text="RECHAZADA">
      <formula>NOT(ISERROR(SEARCH("RECHAZADA",K845)))</formula>
    </cfRule>
    <cfRule type="containsText" dxfId="7242" priority="7262" operator="containsText" text="Atendida">
      <formula>NOT(ISERROR(SEARCH("Atendida",K845)))</formula>
    </cfRule>
  </conditionalFormatting>
  <conditionalFormatting sqref="B844">
    <cfRule type="duplicateValues" dxfId="7241" priority="7250"/>
  </conditionalFormatting>
  <conditionalFormatting sqref="E844">
    <cfRule type="duplicateValues" dxfId="7240" priority="7246"/>
  </conditionalFormatting>
  <conditionalFormatting sqref="M844">
    <cfRule type="containsText" dxfId="7239" priority="7249" operator="containsText" text="Atendida">
      <formula>NOT(ISERROR(SEARCH("Atendida",M844)))</formula>
    </cfRule>
  </conditionalFormatting>
  <conditionalFormatting sqref="M844">
    <cfRule type="containsText" dxfId="7238" priority="7248" operator="containsText" text="RECHAZADA">
      <formula>NOT(ISERROR(SEARCH("RECHAZADA",M844)))</formula>
    </cfRule>
  </conditionalFormatting>
  <conditionalFormatting sqref="M844">
    <cfRule type="containsText" dxfId="7237" priority="7247" operator="containsText" text="CONFORME">
      <formula>NOT(ISERROR(SEARCH("CONFORME",M844)))</formula>
    </cfRule>
  </conditionalFormatting>
  <conditionalFormatting sqref="M844">
    <cfRule type="containsText" dxfId="7236" priority="7245" operator="containsText" text="OBSERVADO">
      <formula>NOT(ISERROR(SEARCH("OBSERVADO",M844)))</formula>
    </cfRule>
  </conditionalFormatting>
  <conditionalFormatting sqref="K844">
    <cfRule type="containsText" dxfId="7235" priority="7242" operator="containsText" text="Reasignación">
      <formula>NOT(ISERROR(SEARCH("Reasignación",K844)))</formula>
    </cfRule>
    <cfRule type="containsText" dxfId="7234" priority="7243" operator="containsText" text="RECHAZADA">
      <formula>NOT(ISERROR(SEARCH("RECHAZADA",K844)))</formula>
    </cfRule>
    <cfRule type="containsText" dxfId="7233" priority="7244" operator="containsText" text="Atendida">
      <formula>NOT(ISERROR(SEARCH("Atendida",K844)))</formula>
    </cfRule>
  </conditionalFormatting>
  <conditionalFormatting sqref="K844">
    <cfRule type="containsText" dxfId="7232" priority="7194" operator="containsText" text="Reasignación">
      <formula>NOT(ISERROR(SEARCH("Reasignación",K844)))</formula>
    </cfRule>
    <cfRule type="containsText" dxfId="7231" priority="7195" operator="containsText" text="RECHAZADA">
      <formula>NOT(ISERROR(SEARCH("RECHAZADA",K844)))</formula>
    </cfRule>
    <cfRule type="containsText" dxfId="7230" priority="7196" operator="containsText" text="Atendida">
      <formula>NOT(ISERROR(SEARCH("Atendida",K844)))</formula>
    </cfRule>
  </conditionalFormatting>
  <conditionalFormatting sqref="K844">
    <cfRule type="containsText" dxfId="7229" priority="7197" operator="containsText" text="Reasignación">
      <formula>NOT(ISERROR(SEARCH("Reasignación",K844)))</formula>
    </cfRule>
    <cfRule type="containsText" dxfId="7228" priority="7198" operator="containsText" text="RECHAZADA">
      <formula>NOT(ISERROR(SEARCH("RECHAZADA",K844)))</formula>
    </cfRule>
    <cfRule type="containsText" dxfId="7227" priority="7199" operator="containsText" text="Atendida">
      <formula>NOT(ISERROR(SEARCH("Atendida",K844)))</formula>
    </cfRule>
    <cfRule type="containsText" dxfId="7226" priority="7200" operator="containsText" text="Reasignación">
      <formula>NOT(ISERROR(SEARCH("Reasignación",K844)))</formula>
    </cfRule>
    <cfRule type="containsText" dxfId="7225" priority="7201" operator="containsText" text="RECHAZADA">
      <formula>NOT(ISERROR(SEARCH("RECHAZADA",K844)))</formula>
    </cfRule>
    <cfRule type="containsText" dxfId="7224" priority="7202" operator="containsText" text="Atendida">
      <formula>NOT(ISERROR(SEARCH("Atendida",K844)))</formula>
    </cfRule>
    <cfRule type="containsText" dxfId="7223" priority="7203" operator="containsText" text="Reasignación">
      <formula>NOT(ISERROR(SEARCH("Reasignación",K844)))</formula>
    </cfRule>
    <cfRule type="containsText" dxfId="7222" priority="7204" operator="containsText" text="RECHAZADA">
      <formula>NOT(ISERROR(SEARCH("RECHAZADA",K844)))</formula>
    </cfRule>
    <cfRule type="containsText" dxfId="7221" priority="7205" operator="containsText" text="Atendida">
      <formula>NOT(ISERROR(SEARCH("Atendida",K844)))</formula>
    </cfRule>
    <cfRule type="containsText" dxfId="7220" priority="7206" operator="containsText" text="Reasignación">
      <formula>NOT(ISERROR(SEARCH("Reasignación",K844)))</formula>
    </cfRule>
    <cfRule type="containsText" dxfId="7219" priority="7207" operator="containsText" text="RECHAZADA">
      <formula>NOT(ISERROR(SEARCH("RECHAZADA",K844)))</formula>
    </cfRule>
    <cfRule type="containsText" dxfId="7218" priority="7208" operator="containsText" text="Atendida">
      <formula>NOT(ISERROR(SEARCH("Atendida",K844)))</formula>
    </cfRule>
  </conditionalFormatting>
  <conditionalFormatting sqref="K844">
    <cfRule type="containsText" dxfId="7217" priority="7239" operator="containsText" text="Reasignación">
      <formula>NOT(ISERROR(SEARCH("Reasignación",K844)))</formula>
    </cfRule>
    <cfRule type="containsText" dxfId="7216" priority="7240" operator="containsText" text="RECHAZADA">
      <formula>NOT(ISERROR(SEARCH("RECHAZADA",K844)))</formula>
    </cfRule>
    <cfRule type="containsText" dxfId="7215" priority="7241" operator="containsText" text="Atendida">
      <formula>NOT(ISERROR(SEARCH("Atendida",K844)))</formula>
    </cfRule>
  </conditionalFormatting>
  <conditionalFormatting sqref="K844">
    <cfRule type="containsText" dxfId="7214" priority="7227" operator="containsText" text="Reasignación">
      <formula>NOT(ISERROR(SEARCH("Reasignación",K844)))</formula>
    </cfRule>
    <cfRule type="containsText" dxfId="7213" priority="7228" operator="containsText" text="RECHAZADA">
      <formula>NOT(ISERROR(SEARCH("RECHAZADA",K844)))</formula>
    </cfRule>
    <cfRule type="containsText" dxfId="7212" priority="7229" operator="containsText" text="Atendida">
      <formula>NOT(ISERROR(SEARCH("Atendida",K844)))</formula>
    </cfRule>
    <cfRule type="containsText" dxfId="7211" priority="7230" operator="containsText" text="Reasignación">
      <formula>NOT(ISERROR(SEARCH("Reasignación",K844)))</formula>
    </cfRule>
    <cfRule type="containsText" dxfId="7210" priority="7231" operator="containsText" text="RECHAZADA">
      <formula>NOT(ISERROR(SEARCH("RECHAZADA",K844)))</formula>
    </cfRule>
    <cfRule type="containsText" dxfId="7209" priority="7232" operator="containsText" text="Atendida">
      <formula>NOT(ISERROR(SEARCH("Atendida",K844)))</formula>
    </cfRule>
    <cfRule type="containsText" dxfId="7208" priority="7233" operator="containsText" text="Reasignación">
      <formula>NOT(ISERROR(SEARCH("Reasignación",K844)))</formula>
    </cfRule>
    <cfRule type="containsText" dxfId="7207" priority="7234" operator="containsText" text="RECHAZADA">
      <formula>NOT(ISERROR(SEARCH("RECHAZADA",K844)))</formula>
    </cfRule>
    <cfRule type="containsText" dxfId="7206" priority="7235" operator="containsText" text="Atendida">
      <formula>NOT(ISERROR(SEARCH("Atendida",K844)))</formula>
    </cfRule>
    <cfRule type="containsText" dxfId="7205" priority="7236" operator="containsText" text="Reasignación">
      <formula>NOT(ISERROR(SEARCH("Reasignación",K844)))</formula>
    </cfRule>
    <cfRule type="containsText" dxfId="7204" priority="7237" operator="containsText" text="RECHAZADA">
      <formula>NOT(ISERROR(SEARCH("RECHAZADA",K844)))</formula>
    </cfRule>
    <cfRule type="containsText" dxfId="7203" priority="7238" operator="containsText" text="Atendida">
      <formula>NOT(ISERROR(SEARCH("Atendida",K844)))</formula>
    </cfRule>
  </conditionalFormatting>
  <conditionalFormatting sqref="K844">
    <cfRule type="containsText" dxfId="7202" priority="7215" operator="containsText" text="Reasignación">
      <formula>NOT(ISERROR(SEARCH("Reasignación",K844)))</formula>
    </cfRule>
    <cfRule type="containsText" dxfId="7201" priority="7216" operator="containsText" text="RECHAZADA">
      <formula>NOT(ISERROR(SEARCH("RECHAZADA",K844)))</formula>
    </cfRule>
    <cfRule type="containsText" dxfId="7200" priority="7217" operator="containsText" text="Atendida">
      <formula>NOT(ISERROR(SEARCH("Atendida",K844)))</formula>
    </cfRule>
    <cfRule type="containsText" dxfId="7199" priority="7218" operator="containsText" text="Reasignación">
      <formula>NOT(ISERROR(SEARCH("Reasignación",K844)))</formula>
    </cfRule>
    <cfRule type="containsText" dxfId="7198" priority="7219" operator="containsText" text="RECHAZADA">
      <formula>NOT(ISERROR(SEARCH("RECHAZADA",K844)))</formula>
    </cfRule>
    <cfRule type="containsText" dxfId="7197" priority="7220" operator="containsText" text="Atendida">
      <formula>NOT(ISERROR(SEARCH("Atendida",K844)))</formula>
    </cfRule>
    <cfRule type="containsText" dxfId="7196" priority="7221" operator="containsText" text="Reasignación">
      <formula>NOT(ISERROR(SEARCH("Reasignación",K844)))</formula>
    </cfRule>
    <cfRule type="containsText" dxfId="7195" priority="7222" operator="containsText" text="RECHAZADA">
      <formula>NOT(ISERROR(SEARCH("RECHAZADA",K844)))</formula>
    </cfRule>
    <cfRule type="containsText" dxfId="7194" priority="7223" operator="containsText" text="Atendida">
      <formula>NOT(ISERROR(SEARCH("Atendida",K844)))</formula>
    </cfRule>
    <cfRule type="containsText" dxfId="7193" priority="7224" operator="containsText" text="Reasignación">
      <formula>NOT(ISERROR(SEARCH("Reasignación",K844)))</formula>
    </cfRule>
    <cfRule type="containsText" dxfId="7192" priority="7225" operator="containsText" text="RECHAZADA">
      <formula>NOT(ISERROR(SEARCH("RECHAZADA",K844)))</formula>
    </cfRule>
    <cfRule type="containsText" dxfId="7191" priority="7226" operator="containsText" text="Atendida">
      <formula>NOT(ISERROR(SEARCH("Atendida",K844)))</formula>
    </cfRule>
  </conditionalFormatting>
  <conditionalFormatting sqref="K844">
    <cfRule type="containsText" dxfId="7190" priority="7209" operator="containsText" text="Reasignación">
      <formula>NOT(ISERROR(SEARCH("Reasignación",K844)))</formula>
    </cfRule>
    <cfRule type="containsText" dxfId="7189" priority="7210" operator="containsText" text="RECHAZADA">
      <formula>NOT(ISERROR(SEARCH("RECHAZADA",K844)))</formula>
    </cfRule>
    <cfRule type="containsText" dxfId="7188" priority="7211" operator="containsText" text="Atendida">
      <formula>NOT(ISERROR(SEARCH("Atendida",K844)))</formula>
    </cfRule>
  </conditionalFormatting>
  <conditionalFormatting sqref="K844">
    <cfRule type="containsText" dxfId="7187" priority="7212" operator="containsText" text="Reasignación">
      <formula>NOT(ISERROR(SEARCH("Reasignación",K844)))</formula>
    </cfRule>
    <cfRule type="containsText" dxfId="7186" priority="7213" operator="containsText" text="RECHAZADA">
      <formula>NOT(ISERROR(SEARCH("RECHAZADA",K844)))</formula>
    </cfRule>
    <cfRule type="containsText" dxfId="7185" priority="7214" operator="containsText" text="Atendida">
      <formula>NOT(ISERROR(SEARCH("Atendida",K844)))</formula>
    </cfRule>
  </conditionalFormatting>
  <conditionalFormatting sqref="K845">
    <cfRule type="containsText" dxfId="7184" priority="7182" operator="containsText" text="Reasignación">
      <formula>NOT(ISERROR(SEARCH("Reasignación",K845)))</formula>
    </cfRule>
    <cfRule type="containsText" dxfId="7183" priority="7183" operator="containsText" text="RECHAZADA">
      <formula>NOT(ISERROR(SEARCH("RECHAZADA",K845)))</formula>
    </cfRule>
    <cfRule type="containsText" dxfId="7182" priority="7184" operator="containsText" text="Atendida">
      <formula>NOT(ISERROR(SEARCH("Atendida",K845)))</formula>
    </cfRule>
    <cfRule type="containsText" dxfId="7181" priority="7185" operator="containsText" text="Reasignación">
      <formula>NOT(ISERROR(SEARCH("Reasignación",K845)))</formula>
    </cfRule>
    <cfRule type="containsText" dxfId="7180" priority="7186" operator="containsText" text="RECHAZADA">
      <formula>NOT(ISERROR(SEARCH("RECHAZADA",K845)))</formula>
    </cfRule>
    <cfRule type="containsText" dxfId="7179" priority="7187" operator="containsText" text="Atendida">
      <formula>NOT(ISERROR(SEARCH("Atendida",K845)))</formula>
    </cfRule>
    <cfRule type="containsText" dxfId="7178" priority="7188" operator="containsText" text="Reasignación">
      <formula>NOT(ISERROR(SEARCH("Reasignación",K845)))</formula>
    </cfRule>
    <cfRule type="containsText" dxfId="7177" priority="7189" operator="containsText" text="RECHAZADA">
      <formula>NOT(ISERROR(SEARCH("RECHAZADA",K845)))</formula>
    </cfRule>
    <cfRule type="containsText" dxfId="7176" priority="7190" operator="containsText" text="Atendida">
      <formula>NOT(ISERROR(SEARCH("Atendida",K845)))</formula>
    </cfRule>
    <cfRule type="containsText" dxfId="7175" priority="7191" operator="containsText" text="Reasignación">
      <formula>NOT(ISERROR(SEARCH("Reasignación",K845)))</formula>
    </cfRule>
    <cfRule type="containsText" dxfId="7174" priority="7192" operator="containsText" text="RECHAZADA">
      <formula>NOT(ISERROR(SEARCH("RECHAZADA",K845)))</formula>
    </cfRule>
    <cfRule type="containsText" dxfId="7173" priority="7193" operator="containsText" text="Atendida">
      <formula>NOT(ISERROR(SEARCH("Atendida",K845)))</formula>
    </cfRule>
  </conditionalFormatting>
  <conditionalFormatting sqref="K845">
    <cfRule type="containsText" dxfId="7172" priority="7134" operator="containsText" text="Reasignación">
      <formula>NOT(ISERROR(SEARCH("Reasignación",K845)))</formula>
    </cfRule>
    <cfRule type="containsText" dxfId="7171" priority="7135" operator="containsText" text="RECHAZADA">
      <formula>NOT(ISERROR(SEARCH("RECHAZADA",K845)))</formula>
    </cfRule>
    <cfRule type="containsText" dxfId="7170" priority="7136" operator="containsText" text="Atendida">
      <formula>NOT(ISERROR(SEARCH("Atendida",K845)))</formula>
    </cfRule>
  </conditionalFormatting>
  <conditionalFormatting sqref="K845">
    <cfRule type="containsText" dxfId="7169" priority="7137" operator="containsText" text="Reasignación">
      <formula>NOT(ISERROR(SEARCH("Reasignación",K845)))</formula>
    </cfRule>
    <cfRule type="containsText" dxfId="7168" priority="7138" operator="containsText" text="RECHAZADA">
      <formula>NOT(ISERROR(SEARCH("RECHAZADA",K845)))</formula>
    </cfRule>
    <cfRule type="containsText" dxfId="7167" priority="7139" operator="containsText" text="Atendida">
      <formula>NOT(ISERROR(SEARCH("Atendida",K845)))</formula>
    </cfRule>
    <cfRule type="containsText" dxfId="7166" priority="7140" operator="containsText" text="Reasignación">
      <formula>NOT(ISERROR(SEARCH("Reasignación",K845)))</formula>
    </cfRule>
    <cfRule type="containsText" dxfId="7165" priority="7141" operator="containsText" text="RECHAZADA">
      <formula>NOT(ISERROR(SEARCH("RECHAZADA",K845)))</formula>
    </cfRule>
    <cfRule type="containsText" dxfId="7164" priority="7142" operator="containsText" text="Atendida">
      <formula>NOT(ISERROR(SEARCH("Atendida",K845)))</formula>
    </cfRule>
    <cfRule type="containsText" dxfId="7163" priority="7143" operator="containsText" text="Reasignación">
      <formula>NOT(ISERROR(SEARCH("Reasignación",K845)))</formula>
    </cfRule>
    <cfRule type="containsText" dxfId="7162" priority="7144" operator="containsText" text="RECHAZADA">
      <formula>NOT(ISERROR(SEARCH("RECHAZADA",K845)))</formula>
    </cfRule>
    <cfRule type="containsText" dxfId="7161" priority="7145" operator="containsText" text="Atendida">
      <formula>NOT(ISERROR(SEARCH("Atendida",K845)))</formula>
    </cfRule>
    <cfRule type="containsText" dxfId="7160" priority="7146" operator="containsText" text="Reasignación">
      <formula>NOT(ISERROR(SEARCH("Reasignación",K845)))</formula>
    </cfRule>
    <cfRule type="containsText" dxfId="7159" priority="7147" operator="containsText" text="RECHAZADA">
      <formula>NOT(ISERROR(SEARCH("RECHAZADA",K845)))</formula>
    </cfRule>
    <cfRule type="containsText" dxfId="7158" priority="7148" operator="containsText" text="Atendida">
      <formula>NOT(ISERROR(SEARCH("Atendida",K845)))</formula>
    </cfRule>
  </conditionalFormatting>
  <conditionalFormatting sqref="K845">
    <cfRule type="containsText" dxfId="7157" priority="7179" operator="containsText" text="Reasignación">
      <formula>NOT(ISERROR(SEARCH("Reasignación",K845)))</formula>
    </cfRule>
    <cfRule type="containsText" dxfId="7156" priority="7180" operator="containsText" text="RECHAZADA">
      <formula>NOT(ISERROR(SEARCH("RECHAZADA",K845)))</formula>
    </cfRule>
    <cfRule type="containsText" dxfId="7155" priority="7181" operator="containsText" text="Atendida">
      <formula>NOT(ISERROR(SEARCH("Atendida",K845)))</formula>
    </cfRule>
  </conditionalFormatting>
  <conditionalFormatting sqref="K845">
    <cfRule type="containsText" dxfId="7154" priority="7167" operator="containsText" text="Reasignación">
      <formula>NOT(ISERROR(SEARCH("Reasignación",K845)))</formula>
    </cfRule>
    <cfRule type="containsText" dxfId="7153" priority="7168" operator="containsText" text="RECHAZADA">
      <formula>NOT(ISERROR(SEARCH("RECHAZADA",K845)))</formula>
    </cfRule>
    <cfRule type="containsText" dxfId="7152" priority="7169" operator="containsText" text="Atendida">
      <formula>NOT(ISERROR(SEARCH("Atendida",K845)))</formula>
    </cfRule>
    <cfRule type="containsText" dxfId="7151" priority="7170" operator="containsText" text="Reasignación">
      <formula>NOT(ISERROR(SEARCH("Reasignación",K845)))</formula>
    </cfRule>
    <cfRule type="containsText" dxfId="7150" priority="7171" operator="containsText" text="RECHAZADA">
      <formula>NOT(ISERROR(SEARCH("RECHAZADA",K845)))</formula>
    </cfRule>
    <cfRule type="containsText" dxfId="7149" priority="7172" operator="containsText" text="Atendida">
      <formula>NOT(ISERROR(SEARCH("Atendida",K845)))</formula>
    </cfRule>
    <cfRule type="containsText" dxfId="7148" priority="7173" operator="containsText" text="Reasignación">
      <formula>NOT(ISERROR(SEARCH("Reasignación",K845)))</formula>
    </cfRule>
    <cfRule type="containsText" dxfId="7147" priority="7174" operator="containsText" text="RECHAZADA">
      <formula>NOT(ISERROR(SEARCH("RECHAZADA",K845)))</formula>
    </cfRule>
    <cfRule type="containsText" dxfId="7146" priority="7175" operator="containsText" text="Atendida">
      <formula>NOT(ISERROR(SEARCH("Atendida",K845)))</formula>
    </cfRule>
    <cfRule type="containsText" dxfId="7145" priority="7176" operator="containsText" text="Reasignación">
      <formula>NOT(ISERROR(SEARCH("Reasignación",K845)))</formula>
    </cfRule>
    <cfRule type="containsText" dxfId="7144" priority="7177" operator="containsText" text="RECHAZADA">
      <formula>NOT(ISERROR(SEARCH("RECHAZADA",K845)))</formula>
    </cfRule>
    <cfRule type="containsText" dxfId="7143" priority="7178" operator="containsText" text="Atendida">
      <formula>NOT(ISERROR(SEARCH("Atendida",K845)))</formula>
    </cfRule>
  </conditionalFormatting>
  <conditionalFormatting sqref="K845">
    <cfRule type="containsText" dxfId="7142" priority="7155" operator="containsText" text="Reasignación">
      <formula>NOT(ISERROR(SEARCH("Reasignación",K845)))</formula>
    </cfRule>
    <cfRule type="containsText" dxfId="7141" priority="7156" operator="containsText" text="RECHAZADA">
      <formula>NOT(ISERROR(SEARCH("RECHAZADA",K845)))</formula>
    </cfRule>
    <cfRule type="containsText" dxfId="7140" priority="7157" operator="containsText" text="Atendida">
      <formula>NOT(ISERROR(SEARCH("Atendida",K845)))</formula>
    </cfRule>
    <cfRule type="containsText" dxfId="7139" priority="7158" operator="containsText" text="Reasignación">
      <formula>NOT(ISERROR(SEARCH("Reasignación",K845)))</formula>
    </cfRule>
    <cfRule type="containsText" dxfId="7138" priority="7159" operator="containsText" text="RECHAZADA">
      <formula>NOT(ISERROR(SEARCH("RECHAZADA",K845)))</formula>
    </cfRule>
    <cfRule type="containsText" dxfId="7137" priority="7160" operator="containsText" text="Atendida">
      <formula>NOT(ISERROR(SEARCH("Atendida",K845)))</formula>
    </cfRule>
    <cfRule type="containsText" dxfId="7136" priority="7161" operator="containsText" text="Reasignación">
      <formula>NOT(ISERROR(SEARCH("Reasignación",K845)))</formula>
    </cfRule>
    <cfRule type="containsText" dxfId="7135" priority="7162" operator="containsText" text="RECHAZADA">
      <formula>NOT(ISERROR(SEARCH("RECHAZADA",K845)))</formula>
    </cfRule>
    <cfRule type="containsText" dxfId="7134" priority="7163" operator="containsText" text="Atendida">
      <formula>NOT(ISERROR(SEARCH("Atendida",K845)))</formula>
    </cfRule>
    <cfRule type="containsText" dxfId="7133" priority="7164" operator="containsText" text="Reasignación">
      <formula>NOT(ISERROR(SEARCH("Reasignación",K845)))</formula>
    </cfRule>
    <cfRule type="containsText" dxfId="7132" priority="7165" operator="containsText" text="RECHAZADA">
      <formula>NOT(ISERROR(SEARCH("RECHAZADA",K845)))</formula>
    </cfRule>
    <cfRule type="containsText" dxfId="7131" priority="7166" operator="containsText" text="Atendida">
      <formula>NOT(ISERROR(SEARCH("Atendida",K845)))</formula>
    </cfRule>
  </conditionalFormatting>
  <conditionalFormatting sqref="K845">
    <cfRule type="containsText" dxfId="7130" priority="7149" operator="containsText" text="Reasignación">
      <formula>NOT(ISERROR(SEARCH("Reasignación",K845)))</formula>
    </cfRule>
    <cfRule type="containsText" dxfId="7129" priority="7150" operator="containsText" text="RECHAZADA">
      <formula>NOT(ISERROR(SEARCH("RECHAZADA",K845)))</formula>
    </cfRule>
    <cfRule type="containsText" dxfId="7128" priority="7151" operator="containsText" text="Atendida">
      <formula>NOT(ISERROR(SEARCH("Atendida",K845)))</formula>
    </cfRule>
  </conditionalFormatting>
  <conditionalFormatting sqref="K845">
    <cfRule type="containsText" dxfId="7127" priority="7152" operator="containsText" text="Reasignación">
      <formula>NOT(ISERROR(SEARCH("Reasignación",K845)))</formula>
    </cfRule>
    <cfRule type="containsText" dxfId="7126" priority="7153" operator="containsText" text="RECHAZADA">
      <formula>NOT(ISERROR(SEARCH("RECHAZADA",K845)))</formula>
    </cfRule>
    <cfRule type="containsText" dxfId="7125" priority="7154" operator="containsText" text="Atendida">
      <formula>NOT(ISERROR(SEARCH("Atendida",K845)))</formula>
    </cfRule>
  </conditionalFormatting>
  <conditionalFormatting sqref="K851 K846">
    <cfRule type="containsText" dxfId="7124" priority="7122" operator="containsText" text="Reasignación">
      <formula>NOT(ISERROR(SEARCH("Reasignación",K846)))</formula>
    </cfRule>
    <cfRule type="containsText" dxfId="7123" priority="7123" operator="containsText" text="RECHAZADA">
      <formula>NOT(ISERROR(SEARCH("RECHAZADA",K846)))</formula>
    </cfRule>
    <cfRule type="containsText" dxfId="7122" priority="7124" operator="containsText" text="Atendida">
      <formula>NOT(ISERROR(SEARCH("Atendida",K846)))</formula>
    </cfRule>
    <cfRule type="containsText" dxfId="7121" priority="7125" operator="containsText" text="Reasignación">
      <formula>NOT(ISERROR(SEARCH("Reasignación",K846)))</formula>
    </cfRule>
    <cfRule type="containsText" dxfId="7120" priority="7126" operator="containsText" text="RECHAZADA">
      <formula>NOT(ISERROR(SEARCH("RECHAZADA",K846)))</formula>
    </cfRule>
    <cfRule type="containsText" dxfId="7119" priority="7127" operator="containsText" text="Atendida">
      <formula>NOT(ISERROR(SEARCH("Atendida",K846)))</formula>
    </cfRule>
    <cfRule type="containsText" dxfId="7118" priority="7128" operator="containsText" text="Reasignación">
      <formula>NOT(ISERROR(SEARCH("Reasignación",K846)))</formula>
    </cfRule>
    <cfRule type="containsText" dxfId="7117" priority="7129" operator="containsText" text="RECHAZADA">
      <formula>NOT(ISERROR(SEARCH("RECHAZADA",K846)))</formula>
    </cfRule>
    <cfRule type="containsText" dxfId="7116" priority="7130" operator="containsText" text="Atendida">
      <formula>NOT(ISERROR(SEARCH("Atendida",K846)))</formula>
    </cfRule>
    <cfRule type="containsText" dxfId="7115" priority="7131" operator="containsText" text="Reasignación">
      <formula>NOT(ISERROR(SEARCH("Reasignación",K846)))</formula>
    </cfRule>
    <cfRule type="containsText" dxfId="7114" priority="7132" operator="containsText" text="RECHAZADA">
      <formula>NOT(ISERROR(SEARCH("RECHAZADA",K846)))</formula>
    </cfRule>
    <cfRule type="containsText" dxfId="7113" priority="7133" operator="containsText" text="Atendida">
      <formula>NOT(ISERROR(SEARCH("Atendida",K846)))</formula>
    </cfRule>
  </conditionalFormatting>
  <conditionalFormatting sqref="K846">
    <cfRule type="containsText" dxfId="7112" priority="7050" operator="containsText" text="Reasignación">
      <formula>NOT(ISERROR(SEARCH("Reasignación",K846)))</formula>
    </cfRule>
    <cfRule type="containsText" dxfId="7111" priority="7051" operator="containsText" text="RECHAZADA">
      <formula>NOT(ISERROR(SEARCH("RECHAZADA",K846)))</formula>
    </cfRule>
    <cfRule type="containsText" dxfId="7110" priority="7052" operator="containsText" text="Atendida">
      <formula>NOT(ISERROR(SEARCH("Atendida",K846)))</formula>
    </cfRule>
  </conditionalFormatting>
  <conditionalFormatting sqref="K846">
    <cfRule type="containsText" dxfId="7109" priority="7053" operator="containsText" text="Reasignación">
      <formula>NOT(ISERROR(SEARCH("Reasignación",K846)))</formula>
    </cfRule>
    <cfRule type="containsText" dxfId="7108" priority="7054" operator="containsText" text="RECHAZADA">
      <formula>NOT(ISERROR(SEARCH("RECHAZADA",K846)))</formula>
    </cfRule>
    <cfRule type="containsText" dxfId="7107" priority="7055" operator="containsText" text="Atendida">
      <formula>NOT(ISERROR(SEARCH("Atendida",K846)))</formula>
    </cfRule>
    <cfRule type="containsText" dxfId="7106" priority="7056" operator="containsText" text="Reasignación">
      <formula>NOT(ISERROR(SEARCH("Reasignación",K846)))</formula>
    </cfRule>
    <cfRule type="containsText" dxfId="7105" priority="7057" operator="containsText" text="RECHAZADA">
      <formula>NOT(ISERROR(SEARCH("RECHAZADA",K846)))</formula>
    </cfRule>
    <cfRule type="containsText" dxfId="7104" priority="7058" operator="containsText" text="Atendida">
      <formula>NOT(ISERROR(SEARCH("Atendida",K846)))</formula>
    </cfRule>
    <cfRule type="containsText" dxfId="7103" priority="7059" operator="containsText" text="Reasignación">
      <formula>NOT(ISERROR(SEARCH("Reasignación",K846)))</formula>
    </cfRule>
    <cfRule type="containsText" dxfId="7102" priority="7060" operator="containsText" text="RECHAZADA">
      <formula>NOT(ISERROR(SEARCH("RECHAZADA",K846)))</formula>
    </cfRule>
    <cfRule type="containsText" dxfId="7101" priority="7061" operator="containsText" text="Atendida">
      <formula>NOT(ISERROR(SEARCH("Atendida",K846)))</formula>
    </cfRule>
    <cfRule type="containsText" dxfId="7100" priority="7062" operator="containsText" text="Reasignación">
      <formula>NOT(ISERROR(SEARCH("Reasignación",K846)))</formula>
    </cfRule>
    <cfRule type="containsText" dxfId="7099" priority="7063" operator="containsText" text="RECHAZADA">
      <formula>NOT(ISERROR(SEARCH("RECHAZADA",K846)))</formula>
    </cfRule>
    <cfRule type="containsText" dxfId="7098" priority="7064" operator="containsText" text="Atendida">
      <formula>NOT(ISERROR(SEARCH("Atendida",K846)))</formula>
    </cfRule>
  </conditionalFormatting>
  <conditionalFormatting sqref="K846">
    <cfRule type="containsText" dxfId="7097" priority="7110" operator="containsText" text="Reasignación">
      <formula>NOT(ISERROR(SEARCH("Reasignación",K846)))</formula>
    </cfRule>
    <cfRule type="containsText" dxfId="7096" priority="7111" operator="containsText" text="RECHAZADA">
      <formula>NOT(ISERROR(SEARCH("RECHAZADA",K846)))</formula>
    </cfRule>
    <cfRule type="containsText" dxfId="7095" priority="7112" operator="containsText" text="Atendida">
      <formula>NOT(ISERROR(SEARCH("Atendida",K846)))</formula>
    </cfRule>
    <cfRule type="containsText" dxfId="7094" priority="7113" operator="containsText" text="Reasignación">
      <formula>NOT(ISERROR(SEARCH("Reasignación",K846)))</formula>
    </cfRule>
    <cfRule type="containsText" dxfId="7093" priority="7114" operator="containsText" text="RECHAZADA">
      <formula>NOT(ISERROR(SEARCH("RECHAZADA",K846)))</formula>
    </cfRule>
    <cfRule type="containsText" dxfId="7092" priority="7115" operator="containsText" text="Atendida">
      <formula>NOT(ISERROR(SEARCH("Atendida",K846)))</formula>
    </cfRule>
    <cfRule type="containsText" dxfId="7091" priority="7116" operator="containsText" text="Reasignación">
      <formula>NOT(ISERROR(SEARCH("Reasignación",K846)))</formula>
    </cfRule>
    <cfRule type="containsText" dxfId="7090" priority="7117" operator="containsText" text="RECHAZADA">
      <formula>NOT(ISERROR(SEARCH("RECHAZADA",K846)))</formula>
    </cfRule>
    <cfRule type="containsText" dxfId="7089" priority="7118" operator="containsText" text="Atendida">
      <formula>NOT(ISERROR(SEARCH("Atendida",K846)))</formula>
    </cfRule>
    <cfRule type="containsText" dxfId="7088" priority="7119" operator="containsText" text="Reasignación">
      <formula>NOT(ISERROR(SEARCH("Reasignación",K846)))</formula>
    </cfRule>
    <cfRule type="containsText" dxfId="7087" priority="7120" operator="containsText" text="RECHAZADA">
      <formula>NOT(ISERROR(SEARCH("RECHAZADA",K846)))</formula>
    </cfRule>
    <cfRule type="containsText" dxfId="7086" priority="7121" operator="containsText" text="Atendida">
      <formula>NOT(ISERROR(SEARCH("Atendida",K846)))</formula>
    </cfRule>
  </conditionalFormatting>
  <conditionalFormatting sqref="K846">
    <cfRule type="containsText" dxfId="7085" priority="7098" operator="containsText" text="Reasignación">
      <formula>NOT(ISERROR(SEARCH("Reasignación",K846)))</formula>
    </cfRule>
    <cfRule type="containsText" dxfId="7084" priority="7099" operator="containsText" text="RECHAZADA">
      <formula>NOT(ISERROR(SEARCH("RECHAZADA",K846)))</formula>
    </cfRule>
    <cfRule type="containsText" dxfId="7083" priority="7100" operator="containsText" text="Atendida">
      <formula>NOT(ISERROR(SEARCH("Atendida",K846)))</formula>
    </cfRule>
    <cfRule type="containsText" dxfId="7082" priority="7101" operator="containsText" text="Reasignación">
      <formula>NOT(ISERROR(SEARCH("Reasignación",K846)))</formula>
    </cfRule>
    <cfRule type="containsText" dxfId="7081" priority="7102" operator="containsText" text="RECHAZADA">
      <formula>NOT(ISERROR(SEARCH("RECHAZADA",K846)))</formula>
    </cfRule>
    <cfRule type="containsText" dxfId="7080" priority="7103" operator="containsText" text="Atendida">
      <formula>NOT(ISERROR(SEARCH("Atendida",K846)))</formula>
    </cfRule>
    <cfRule type="containsText" dxfId="7079" priority="7104" operator="containsText" text="Reasignación">
      <formula>NOT(ISERROR(SEARCH("Reasignación",K846)))</formula>
    </cfRule>
    <cfRule type="containsText" dxfId="7078" priority="7105" operator="containsText" text="RECHAZADA">
      <formula>NOT(ISERROR(SEARCH("RECHAZADA",K846)))</formula>
    </cfRule>
    <cfRule type="containsText" dxfId="7077" priority="7106" operator="containsText" text="Atendida">
      <formula>NOT(ISERROR(SEARCH("Atendida",K846)))</formula>
    </cfRule>
    <cfRule type="containsText" dxfId="7076" priority="7107" operator="containsText" text="Reasignación">
      <formula>NOT(ISERROR(SEARCH("Reasignación",K846)))</formula>
    </cfRule>
    <cfRule type="containsText" dxfId="7075" priority="7108" operator="containsText" text="RECHAZADA">
      <formula>NOT(ISERROR(SEARCH("RECHAZADA",K846)))</formula>
    </cfRule>
    <cfRule type="containsText" dxfId="7074" priority="7109" operator="containsText" text="Atendida">
      <formula>NOT(ISERROR(SEARCH("Atendida",K846)))</formula>
    </cfRule>
  </conditionalFormatting>
  <conditionalFormatting sqref="K846">
    <cfRule type="containsText" dxfId="7073" priority="7095" operator="containsText" text="Reasignación">
      <formula>NOT(ISERROR(SEARCH("Reasignación",K846)))</formula>
    </cfRule>
    <cfRule type="containsText" dxfId="7072" priority="7096" operator="containsText" text="RECHAZADA">
      <formula>NOT(ISERROR(SEARCH("RECHAZADA",K846)))</formula>
    </cfRule>
    <cfRule type="containsText" dxfId="7071" priority="7097" operator="containsText" text="Atendida">
      <formula>NOT(ISERROR(SEARCH("Atendida",K846)))</formula>
    </cfRule>
  </conditionalFormatting>
  <conditionalFormatting sqref="K846">
    <cfRule type="containsText" dxfId="7070" priority="7083" operator="containsText" text="Reasignación">
      <formula>NOT(ISERROR(SEARCH("Reasignación",K846)))</formula>
    </cfRule>
    <cfRule type="containsText" dxfId="7069" priority="7084" operator="containsText" text="RECHAZADA">
      <formula>NOT(ISERROR(SEARCH("RECHAZADA",K846)))</formula>
    </cfRule>
    <cfRule type="containsText" dxfId="7068" priority="7085" operator="containsText" text="Atendida">
      <formula>NOT(ISERROR(SEARCH("Atendida",K846)))</formula>
    </cfRule>
    <cfRule type="containsText" dxfId="7067" priority="7086" operator="containsText" text="Reasignación">
      <formula>NOT(ISERROR(SEARCH("Reasignación",K846)))</formula>
    </cfRule>
    <cfRule type="containsText" dxfId="7066" priority="7087" operator="containsText" text="RECHAZADA">
      <formula>NOT(ISERROR(SEARCH("RECHAZADA",K846)))</formula>
    </cfRule>
    <cfRule type="containsText" dxfId="7065" priority="7088" operator="containsText" text="Atendida">
      <formula>NOT(ISERROR(SEARCH("Atendida",K846)))</formula>
    </cfRule>
    <cfRule type="containsText" dxfId="7064" priority="7089" operator="containsText" text="Reasignación">
      <formula>NOT(ISERROR(SEARCH("Reasignación",K846)))</formula>
    </cfRule>
    <cfRule type="containsText" dxfId="7063" priority="7090" operator="containsText" text="RECHAZADA">
      <formula>NOT(ISERROR(SEARCH("RECHAZADA",K846)))</formula>
    </cfRule>
    <cfRule type="containsText" dxfId="7062" priority="7091" operator="containsText" text="Atendida">
      <formula>NOT(ISERROR(SEARCH("Atendida",K846)))</formula>
    </cfRule>
    <cfRule type="containsText" dxfId="7061" priority="7092" operator="containsText" text="Reasignación">
      <formula>NOT(ISERROR(SEARCH("Reasignación",K846)))</formula>
    </cfRule>
    <cfRule type="containsText" dxfId="7060" priority="7093" operator="containsText" text="RECHAZADA">
      <formula>NOT(ISERROR(SEARCH("RECHAZADA",K846)))</formula>
    </cfRule>
    <cfRule type="containsText" dxfId="7059" priority="7094" operator="containsText" text="Atendida">
      <formula>NOT(ISERROR(SEARCH("Atendida",K846)))</formula>
    </cfRule>
  </conditionalFormatting>
  <conditionalFormatting sqref="K846">
    <cfRule type="containsText" dxfId="7058" priority="7071" operator="containsText" text="Reasignación">
      <formula>NOT(ISERROR(SEARCH("Reasignación",K846)))</formula>
    </cfRule>
    <cfRule type="containsText" dxfId="7057" priority="7072" operator="containsText" text="RECHAZADA">
      <formula>NOT(ISERROR(SEARCH("RECHAZADA",K846)))</formula>
    </cfRule>
    <cfRule type="containsText" dxfId="7056" priority="7073" operator="containsText" text="Atendida">
      <formula>NOT(ISERROR(SEARCH("Atendida",K846)))</formula>
    </cfRule>
    <cfRule type="containsText" dxfId="7055" priority="7074" operator="containsText" text="Reasignación">
      <formula>NOT(ISERROR(SEARCH("Reasignación",K846)))</formula>
    </cfRule>
    <cfRule type="containsText" dxfId="7054" priority="7075" operator="containsText" text="RECHAZADA">
      <formula>NOT(ISERROR(SEARCH("RECHAZADA",K846)))</formula>
    </cfRule>
    <cfRule type="containsText" dxfId="7053" priority="7076" operator="containsText" text="Atendida">
      <formula>NOT(ISERROR(SEARCH("Atendida",K846)))</formula>
    </cfRule>
    <cfRule type="containsText" dxfId="7052" priority="7077" operator="containsText" text="Reasignación">
      <formula>NOT(ISERROR(SEARCH("Reasignación",K846)))</formula>
    </cfRule>
    <cfRule type="containsText" dxfId="7051" priority="7078" operator="containsText" text="RECHAZADA">
      <formula>NOT(ISERROR(SEARCH("RECHAZADA",K846)))</formula>
    </cfRule>
    <cfRule type="containsText" dxfId="7050" priority="7079" operator="containsText" text="Atendida">
      <formula>NOT(ISERROR(SEARCH("Atendida",K846)))</formula>
    </cfRule>
    <cfRule type="containsText" dxfId="7049" priority="7080" operator="containsText" text="Reasignación">
      <formula>NOT(ISERROR(SEARCH("Reasignación",K846)))</formula>
    </cfRule>
    <cfRule type="containsText" dxfId="7048" priority="7081" operator="containsText" text="RECHAZADA">
      <formula>NOT(ISERROR(SEARCH("RECHAZADA",K846)))</formula>
    </cfRule>
    <cfRule type="containsText" dxfId="7047" priority="7082" operator="containsText" text="Atendida">
      <formula>NOT(ISERROR(SEARCH("Atendida",K846)))</formula>
    </cfRule>
  </conditionalFormatting>
  <conditionalFormatting sqref="K846">
    <cfRule type="containsText" dxfId="7046" priority="7065" operator="containsText" text="Reasignación">
      <formula>NOT(ISERROR(SEARCH("Reasignación",K846)))</formula>
    </cfRule>
    <cfRule type="containsText" dxfId="7045" priority="7066" operator="containsText" text="RECHAZADA">
      <formula>NOT(ISERROR(SEARCH("RECHAZADA",K846)))</formula>
    </cfRule>
    <cfRule type="containsText" dxfId="7044" priority="7067" operator="containsText" text="Atendida">
      <formula>NOT(ISERROR(SEARCH("Atendida",K846)))</formula>
    </cfRule>
  </conditionalFormatting>
  <conditionalFormatting sqref="K846">
    <cfRule type="containsText" dxfId="7043" priority="7068" operator="containsText" text="Reasignación">
      <formula>NOT(ISERROR(SEARCH("Reasignación",K846)))</formula>
    </cfRule>
    <cfRule type="containsText" dxfId="7042" priority="7069" operator="containsText" text="RECHAZADA">
      <formula>NOT(ISERROR(SEARCH("RECHAZADA",K846)))</formula>
    </cfRule>
    <cfRule type="containsText" dxfId="7041" priority="7070" operator="containsText" text="Atendida">
      <formula>NOT(ISERROR(SEARCH("Atendida",K846)))</formula>
    </cfRule>
  </conditionalFormatting>
  <conditionalFormatting sqref="K847">
    <cfRule type="containsText" dxfId="7040" priority="7038" operator="containsText" text="Reasignación">
      <formula>NOT(ISERROR(SEARCH("Reasignación",K847)))</formula>
    </cfRule>
    <cfRule type="containsText" dxfId="7039" priority="7039" operator="containsText" text="RECHAZADA">
      <formula>NOT(ISERROR(SEARCH("RECHAZADA",K847)))</formula>
    </cfRule>
    <cfRule type="containsText" dxfId="7038" priority="7040" operator="containsText" text="Atendida">
      <formula>NOT(ISERROR(SEARCH("Atendida",K847)))</formula>
    </cfRule>
    <cfRule type="containsText" dxfId="7037" priority="7041" operator="containsText" text="Reasignación">
      <formula>NOT(ISERROR(SEARCH("Reasignación",K847)))</formula>
    </cfRule>
    <cfRule type="containsText" dxfId="7036" priority="7042" operator="containsText" text="RECHAZADA">
      <formula>NOT(ISERROR(SEARCH("RECHAZADA",K847)))</formula>
    </cfRule>
    <cfRule type="containsText" dxfId="7035" priority="7043" operator="containsText" text="Atendida">
      <formula>NOT(ISERROR(SEARCH("Atendida",K847)))</formula>
    </cfRule>
    <cfRule type="containsText" dxfId="7034" priority="7044" operator="containsText" text="Reasignación">
      <formula>NOT(ISERROR(SEARCH("Reasignación",K847)))</formula>
    </cfRule>
    <cfRule type="containsText" dxfId="7033" priority="7045" operator="containsText" text="RECHAZADA">
      <formula>NOT(ISERROR(SEARCH("RECHAZADA",K847)))</formula>
    </cfRule>
    <cfRule type="containsText" dxfId="7032" priority="7046" operator="containsText" text="Atendida">
      <formula>NOT(ISERROR(SEARCH("Atendida",K847)))</formula>
    </cfRule>
    <cfRule type="containsText" dxfId="7031" priority="7047" operator="containsText" text="Reasignación">
      <formula>NOT(ISERROR(SEARCH("Reasignación",K847)))</formula>
    </cfRule>
    <cfRule type="containsText" dxfId="7030" priority="7048" operator="containsText" text="RECHAZADA">
      <formula>NOT(ISERROR(SEARCH("RECHAZADA",K847)))</formula>
    </cfRule>
    <cfRule type="containsText" dxfId="7029" priority="7049" operator="containsText" text="Atendida">
      <formula>NOT(ISERROR(SEARCH("Atendida",K847)))</formula>
    </cfRule>
  </conditionalFormatting>
  <conditionalFormatting sqref="K847">
    <cfRule type="containsText" dxfId="7028" priority="7026" operator="containsText" text="Reasignación">
      <formula>NOT(ISERROR(SEARCH("Reasignación",K847)))</formula>
    </cfRule>
    <cfRule type="containsText" dxfId="7027" priority="7027" operator="containsText" text="RECHAZADA">
      <formula>NOT(ISERROR(SEARCH("RECHAZADA",K847)))</formula>
    </cfRule>
    <cfRule type="containsText" dxfId="7026" priority="7028" operator="containsText" text="Atendida">
      <formula>NOT(ISERROR(SEARCH("Atendida",K847)))</formula>
    </cfRule>
    <cfRule type="containsText" dxfId="7025" priority="7029" operator="containsText" text="Reasignación">
      <formula>NOT(ISERROR(SEARCH("Reasignación",K847)))</formula>
    </cfRule>
    <cfRule type="containsText" dxfId="7024" priority="7030" operator="containsText" text="RECHAZADA">
      <formula>NOT(ISERROR(SEARCH("RECHAZADA",K847)))</formula>
    </cfRule>
    <cfRule type="containsText" dxfId="7023" priority="7031" operator="containsText" text="Atendida">
      <formula>NOT(ISERROR(SEARCH("Atendida",K847)))</formula>
    </cfRule>
    <cfRule type="containsText" dxfId="7022" priority="7032" operator="containsText" text="Reasignación">
      <formula>NOT(ISERROR(SEARCH("Reasignación",K847)))</formula>
    </cfRule>
    <cfRule type="containsText" dxfId="7021" priority="7033" operator="containsText" text="RECHAZADA">
      <formula>NOT(ISERROR(SEARCH("RECHAZADA",K847)))</formula>
    </cfRule>
    <cfRule type="containsText" dxfId="7020" priority="7034" operator="containsText" text="Atendida">
      <formula>NOT(ISERROR(SEARCH("Atendida",K847)))</formula>
    </cfRule>
    <cfRule type="containsText" dxfId="7019" priority="7035" operator="containsText" text="Reasignación">
      <formula>NOT(ISERROR(SEARCH("Reasignación",K847)))</formula>
    </cfRule>
    <cfRule type="containsText" dxfId="7018" priority="7036" operator="containsText" text="RECHAZADA">
      <formula>NOT(ISERROR(SEARCH("RECHAZADA",K847)))</formula>
    </cfRule>
    <cfRule type="containsText" dxfId="7017" priority="7037" operator="containsText" text="Atendida">
      <formula>NOT(ISERROR(SEARCH("Atendida",K847)))</formula>
    </cfRule>
  </conditionalFormatting>
  <conditionalFormatting sqref="K847">
    <cfRule type="containsText" dxfId="7016" priority="7014" operator="containsText" text="Reasignación">
      <formula>NOT(ISERROR(SEARCH("Reasignación",K847)))</formula>
    </cfRule>
    <cfRule type="containsText" dxfId="7015" priority="7015" operator="containsText" text="RECHAZADA">
      <formula>NOT(ISERROR(SEARCH("RECHAZADA",K847)))</formula>
    </cfRule>
    <cfRule type="containsText" dxfId="7014" priority="7016" operator="containsText" text="Atendida">
      <formula>NOT(ISERROR(SEARCH("Atendida",K847)))</formula>
    </cfRule>
    <cfRule type="containsText" dxfId="7013" priority="7017" operator="containsText" text="Reasignación">
      <formula>NOT(ISERROR(SEARCH("Reasignación",K847)))</formula>
    </cfRule>
    <cfRule type="containsText" dxfId="7012" priority="7018" operator="containsText" text="RECHAZADA">
      <formula>NOT(ISERROR(SEARCH("RECHAZADA",K847)))</formula>
    </cfRule>
    <cfRule type="containsText" dxfId="7011" priority="7019" operator="containsText" text="Atendida">
      <formula>NOT(ISERROR(SEARCH("Atendida",K847)))</formula>
    </cfRule>
    <cfRule type="containsText" dxfId="7010" priority="7020" operator="containsText" text="Reasignación">
      <formula>NOT(ISERROR(SEARCH("Reasignación",K847)))</formula>
    </cfRule>
    <cfRule type="containsText" dxfId="7009" priority="7021" operator="containsText" text="RECHAZADA">
      <formula>NOT(ISERROR(SEARCH("RECHAZADA",K847)))</formula>
    </cfRule>
    <cfRule type="containsText" dxfId="7008" priority="7022" operator="containsText" text="Atendida">
      <formula>NOT(ISERROR(SEARCH("Atendida",K847)))</formula>
    </cfRule>
    <cfRule type="containsText" dxfId="7007" priority="7023" operator="containsText" text="Reasignación">
      <formula>NOT(ISERROR(SEARCH("Reasignación",K847)))</formula>
    </cfRule>
    <cfRule type="containsText" dxfId="7006" priority="7024" operator="containsText" text="RECHAZADA">
      <formula>NOT(ISERROR(SEARCH("RECHAZADA",K847)))</formula>
    </cfRule>
    <cfRule type="containsText" dxfId="7005" priority="7025" operator="containsText" text="Atendida">
      <formula>NOT(ISERROR(SEARCH("Atendida",K847)))</formula>
    </cfRule>
  </conditionalFormatting>
  <conditionalFormatting sqref="K847">
    <cfRule type="containsText" dxfId="7004" priority="6942" operator="containsText" text="Reasignación">
      <formula>NOT(ISERROR(SEARCH("Reasignación",K847)))</formula>
    </cfRule>
    <cfRule type="containsText" dxfId="7003" priority="6943" operator="containsText" text="RECHAZADA">
      <formula>NOT(ISERROR(SEARCH("RECHAZADA",K847)))</formula>
    </cfRule>
    <cfRule type="containsText" dxfId="7002" priority="6944" operator="containsText" text="Atendida">
      <formula>NOT(ISERROR(SEARCH("Atendida",K847)))</formula>
    </cfRule>
  </conditionalFormatting>
  <conditionalFormatting sqref="K847">
    <cfRule type="containsText" dxfId="7001" priority="6945" operator="containsText" text="Reasignación">
      <formula>NOT(ISERROR(SEARCH("Reasignación",K847)))</formula>
    </cfRule>
    <cfRule type="containsText" dxfId="7000" priority="6946" operator="containsText" text="RECHAZADA">
      <formula>NOT(ISERROR(SEARCH("RECHAZADA",K847)))</formula>
    </cfRule>
    <cfRule type="containsText" dxfId="6999" priority="6947" operator="containsText" text="Atendida">
      <formula>NOT(ISERROR(SEARCH("Atendida",K847)))</formula>
    </cfRule>
    <cfRule type="containsText" dxfId="6998" priority="6948" operator="containsText" text="Reasignación">
      <formula>NOT(ISERROR(SEARCH("Reasignación",K847)))</formula>
    </cfRule>
    <cfRule type="containsText" dxfId="6997" priority="6949" operator="containsText" text="RECHAZADA">
      <formula>NOT(ISERROR(SEARCH("RECHAZADA",K847)))</formula>
    </cfRule>
    <cfRule type="containsText" dxfId="6996" priority="6950" operator="containsText" text="Atendida">
      <formula>NOT(ISERROR(SEARCH("Atendida",K847)))</formula>
    </cfRule>
    <cfRule type="containsText" dxfId="6995" priority="6951" operator="containsText" text="Reasignación">
      <formula>NOT(ISERROR(SEARCH("Reasignación",K847)))</formula>
    </cfRule>
    <cfRule type="containsText" dxfId="6994" priority="6952" operator="containsText" text="RECHAZADA">
      <formula>NOT(ISERROR(SEARCH("RECHAZADA",K847)))</formula>
    </cfRule>
    <cfRule type="containsText" dxfId="6993" priority="6953" operator="containsText" text="Atendida">
      <formula>NOT(ISERROR(SEARCH("Atendida",K847)))</formula>
    </cfRule>
    <cfRule type="containsText" dxfId="6992" priority="6954" operator="containsText" text="Reasignación">
      <formula>NOT(ISERROR(SEARCH("Reasignación",K847)))</formula>
    </cfRule>
    <cfRule type="containsText" dxfId="6991" priority="6955" operator="containsText" text="RECHAZADA">
      <formula>NOT(ISERROR(SEARCH("RECHAZADA",K847)))</formula>
    </cfRule>
    <cfRule type="containsText" dxfId="6990" priority="6956" operator="containsText" text="Atendida">
      <formula>NOT(ISERROR(SEARCH("Atendida",K847)))</formula>
    </cfRule>
  </conditionalFormatting>
  <conditionalFormatting sqref="K847">
    <cfRule type="containsText" dxfId="6989" priority="7002" operator="containsText" text="Reasignación">
      <formula>NOT(ISERROR(SEARCH("Reasignación",K847)))</formula>
    </cfRule>
    <cfRule type="containsText" dxfId="6988" priority="7003" operator="containsText" text="RECHAZADA">
      <formula>NOT(ISERROR(SEARCH("RECHAZADA",K847)))</formula>
    </cfRule>
    <cfRule type="containsText" dxfId="6987" priority="7004" operator="containsText" text="Atendida">
      <formula>NOT(ISERROR(SEARCH("Atendida",K847)))</formula>
    </cfRule>
    <cfRule type="containsText" dxfId="6986" priority="7005" operator="containsText" text="Reasignación">
      <formula>NOT(ISERROR(SEARCH("Reasignación",K847)))</formula>
    </cfRule>
    <cfRule type="containsText" dxfId="6985" priority="7006" operator="containsText" text="RECHAZADA">
      <formula>NOT(ISERROR(SEARCH("RECHAZADA",K847)))</formula>
    </cfRule>
    <cfRule type="containsText" dxfId="6984" priority="7007" operator="containsText" text="Atendida">
      <formula>NOT(ISERROR(SEARCH("Atendida",K847)))</formula>
    </cfRule>
    <cfRule type="containsText" dxfId="6983" priority="7008" operator="containsText" text="Reasignación">
      <formula>NOT(ISERROR(SEARCH("Reasignación",K847)))</formula>
    </cfRule>
    <cfRule type="containsText" dxfId="6982" priority="7009" operator="containsText" text="RECHAZADA">
      <formula>NOT(ISERROR(SEARCH("RECHAZADA",K847)))</formula>
    </cfRule>
    <cfRule type="containsText" dxfId="6981" priority="7010" operator="containsText" text="Atendida">
      <formula>NOT(ISERROR(SEARCH("Atendida",K847)))</formula>
    </cfRule>
    <cfRule type="containsText" dxfId="6980" priority="7011" operator="containsText" text="Reasignación">
      <formula>NOT(ISERROR(SEARCH("Reasignación",K847)))</formula>
    </cfRule>
    <cfRule type="containsText" dxfId="6979" priority="7012" operator="containsText" text="RECHAZADA">
      <formula>NOT(ISERROR(SEARCH("RECHAZADA",K847)))</formula>
    </cfRule>
    <cfRule type="containsText" dxfId="6978" priority="7013" operator="containsText" text="Atendida">
      <formula>NOT(ISERROR(SEARCH("Atendida",K847)))</formula>
    </cfRule>
  </conditionalFormatting>
  <conditionalFormatting sqref="K847">
    <cfRule type="containsText" dxfId="6977" priority="6990" operator="containsText" text="Reasignación">
      <formula>NOT(ISERROR(SEARCH("Reasignación",K847)))</formula>
    </cfRule>
    <cfRule type="containsText" dxfId="6976" priority="6991" operator="containsText" text="RECHAZADA">
      <formula>NOT(ISERROR(SEARCH("RECHAZADA",K847)))</formula>
    </cfRule>
    <cfRule type="containsText" dxfId="6975" priority="6992" operator="containsText" text="Atendida">
      <formula>NOT(ISERROR(SEARCH("Atendida",K847)))</formula>
    </cfRule>
    <cfRule type="containsText" dxfId="6974" priority="6993" operator="containsText" text="Reasignación">
      <formula>NOT(ISERROR(SEARCH("Reasignación",K847)))</formula>
    </cfRule>
    <cfRule type="containsText" dxfId="6973" priority="6994" operator="containsText" text="RECHAZADA">
      <formula>NOT(ISERROR(SEARCH("RECHAZADA",K847)))</formula>
    </cfRule>
    <cfRule type="containsText" dxfId="6972" priority="6995" operator="containsText" text="Atendida">
      <formula>NOT(ISERROR(SEARCH("Atendida",K847)))</formula>
    </cfRule>
    <cfRule type="containsText" dxfId="6971" priority="6996" operator="containsText" text="Reasignación">
      <formula>NOT(ISERROR(SEARCH("Reasignación",K847)))</formula>
    </cfRule>
    <cfRule type="containsText" dxfId="6970" priority="6997" operator="containsText" text="RECHAZADA">
      <formula>NOT(ISERROR(SEARCH("RECHAZADA",K847)))</formula>
    </cfRule>
    <cfRule type="containsText" dxfId="6969" priority="6998" operator="containsText" text="Atendida">
      <formula>NOT(ISERROR(SEARCH("Atendida",K847)))</formula>
    </cfRule>
    <cfRule type="containsText" dxfId="6968" priority="6999" operator="containsText" text="Reasignación">
      <formula>NOT(ISERROR(SEARCH("Reasignación",K847)))</formula>
    </cfRule>
    <cfRule type="containsText" dxfId="6967" priority="7000" operator="containsText" text="RECHAZADA">
      <formula>NOT(ISERROR(SEARCH("RECHAZADA",K847)))</formula>
    </cfRule>
    <cfRule type="containsText" dxfId="6966" priority="7001" operator="containsText" text="Atendida">
      <formula>NOT(ISERROR(SEARCH("Atendida",K847)))</formula>
    </cfRule>
  </conditionalFormatting>
  <conditionalFormatting sqref="K847">
    <cfRule type="containsText" dxfId="6965" priority="6987" operator="containsText" text="Reasignación">
      <formula>NOT(ISERROR(SEARCH("Reasignación",K847)))</formula>
    </cfRule>
    <cfRule type="containsText" dxfId="6964" priority="6988" operator="containsText" text="RECHAZADA">
      <formula>NOT(ISERROR(SEARCH("RECHAZADA",K847)))</formula>
    </cfRule>
    <cfRule type="containsText" dxfId="6963" priority="6989" operator="containsText" text="Atendida">
      <formula>NOT(ISERROR(SEARCH("Atendida",K847)))</formula>
    </cfRule>
  </conditionalFormatting>
  <conditionalFormatting sqref="K847">
    <cfRule type="containsText" dxfId="6962" priority="6975" operator="containsText" text="Reasignación">
      <formula>NOT(ISERROR(SEARCH("Reasignación",K847)))</formula>
    </cfRule>
    <cfRule type="containsText" dxfId="6961" priority="6976" operator="containsText" text="RECHAZADA">
      <formula>NOT(ISERROR(SEARCH("RECHAZADA",K847)))</formula>
    </cfRule>
    <cfRule type="containsText" dxfId="6960" priority="6977" operator="containsText" text="Atendida">
      <formula>NOT(ISERROR(SEARCH("Atendida",K847)))</formula>
    </cfRule>
    <cfRule type="containsText" dxfId="6959" priority="6978" operator="containsText" text="Reasignación">
      <formula>NOT(ISERROR(SEARCH("Reasignación",K847)))</formula>
    </cfRule>
    <cfRule type="containsText" dxfId="6958" priority="6979" operator="containsText" text="RECHAZADA">
      <formula>NOT(ISERROR(SEARCH("RECHAZADA",K847)))</formula>
    </cfRule>
    <cfRule type="containsText" dxfId="6957" priority="6980" operator="containsText" text="Atendida">
      <formula>NOT(ISERROR(SEARCH("Atendida",K847)))</formula>
    </cfRule>
    <cfRule type="containsText" dxfId="6956" priority="6981" operator="containsText" text="Reasignación">
      <formula>NOT(ISERROR(SEARCH("Reasignación",K847)))</formula>
    </cfRule>
    <cfRule type="containsText" dxfId="6955" priority="6982" operator="containsText" text="RECHAZADA">
      <formula>NOT(ISERROR(SEARCH("RECHAZADA",K847)))</formula>
    </cfRule>
    <cfRule type="containsText" dxfId="6954" priority="6983" operator="containsText" text="Atendida">
      <formula>NOT(ISERROR(SEARCH("Atendida",K847)))</formula>
    </cfRule>
    <cfRule type="containsText" dxfId="6953" priority="6984" operator="containsText" text="Reasignación">
      <formula>NOT(ISERROR(SEARCH("Reasignación",K847)))</formula>
    </cfRule>
    <cfRule type="containsText" dxfId="6952" priority="6985" operator="containsText" text="RECHAZADA">
      <formula>NOT(ISERROR(SEARCH("RECHAZADA",K847)))</formula>
    </cfRule>
    <cfRule type="containsText" dxfId="6951" priority="6986" operator="containsText" text="Atendida">
      <formula>NOT(ISERROR(SEARCH("Atendida",K847)))</formula>
    </cfRule>
  </conditionalFormatting>
  <conditionalFormatting sqref="K847">
    <cfRule type="containsText" dxfId="6950" priority="6963" operator="containsText" text="Reasignación">
      <formula>NOT(ISERROR(SEARCH("Reasignación",K847)))</formula>
    </cfRule>
    <cfRule type="containsText" dxfId="6949" priority="6964" operator="containsText" text="RECHAZADA">
      <formula>NOT(ISERROR(SEARCH("RECHAZADA",K847)))</formula>
    </cfRule>
    <cfRule type="containsText" dxfId="6948" priority="6965" operator="containsText" text="Atendida">
      <formula>NOT(ISERROR(SEARCH("Atendida",K847)))</formula>
    </cfRule>
    <cfRule type="containsText" dxfId="6947" priority="6966" operator="containsText" text="Reasignación">
      <formula>NOT(ISERROR(SEARCH("Reasignación",K847)))</formula>
    </cfRule>
    <cfRule type="containsText" dxfId="6946" priority="6967" operator="containsText" text="RECHAZADA">
      <formula>NOT(ISERROR(SEARCH("RECHAZADA",K847)))</formula>
    </cfRule>
    <cfRule type="containsText" dxfId="6945" priority="6968" operator="containsText" text="Atendida">
      <formula>NOT(ISERROR(SEARCH("Atendida",K847)))</formula>
    </cfRule>
    <cfRule type="containsText" dxfId="6944" priority="6969" operator="containsText" text="Reasignación">
      <formula>NOT(ISERROR(SEARCH("Reasignación",K847)))</formula>
    </cfRule>
    <cfRule type="containsText" dxfId="6943" priority="6970" operator="containsText" text="RECHAZADA">
      <formula>NOT(ISERROR(SEARCH("RECHAZADA",K847)))</formula>
    </cfRule>
    <cfRule type="containsText" dxfId="6942" priority="6971" operator="containsText" text="Atendida">
      <formula>NOT(ISERROR(SEARCH("Atendida",K847)))</formula>
    </cfRule>
    <cfRule type="containsText" dxfId="6941" priority="6972" operator="containsText" text="Reasignación">
      <formula>NOT(ISERROR(SEARCH("Reasignación",K847)))</formula>
    </cfRule>
    <cfRule type="containsText" dxfId="6940" priority="6973" operator="containsText" text="RECHAZADA">
      <formula>NOT(ISERROR(SEARCH("RECHAZADA",K847)))</formula>
    </cfRule>
    <cfRule type="containsText" dxfId="6939" priority="6974" operator="containsText" text="Atendida">
      <formula>NOT(ISERROR(SEARCH("Atendida",K847)))</formula>
    </cfRule>
  </conditionalFormatting>
  <conditionalFormatting sqref="K847">
    <cfRule type="containsText" dxfId="6938" priority="6957" operator="containsText" text="Reasignación">
      <formula>NOT(ISERROR(SEARCH("Reasignación",K847)))</formula>
    </cfRule>
    <cfRule type="containsText" dxfId="6937" priority="6958" operator="containsText" text="RECHAZADA">
      <formula>NOT(ISERROR(SEARCH("RECHAZADA",K847)))</formula>
    </cfRule>
    <cfRule type="containsText" dxfId="6936" priority="6959" operator="containsText" text="Atendida">
      <formula>NOT(ISERROR(SEARCH("Atendida",K847)))</formula>
    </cfRule>
  </conditionalFormatting>
  <conditionalFormatting sqref="K847">
    <cfRule type="containsText" dxfId="6935" priority="6960" operator="containsText" text="Reasignación">
      <formula>NOT(ISERROR(SEARCH("Reasignación",K847)))</formula>
    </cfRule>
    <cfRule type="containsText" dxfId="6934" priority="6961" operator="containsText" text="RECHAZADA">
      <formula>NOT(ISERROR(SEARCH("RECHAZADA",K847)))</formula>
    </cfRule>
    <cfRule type="containsText" dxfId="6933" priority="6962" operator="containsText" text="Atendida">
      <formula>NOT(ISERROR(SEARCH("Atendida",K847)))</formula>
    </cfRule>
  </conditionalFormatting>
  <conditionalFormatting sqref="E848">
    <cfRule type="duplicateValues" dxfId="6932" priority="6937"/>
  </conditionalFormatting>
  <conditionalFormatting sqref="M848">
    <cfRule type="containsText" dxfId="6931" priority="6940" operator="containsText" text="Atendida">
      <formula>NOT(ISERROR(SEARCH("Atendida",M848)))</formula>
    </cfRule>
  </conditionalFormatting>
  <conditionalFormatting sqref="M848">
    <cfRule type="containsText" dxfId="6930" priority="6939" operator="containsText" text="RECHAZADA">
      <formula>NOT(ISERROR(SEARCH("RECHAZADA",M848)))</formula>
    </cfRule>
  </conditionalFormatting>
  <conditionalFormatting sqref="M848">
    <cfRule type="containsText" dxfId="6929" priority="6938" operator="containsText" text="CONFORME">
      <formula>NOT(ISERROR(SEARCH("CONFORME",M848)))</formula>
    </cfRule>
  </conditionalFormatting>
  <conditionalFormatting sqref="M848">
    <cfRule type="containsText" dxfId="6928" priority="6936" operator="containsText" text="OBSERVADO">
      <formula>NOT(ISERROR(SEARCH("OBSERVADO",M848)))</formula>
    </cfRule>
  </conditionalFormatting>
  <conditionalFormatting sqref="B848">
    <cfRule type="duplicateValues" dxfId="6927" priority="6941"/>
  </conditionalFormatting>
  <conditionalFormatting sqref="K848">
    <cfRule type="containsText" dxfId="6926" priority="6933" operator="containsText" text="Reasignación">
      <formula>NOT(ISERROR(SEARCH("Reasignación",K848)))</formula>
    </cfRule>
    <cfRule type="containsText" dxfId="6925" priority="6934" operator="containsText" text="RECHAZADA">
      <formula>NOT(ISERROR(SEARCH("RECHAZADA",K848)))</formula>
    </cfRule>
    <cfRule type="containsText" dxfId="6924" priority="6935" operator="containsText" text="Atendida">
      <formula>NOT(ISERROR(SEARCH("Atendida",K848)))</formula>
    </cfRule>
  </conditionalFormatting>
  <conditionalFormatting sqref="K848">
    <cfRule type="containsText" dxfId="6923" priority="6885" operator="containsText" text="Reasignación">
      <formula>NOT(ISERROR(SEARCH("Reasignación",K848)))</formula>
    </cfRule>
    <cfRule type="containsText" dxfId="6922" priority="6886" operator="containsText" text="RECHAZADA">
      <formula>NOT(ISERROR(SEARCH("RECHAZADA",K848)))</formula>
    </cfRule>
    <cfRule type="containsText" dxfId="6921" priority="6887" operator="containsText" text="Atendida">
      <formula>NOT(ISERROR(SEARCH("Atendida",K848)))</formula>
    </cfRule>
  </conditionalFormatting>
  <conditionalFormatting sqref="K848">
    <cfRule type="containsText" dxfId="6920" priority="6888" operator="containsText" text="Reasignación">
      <formula>NOT(ISERROR(SEARCH("Reasignación",K848)))</formula>
    </cfRule>
    <cfRule type="containsText" dxfId="6919" priority="6889" operator="containsText" text="RECHAZADA">
      <formula>NOT(ISERROR(SEARCH("RECHAZADA",K848)))</formula>
    </cfRule>
    <cfRule type="containsText" dxfId="6918" priority="6890" operator="containsText" text="Atendida">
      <formula>NOT(ISERROR(SEARCH("Atendida",K848)))</formula>
    </cfRule>
    <cfRule type="containsText" dxfId="6917" priority="6891" operator="containsText" text="Reasignación">
      <formula>NOT(ISERROR(SEARCH("Reasignación",K848)))</formula>
    </cfRule>
    <cfRule type="containsText" dxfId="6916" priority="6892" operator="containsText" text="RECHAZADA">
      <formula>NOT(ISERROR(SEARCH("RECHAZADA",K848)))</formula>
    </cfRule>
    <cfRule type="containsText" dxfId="6915" priority="6893" operator="containsText" text="Atendida">
      <formula>NOT(ISERROR(SEARCH("Atendida",K848)))</formula>
    </cfRule>
    <cfRule type="containsText" dxfId="6914" priority="6894" operator="containsText" text="Reasignación">
      <formula>NOT(ISERROR(SEARCH("Reasignación",K848)))</formula>
    </cfRule>
    <cfRule type="containsText" dxfId="6913" priority="6895" operator="containsText" text="RECHAZADA">
      <formula>NOT(ISERROR(SEARCH("RECHAZADA",K848)))</formula>
    </cfRule>
    <cfRule type="containsText" dxfId="6912" priority="6896" operator="containsText" text="Atendida">
      <formula>NOT(ISERROR(SEARCH("Atendida",K848)))</formula>
    </cfRule>
    <cfRule type="containsText" dxfId="6911" priority="6897" operator="containsText" text="Reasignación">
      <formula>NOT(ISERROR(SEARCH("Reasignación",K848)))</formula>
    </cfRule>
    <cfRule type="containsText" dxfId="6910" priority="6898" operator="containsText" text="RECHAZADA">
      <formula>NOT(ISERROR(SEARCH("RECHAZADA",K848)))</formula>
    </cfRule>
    <cfRule type="containsText" dxfId="6909" priority="6899" operator="containsText" text="Atendida">
      <formula>NOT(ISERROR(SEARCH("Atendida",K848)))</formula>
    </cfRule>
  </conditionalFormatting>
  <conditionalFormatting sqref="K848">
    <cfRule type="containsText" dxfId="6908" priority="6930" operator="containsText" text="Reasignación">
      <formula>NOT(ISERROR(SEARCH("Reasignación",K848)))</formula>
    </cfRule>
    <cfRule type="containsText" dxfId="6907" priority="6931" operator="containsText" text="RECHAZADA">
      <formula>NOT(ISERROR(SEARCH("RECHAZADA",K848)))</formula>
    </cfRule>
    <cfRule type="containsText" dxfId="6906" priority="6932" operator="containsText" text="Atendida">
      <formula>NOT(ISERROR(SEARCH("Atendida",K848)))</formula>
    </cfRule>
  </conditionalFormatting>
  <conditionalFormatting sqref="K848">
    <cfRule type="containsText" dxfId="6905" priority="6918" operator="containsText" text="Reasignación">
      <formula>NOT(ISERROR(SEARCH("Reasignación",K848)))</formula>
    </cfRule>
    <cfRule type="containsText" dxfId="6904" priority="6919" operator="containsText" text="RECHAZADA">
      <formula>NOT(ISERROR(SEARCH("RECHAZADA",K848)))</formula>
    </cfRule>
    <cfRule type="containsText" dxfId="6903" priority="6920" operator="containsText" text="Atendida">
      <formula>NOT(ISERROR(SEARCH("Atendida",K848)))</formula>
    </cfRule>
    <cfRule type="containsText" dxfId="6902" priority="6921" operator="containsText" text="Reasignación">
      <formula>NOT(ISERROR(SEARCH("Reasignación",K848)))</formula>
    </cfRule>
    <cfRule type="containsText" dxfId="6901" priority="6922" operator="containsText" text="RECHAZADA">
      <formula>NOT(ISERROR(SEARCH("RECHAZADA",K848)))</formula>
    </cfRule>
    <cfRule type="containsText" dxfId="6900" priority="6923" operator="containsText" text="Atendida">
      <formula>NOT(ISERROR(SEARCH("Atendida",K848)))</formula>
    </cfRule>
    <cfRule type="containsText" dxfId="6899" priority="6924" operator="containsText" text="Reasignación">
      <formula>NOT(ISERROR(SEARCH("Reasignación",K848)))</formula>
    </cfRule>
    <cfRule type="containsText" dxfId="6898" priority="6925" operator="containsText" text="RECHAZADA">
      <formula>NOT(ISERROR(SEARCH("RECHAZADA",K848)))</formula>
    </cfRule>
    <cfRule type="containsText" dxfId="6897" priority="6926" operator="containsText" text="Atendida">
      <formula>NOT(ISERROR(SEARCH("Atendida",K848)))</formula>
    </cfRule>
    <cfRule type="containsText" dxfId="6896" priority="6927" operator="containsText" text="Reasignación">
      <formula>NOT(ISERROR(SEARCH("Reasignación",K848)))</formula>
    </cfRule>
    <cfRule type="containsText" dxfId="6895" priority="6928" operator="containsText" text="RECHAZADA">
      <formula>NOT(ISERROR(SEARCH("RECHAZADA",K848)))</formula>
    </cfRule>
    <cfRule type="containsText" dxfId="6894" priority="6929" operator="containsText" text="Atendida">
      <formula>NOT(ISERROR(SEARCH("Atendida",K848)))</formula>
    </cfRule>
  </conditionalFormatting>
  <conditionalFormatting sqref="K848">
    <cfRule type="containsText" dxfId="6893" priority="6906" operator="containsText" text="Reasignación">
      <formula>NOT(ISERROR(SEARCH("Reasignación",K848)))</formula>
    </cfRule>
    <cfRule type="containsText" dxfId="6892" priority="6907" operator="containsText" text="RECHAZADA">
      <formula>NOT(ISERROR(SEARCH("RECHAZADA",K848)))</formula>
    </cfRule>
    <cfRule type="containsText" dxfId="6891" priority="6908" operator="containsText" text="Atendida">
      <formula>NOT(ISERROR(SEARCH("Atendida",K848)))</formula>
    </cfRule>
    <cfRule type="containsText" dxfId="6890" priority="6909" operator="containsText" text="Reasignación">
      <formula>NOT(ISERROR(SEARCH("Reasignación",K848)))</formula>
    </cfRule>
    <cfRule type="containsText" dxfId="6889" priority="6910" operator="containsText" text="RECHAZADA">
      <formula>NOT(ISERROR(SEARCH("RECHAZADA",K848)))</formula>
    </cfRule>
    <cfRule type="containsText" dxfId="6888" priority="6911" operator="containsText" text="Atendida">
      <formula>NOT(ISERROR(SEARCH("Atendida",K848)))</formula>
    </cfRule>
    <cfRule type="containsText" dxfId="6887" priority="6912" operator="containsText" text="Reasignación">
      <formula>NOT(ISERROR(SEARCH("Reasignación",K848)))</formula>
    </cfRule>
    <cfRule type="containsText" dxfId="6886" priority="6913" operator="containsText" text="RECHAZADA">
      <formula>NOT(ISERROR(SEARCH("RECHAZADA",K848)))</formula>
    </cfRule>
    <cfRule type="containsText" dxfId="6885" priority="6914" operator="containsText" text="Atendida">
      <formula>NOT(ISERROR(SEARCH("Atendida",K848)))</formula>
    </cfRule>
    <cfRule type="containsText" dxfId="6884" priority="6915" operator="containsText" text="Reasignación">
      <formula>NOT(ISERROR(SEARCH("Reasignación",K848)))</formula>
    </cfRule>
    <cfRule type="containsText" dxfId="6883" priority="6916" operator="containsText" text="RECHAZADA">
      <formula>NOT(ISERROR(SEARCH("RECHAZADA",K848)))</formula>
    </cfRule>
    <cfRule type="containsText" dxfId="6882" priority="6917" operator="containsText" text="Atendida">
      <formula>NOT(ISERROR(SEARCH("Atendida",K848)))</formula>
    </cfRule>
  </conditionalFormatting>
  <conditionalFormatting sqref="K848">
    <cfRule type="containsText" dxfId="6881" priority="6900" operator="containsText" text="Reasignación">
      <formula>NOT(ISERROR(SEARCH("Reasignación",K848)))</formula>
    </cfRule>
    <cfRule type="containsText" dxfId="6880" priority="6901" operator="containsText" text="RECHAZADA">
      <formula>NOT(ISERROR(SEARCH("RECHAZADA",K848)))</formula>
    </cfRule>
    <cfRule type="containsText" dxfId="6879" priority="6902" operator="containsText" text="Atendida">
      <formula>NOT(ISERROR(SEARCH("Atendida",K848)))</formula>
    </cfRule>
  </conditionalFormatting>
  <conditionalFormatting sqref="K848">
    <cfRule type="containsText" dxfId="6878" priority="6903" operator="containsText" text="Reasignación">
      <formula>NOT(ISERROR(SEARCH("Reasignación",K848)))</formula>
    </cfRule>
    <cfRule type="containsText" dxfId="6877" priority="6904" operator="containsText" text="RECHAZADA">
      <formula>NOT(ISERROR(SEARCH("RECHAZADA",K848)))</formula>
    </cfRule>
    <cfRule type="containsText" dxfId="6876" priority="6905" operator="containsText" text="Atendida">
      <formula>NOT(ISERROR(SEARCH("Atendida",K848)))</formula>
    </cfRule>
  </conditionalFormatting>
  <conditionalFormatting sqref="K849">
    <cfRule type="containsText" dxfId="6875" priority="6882" operator="containsText" text="Reasignación">
      <formula>NOT(ISERROR(SEARCH("Reasignación",K849)))</formula>
    </cfRule>
    <cfRule type="containsText" dxfId="6874" priority="6883" operator="containsText" text="RECHAZADA">
      <formula>NOT(ISERROR(SEARCH("RECHAZADA",K849)))</formula>
    </cfRule>
    <cfRule type="containsText" dxfId="6873" priority="6884" operator="containsText" text="Atendida">
      <formula>NOT(ISERROR(SEARCH("Atendida",K849)))</formula>
    </cfRule>
  </conditionalFormatting>
  <conditionalFormatting sqref="K849">
    <cfRule type="containsText" dxfId="6872" priority="6834" operator="containsText" text="Reasignación">
      <formula>NOT(ISERROR(SEARCH("Reasignación",K849)))</formula>
    </cfRule>
    <cfRule type="containsText" dxfId="6871" priority="6835" operator="containsText" text="RECHAZADA">
      <formula>NOT(ISERROR(SEARCH("RECHAZADA",K849)))</formula>
    </cfRule>
    <cfRule type="containsText" dxfId="6870" priority="6836" operator="containsText" text="Atendida">
      <formula>NOT(ISERROR(SEARCH("Atendida",K849)))</formula>
    </cfRule>
  </conditionalFormatting>
  <conditionalFormatting sqref="K849">
    <cfRule type="containsText" dxfId="6869" priority="6837" operator="containsText" text="Reasignación">
      <formula>NOT(ISERROR(SEARCH("Reasignación",K849)))</formula>
    </cfRule>
    <cfRule type="containsText" dxfId="6868" priority="6838" operator="containsText" text="RECHAZADA">
      <formula>NOT(ISERROR(SEARCH("RECHAZADA",K849)))</formula>
    </cfRule>
    <cfRule type="containsText" dxfId="6867" priority="6839" operator="containsText" text="Atendida">
      <formula>NOT(ISERROR(SEARCH("Atendida",K849)))</formula>
    </cfRule>
    <cfRule type="containsText" dxfId="6866" priority="6840" operator="containsText" text="Reasignación">
      <formula>NOT(ISERROR(SEARCH("Reasignación",K849)))</formula>
    </cfRule>
    <cfRule type="containsText" dxfId="6865" priority="6841" operator="containsText" text="RECHAZADA">
      <formula>NOT(ISERROR(SEARCH("RECHAZADA",K849)))</formula>
    </cfRule>
    <cfRule type="containsText" dxfId="6864" priority="6842" operator="containsText" text="Atendida">
      <formula>NOT(ISERROR(SEARCH("Atendida",K849)))</formula>
    </cfRule>
    <cfRule type="containsText" dxfId="6863" priority="6843" operator="containsText" text="Reasignación">
      <formula>NOT(ISERROR(SEARCH("Reasignación",K849)))</formula>
    </cfRule>
    <cfRule type="containsText" dxfId="6862" priority="6844" operator="containsText" text="RECHAZADA">
      <formula>NOT(ISERROR(SEARCH("RECHAZADA",K849)))</formula>
    </cfRule>
    <cfRule type="containsText" dxfId="6861" priority="6845" operator="containsText" text="Atendida">
      <formula>NOT(ISERROR(SEARCH("Atendida",K849)))</formula>
    </cfRule>
    <cfRule type="containsText" dxfId="6860" priority="6846" operator="containsText" text="Reasignación">
      <formula>NOT(ISERROR(SEARCH("Reasignación",K849)))</formula>
    </cfRule>
    <cfRule type="containsText" dxfId="6859" priority="6847" operator="containsText" text="RECHAZADA">
      <formula>NOT(ISERROR(SEARCH("RECHAZADA",K849)))</formula>
    </cfRule>
    <cfRule type="containsText" dxfId="6858" priority="6848" operator="containsText" text="Atendida">
      <formula>NOT(ISERROR(SEARCH("Atendida",K849)))</formula>
    </cfRule>
  </conditionalFormatting>
  <conditionalFormatting sqref="K849">
    <cfRule type="containsText" dxfId="6857" priority="6879" operator="containsText" text="Reasignación">
      <formula>NOT(ISERROR(SEARCH("Reasignación",K849)))</formula>
    </cfRule>
    <cfRule type="containsText" dxfId="6856" priority="6880" operator="containsText" text="RECHAZADA">
      <formula>NOT(ISERROR(SEARCH("RECHAZADA",K849)))</formula>
    </cfRule>
    <cfRule type="containsText" dxfId="6855" priority="6881" operator="containsText" text="Atendida">
      <formula>NOT(ISERROR(SEARCH("Atendida",K849)))</formula>
    </cfRule>
  </conditionalFormatting>
  <conditionalFormatting sqref="K849">
    <cfRule type="containsText" dxfId="6854" priority="6867" operator="containsText" text="Reasignación">
      <formula>NOT(ISERROR(SEARCH("Reasignación",K849)))</formula>
    </cfRule>
    <cfRule type="containsText" dxfId="6853" priority="6868" operator="containsText" text="RECHAZADA">
      <formula>NOT(ISERROR(SEARCH("RECHAZADA",K849)))</formula>
    </cfRule>
    <cfRule type="containsText" dxfId="6852" priority="6869" operator="containsText" text="Atendida">
      <formula>NOT(ISERROR(SEARCH("Atendida",K849)))</formula>
    </cfRule>
    <cfRule type="containsText" dxfId="6851" priority="6870" operator="containsText" text="Reasignación">
      <formula>NOT(ISERROR(SEARCH("Reasignación",K849)))</formula>
    </cfRule>
    <cfRule type="containsText" dxfId="6850" priority="6871" operator="containsText" text="RECHAZADA">
      <formula>NOT(ISERROR(SEARCH("RECHAZADA",K849)))</formula>
    </cfRule>
    <cfRule type="containsText" dxfId="6849" priority="6872" operator="containsText" text="Atendida">
      <formula>NOT(ISERROR(SEARCH("Atendida",K849)))</formula>
    </cfRule>
    <cfRule type="containsText" dxfId="6848" priority="6873" operator="containsText" text="Reasignación">
      <formula>NOT(ISERROR(SEARCH("Reasignación",K849)))</formula>
    </cfRule>
    <cfRule type="containsText" dxfId="6847" priority="6874" operator="containsText" text="RECHAZADA">
      <formula>NOT(ISERROR(SEARCH("RECHAZADA",K849)))</formula>
    </cfRule>
    <cfRule type="containsText" dxfId="6846" priority="6875" operator="containsText" text="Atendida">
      <formula>NOT(ISERROR(SEARCH("Atendida",K849)))</formula>
    </cfRule>
    <cfRule type="containsText" dxfId="6845" priority="6876" operator="containsText" text="Reasignación">
      <formula>NOT(ISERROR(SEARCH("Reasignación",K849)))</formula>
    </cfRule>
    <cfRule type="containsText" dxfId="6844" priority="6877" operator="containsText" text="RECHAZADA">
      <formula>NOT(ISERROR(SEARCH("RECHAZADA",K849)))</formula>
    </cfRule>
    <cfRule type="containsText" dxfId="6843" priority="6878" operator="containsText" text="Atendida">
      <formula>NOT(ISERROR(SEARCH("Atendida",K849)))</formula>
    </cfRule>
  </conditionalFormatting>
  <conditionalFormatting sqref="K849">
    <cfRule type="containsText" dxfId="6842" priority="6855" operator="containsText" text="Reasignación">
      <formula>NOT(ISERROR(SEARCH("Reasignación",K849)))</formula>
    </cfRule>
    <cfRule type="containsText" dxfId="6841" priority="6856" operator="containsText" text="RECHAZADA">
      <formula>NOT(ISERROR(SEARCH("RECHAZADA",K849)))</formula>
    </cfRule>
    <cfRule type="containsText" dxfId="6840" priority="6857" operator="containsText" text="Atendida">
      <formula>NOT(ISERROR(SEARCH("Atendida",K849)))</formula>
    </cfRule>
    <cfRule type="containsText" dxfId="6839" priority="6858" operator="containsText" text="Reasignación">
      <formula>NOT(ISERROR(SEARCH("Reasignación",K849)))</formula>
    </cfRule>
    <cfRule type="containsText" dxfId="6838" priority="6859" operator="containsText" text="RECHAZADA">
      <formula>NOT(ISERROR(SEARCH("RECHAZADA",K849)))</formula>
    </cfRule>
    <cfRule type="containsText" dxfId="6837" priority="6860" operator="containsText" text="Atendida">
      <formula>NOT(ISERROR(SEARCH("Atendida",K849)))</formula>
    </cfRule>
    <cfRule type="containsText" dxfId="6836" priority="6861" operator="containsText" text="Reasignación">
      <formula>NOT(ISERROR(SEARCH("Reasignación",K849)))</formula>
    </cfRule>
    <cfRule type="containsText" dxfId="6835" priority="6862" operator="containsText" text="RECHAZADA">
      <formula>NOT(ISERROR(SEARCH("RECHAZADA",K849)))</formula>
    </cfRule>
    <cfRule type="containsText" dxfId="6834" priority="6863" operator="containsText" text="Atendida">
      <formula>NOT(ISERROR(SEARCH("Atendida",K849)))</formula>
    </cfRule>
    <cfRule type="containsText" dxfId="6833" priority="6864" operator="containsText" text="Reasignación">
      <formula>NOT(ISERROR(SEARCH("Reasignación",K849)))</formula>
    </cfRule>
    <cfRule type="containsText" dxfId="6832" priority="6865" operator="containsText" text="RECHAZADA">
      <formula>NOT(ISERROR(SEARCH("RECHAZADA",K849)))</formula>
    </cfRule>
    <cfRule type="containsText" dxfId="6831" priority="6866" operator="containsText" text="Atendida">
      <formula>NOT(ISERROR(SEARCH("Atendida",K849)))</formula>
    </cfRule>
  </conditionalFormatting>
  <conditionalFormatting sqref="K849">
    <cfRule type="containsText" dxfId="6830" priority="6849" operator="containsText" text="Reasignación">
      <formula>NOT(ISERROR(SEARCH("Reasignación",K849)))</formula>
    </cfRule>
    <cfRule type="containsText" dxfId="6829" priority="6850" operator="containsText" text="RECHAZADA">
      <formula>NOT(ISERROR(SEARCH("RECHAZADA",K849)))</formula>
    </cfRule>
    <cfRule type="containsText" dxfId="6828" priority="6851" operator="containsText" text="Atendida">
      <formula>NOT(ISERROR(SEARCH("Atendida",K849)))</formula>
    </cfRule>
  </conditionalFormatting>
  <conditionalFormatting sqref="K849">
    <cfRule type="containsText" dxfId="6827" priority="6852" operator="containsText" text="Reasignación">
      <formula>NOT(ISERROR(SEARCH("Reasignación",K849)))</formula>
    </cfRule>
    <cfRule type="containsText" dxfId="6826" priority="6853" operator="containsText" text="RECHAZADA">
      <formula>NOT(ISERROR(SEARCH("RECHAZADA",K849)))</formula>
    </cfRule>
    <cfRule type="containsText" dxfId="6825" priority="6854" operator="containsText" text="Atendida">
      <formula>NOT(ISERROR(SEARCH("Atendida",K849)))</formula>
    </cfRule>
  </conditionalFormatting>
  <conditionalFormatting sqref="K850">
    <cfRule type="containsText" dxfId="6824" priority="6822" operator="containsText" text="Reasignación">
      <formula>NOT(ISERROR(SEARCH("Reasignación",K850)))</formula>
    </cfRule>
    <cfRule type="containsText" dxfId="6823" priority="6823" operator="containsText" text="RECHAZADA">
      <formula>NOT(ISERROR(SEARCH("RECHAZADA",K850)))</formula>
    </cfRule>
    <cfRule type="containsText" dxfId="6822" priority="6824" operator="containsText" text="Atendida">
      <formula>NOT(ISERROR(SEARCH("Atendida",K850)))</formula>
    </cfRule>
    <cfRule type="containsText" dxfId="6821" priority="6825" operator="containsText" text="Reasignación">
      <formula>NOT(ISERROR(SEARCH("Reasignación",K850)))</formula>
    </cfRule>
    <cfRule type="containsText" dxfId="6820" priority="6826" operator="containsText" text="RECHAZADA">
      <formula>NOT(ISERROR(SEARCH("RECHAZADA",K850)))</formula>
    </cfRule>
    <cfRule type="containsText" dxfId="6819" priority="6827" operator="containsText" text="Atendida">
      <formula>NOT(ISERROR(SEARCH("Atendida",K850)))</formula>
    </cfRule>
    <cfRule type="containsText" dxfId="6818" priority="6828" operator="containsText" text="Reasignación">
      <formula>NOT(ISERROR(SEARCH("Reasignación",K850)))</formula>
    </cfRule>
    <cfRule type="containsText" dxfId="6817" priority="6829" operator="containsText" text="RECHAZADA">
      <formula>NOT(ISERROR(SEARCH("RECHAZADA",K850)))</formula>
    </cfRule>
    <cfRule type="containsText" dxfId="6816" priority="6830" operator="containsText" text="Atendida">
      <formula>NOT(ISERROR(SEARCH("Atendida",K850)))</formula>
    </cfRule>
    <cfRule type="containsText" dxfId="6815" priority="6831" operator="containsText" text="Reasignación">
      <formula>NOT(ISERROR(SEARCH("Reasignación",K850)))</formula>
    </cfRule>
    <cfRule type="containsText" dxfId="6814" priority="6832" operator="containsText" text="RECHAZADA">
      <formula>NOT(ISERROR(SEARCH("RECHAZADA",K850)))</formula>
    </cfRule>
    <cfRule type="containsText" dxfId="6813" priority="6833" operator="containsText" text="Atendida">
      <formula>NOT(ISERROR(SEARCH("Atendida",K850)))</formula>
    </cfRule>
  </conditionalFormatting>
  <conditionalFormatting sqref="K850">
    <cfRule type="containsText" dxfId="6812" priority="6816" operator="containsText" text="Reasignación">
      <formula>NOT(ISERROR(SEARCH("Reasignación",K850)))</formula>
    </cfRule>
    <cfRule type="containsText" dxfId="6811" priority="6817" operator="containsText" text="RECHAZADA">
      <formula>NOT(ISERROR(SEARCH("RECHAZADA",K850)))</formula>
    </cfRule>
    <cfRule type="containsText" dxfId="6810" priority="6818" operator="containsText" text="Atendida">
      <formula>NOT(ISERROR(SEARCH("Atendida",K850)))</formula>
    </cfRule>
  </conditionalFormatting>
  <conditionalFormatting sqref="K850">
    <cfRule type="containsText" dxfId="6809" priority="6801" operator="containsText" text="Reasignación">
      <formula>NOT(ISERROR(SEARCH("Reasignación",K850)))</formula>
    </cfRule>
    <cfRule type="containsText" dxfId="6808" priority="6802" operator="containsText" text="RECHAZADA">
      <formula>NOT(ISERROR(SEARCH("RECHAZADA",K850)))</formula>
    </cfRule>
    <cfRule type="containsText" dxfId="6807" priority="6803" operator="containsText" text="Atendida">
      <formula>NOT(ISERROR(SEARCH("Atendida",K850)))</formula>
    </cfRule>
  </conditionalFormatting>
  <conditionalFormatting sqref="K850">
    <cfRule type="containsText" dxfId="6806" priority="6804" operator="containsText" text="Reasignación">
      <formula>NOT(ISERROR(SEARCH("Reasignación",K850)))</formula>
    </cfRule>
    <cfRule type="containsText" dxfId="6805" priority="6805" operator="containsText" text="RECHAZADA">
      <formula>NOT(ISERROR(SEARCH("RECHAZADA",K850)))</formula>
    </cfRule>
    <cfRule type="containsText" dxfId="6804" priority="6806" operator="containsText" text="Atendida">
      <formula>NOT(ISERROR(SEARCH("Atendida",K850)))</formula>
    </cfRule>
    <cfRule type="containsText" dxfId="6803" priority="6807" operator="containsText" text="Reasignación">
      <formula>NOT(ISERROR(SEARCH("Reasignación",K850)))</formula>
    </cfRule>
    <cfRule type="containsText" dxfId="6802" priority="6808" operator="containsText" text="RECHAZADA">
      <formula>NOT(ISERROR(SEARCH("RECHAZADA",K850)))</formula>
    </cfRule>
    <cfRule type="containsText" dxfId="6801" priority="6809" operator="containsText" text="Atendida">
      <formula>NOT(ISERROR(SEARCH("Atendida",K850)))</formula>
    </cfRule>
    <cfRule type="containsText" dxfId="6800" priority="6810" operator="containsText" text="Reasignación">
      <formula>NOT(ISERROR(SEARCH("Reasignación",K850)))</formula>
    </cfRule>
    <cfRule type="containsText" dxfId="6799" priority="6811" operator="containsText" text="RECHAZADA">
      <formula>NOT(ISERROR(SEARCH("RECHAZADA",K850)))</formula>
    </cfRule>
    <cfRule type="containsText" dxfId="6798" priority="6812" operator="containsText" text="Atendida">
      <formula>NOT(ISERROR(SEARCH("Atendida",K850)))</formula>
    </cfRule>
    <cfRule type="containsText" dxfId="6797" priority="6813" operator="containsText" text="Reasignación">
      <formula>NOT(ISERROR(SEARCH("Reasignación",K850)))</formula>
    </cfRule>
    <cfRule type="containsText" dxfId="6796" priority="6814" operator="containsText" text="RECHAZADA">
      <formula>NOT(ISERROR(SEARCH("RECHAZADA",K850)))</formula>
    </cfRule>
    <cfRule type="containsText" dxfId="6795" priority="6815" operator="containsText" text="Atendida">
      <formula>NOT(ISERROR(SEARCH("Atendida",K850)))</formula>
    </cfRule>
  </conditionalFormatting>
  <conditionalFormatting sqref="K850">
    <cfRule type="containsText" dxfId="6794" priority="6819" operator="containsText" text="Reasignación">
      <formula>NOT(ISERROR(SEARCH("Reasignación",K850)))</formula>
    </cfRule>
    <cfRule type="containsText" dxfId="6793" priority="6820" operator="containsText" text="RECHAZADA">
      <formula>NOT(ISERROR(SEARCH("RECHAZADA",K850)))</formula>
    </cfRule>
    <cfRule type="containsText" dxfId="6792" priority="6821" operator="containsText" text="Atendida">
      <formula>NOT(ISERROR(SEARCH("Atendida",K850)))</formula>
    </cfRule>
  </conditionalFormatting>
  <conditionalFormatting sqref="K851">
    <cfRule type="containsText" dxfId="6791" priority="6789" operator="containsText" text="Reasignación">
      <formula>NOT(ISERROR(SEARCH("Reasignación",K851)))</formula>
    </cfRule>
    <cfRule type="containsText" dxfId="6790" priority="6790" operator="containsText" text="RECHAZADA">
      <formula>NOT(ISERROR(SEARCH("RECHAZADA",K851)))</formula>
    </cfRule>
    <cfRule type="containsText" dxfId="6789" priority="6791" operator="containsText" text="Atendida">
      <formula>NOT(ISERROR(SEARCH("Atendida",K851)))</formula>
    </cfRule>
    <cfRule type="containsText" dxfId="6788" priority="6792" operator="containsText" text="Reasignación">
      <formula>NOT(ISERROR(SEARCH("Reasignación",K851)))</formula>
    </cfRule>
    <cfRule type="containsText" dxfId="6787" priority="6793" operator="containsText" text="RECHAZADA">
      <formula>NOT(ISERROR(SEARCH("RECHAZADA",K851)))</formula>
    </cfRule>
    <cfRule type="containsText" dxfId="6786" priority="6794" operator="containsText" text="Atendida">
      <formula>NOT(ISERROR(SEARCH("Atendida",K851)))</formula>
    </cfRule>
    <cfRule type="containsText" dxfId="6785" priority="6795" operator="containsText" text="Reasignación">
      <formula>NOT(ISERROR(SEARCH("Reasignación",K851)))</formula>
    </cfRule>
    <cfRule type="containsText" dxfId="6784" priority="6796" operator="containsText" text="RECHAZADA">
      <formula>NOT(ISERROR(SEARCH("RECHAZADA",K851)))</formula>
    </cfRule>
    <cfRule type="containsText" dxfId="6783" priority="6797" operator="containsText" text="Atendida">
      <formula>NOT(ISERROR(SEARCH("Atendida",K851)))</formula>
    </cfRule>
    <cfRule type="containsText" dxfId="6782" priority="6798" operator="containsText" text="Reasignación">
      <formula>NOT(ISERROR(SEARCH("Reasignación",K851)))</formula>
    </cfRule>
    <cfRule type="containsText" dxfId="6781" priority="6799" operator="containsText" text="RECHAZADA">
      <formula>NOT(ISERROR(SEARCH("RECHAZADA",K851)))</formula>
    </cfRule>
    <cfRule type="containsText" dxfId="6780" priority="6800" operator="containsText" text="Atendida">
      <formula>NOT(ISERROR(SEARCH("Atendida",K851)))</formula>
    </cfRule>
  </conditionalFormatting>
  <conditionalFormatting sqref="K851">
    <cfRule type="containsText" dxfId="6779" priority="6777" operator="containsText" text="Reasignación">
      <formula>NOT(ISERROR(SEARCH("Reasignación",K851)))</formula>
    </cfRule>
    <cfRule type="containsText" dxfId="6778" priority="6778" operator="containsText" text="RECHAZADA">
      <formula>NOT(ISERROR(SEARCH("RECHAZADA",K851)))</formula>
    </cfRule>
    <cfRule type="containsText" dxfId="6777" priority="6779" operator="containsText" text="Atendida">
      <formula>NOT(ISERROR(SEARCH("Atendida",K851)))</formula>
    </cfRule>
    <cfRule type="containsText" dxfId="6776" priority="6780" operator="containsText" text="Reasignación">
      <formula>NOT(ISERROR(SEARCH("Reasignación",K851)))</formula>
    </cfRule>
    <cfRule type="containsText" dxfId="6775" priority="6781" operator="containsText" text="RECHAZADA">
      <formula>NOT(ISERROR(SEARCH("RECHAZADA",K851)))</formula>
    </cfRule>
    <cfRule type="containsText" dxfId="6774" priority="6782" operator="containsText" text="Atendida">
      <formula>NOT(ISERROR(SEARCH("Atendida",K851)))</formula>
    </cfRule>
    <cfRule type="containsText" dxfId="6773" priority="6783" operator="containsText" text="Reasignación">
      <formula>NOT(ISERROR(SEARCH("Reasignación",K851)))</formula>
    </cfRule>
    <cfRule type="containsText" dxfId="6772" priority="6784" operator="containsText" text="RECHAZADA">
      <formula>NOT(ISERROR(SEARCH("RECHAZADA",K851)))</formula>
    </cfRule>
    <cfRule type="containsText" dxfId="6771" priority="6785" operator="containsText" text="Atendida">
      <formula>NOT(ISERROR(SEARCH("Atendida",K851)))</formula>
    </cfRule>
    <cfRule type="containsText" dxfId="6770" priority="6786" operator="containsText" text="Reasignación">
      <formula>NOT(ISERROR(SEARCH("Reasignación",K851)))</formula>
    </cfRule>
    <cfRule type="containsText" dxfId="6769" priority="6787" operator="containsText" text="RECHAZADA">
      <formula>NOT(ISERROR(SEARCH("RECHAZADA",K851)))</formula>
    </cfRule>
    <cfRule type="containsText" dxfId="6768" priority="6788" operator="containsText" text="Atendida">
      <formula>NOT(ISERROR(SEARCH("Atendida",K851)))</formula>
    </cfRule>
  </conditionalFormatting>
  <conditionalFormatting sqref="K851">
    <cfRule type="containsText" dxfId="6767" priority="6771" operator="containsText" text="Reasignación">
      <formula>NOT(ISERROR(SEARCH("Reasignación",K851)))</formula>
    </cfRule>
    <cfRule type="containsText" dxfId="6766" priority="6772" operator="containsText" text="RECHAZADA">
      <formula>NOT(ISERROR(SEARCH("RECHAZADA",K851)))</formula>
    </cfRule>
    <cfRule type="containsText" dxfId="6765" priority="6773" operator="containsText" text="Atendida">
      <formula>NOT(ISERROR(SEARCH("Atendida",K851)))</formula>
    </cfRule>
  </conditionalFormatting>
  <conditionalFormatting sqref="K851">
    <cfRule type="containsText" dxfId="6764" priority="6756" operator="containsText" text="Reasignación">
      <formula>NOT(ISERROR(SEARCH("Reasignación",K851)))</formula>
    </cfRule>
    <cfRule type="containsText" dxfId="6763" priority="6757" operator="containsText" text="RECHAZADA">
      <formula>NOT(ISERROR(SEARCH("RECHAZADA",K851)))</formula>
    </cfRule>
    <cfRule type="containsText" dxfId="6762" priority="6758" operator="containsText" text="Atendida">
      <formula>NOT(ISERROR(SEARCH("Atendida",K851)))</formula>
    </cfRule>
  </conditionalFormatting>
  <conditionalFormatting sqref="K851">
    <cfRule type="containsText" dxfId="6761" priority="6759" operator="containsText" text="Reasignación">
      <formula>NOT(ISERROR(SEARCH("Reasignación",K851)))</formula>
    </cfRule>
    <cfRule type="containsText" dxfId="6760" priority="6760" operator="containsText" text="RECHAZADA">
      <formula>NOT(ISERROR(SEARCH("RECHAZADA",K851)))</formula>
    </cfRule>
    <cfRule type="containsText" dxfId="6759" priority="6761" operator="containsText" text="Atendida">
      <formula>NOT(ISERROR(SEARCH("Atendida",K851)))</formula>
    </cfRule>
    <cfRule type="containsText" dxfId="6758" priority="6762" operator="containsText" text="Reasignación">
      <formula>NOT(ISERROR(SEARCH("Reasignación",K851)))</formula>
    </cfRule>
    <cfRule type="containsText" dxfId="6757" priority="6763" operator="containsText" text="RECHAZADA">
      <formula>NOT(ISERROR(SEARCH("RECHAZADA",K851)))</formula>
    </cfRule>
    <cfRule type="containsText" dxfId="6756" priority="6764" operator="containsText" text="Atendida">
      <formula>NOT(ISERROR(SEARCH("Atendida",K851)))</formula>
    </cfRule>
    <cfRule type="containsText" dxfId="6755" priority="6765" operator="containsText" text="Reasignación">
      <formula>NOT(ISERROR(SEARCH("Reasignación",K851)))</formula>
    </cfRule>
    <cfRule type="containsText" dxfId="6754" priority="6766" operator="containsText" text="RECHAZADA">
      <formula>NOT(ISERROR(SEARCH("RECHAZADA",K851)))</formula>
    </cfRule>
    <cfRule type="containsText" dxfId="6753" priority="6767" operator="containsText" text="Atendida">
      <formula>NOT(ISERROR(SEARCH("Atendida",K851)))</formula>
    </cfRule>
    <cfRule type="containsText" dxfId="6752" priority="6768" operator="containsText" text="Reasignación">
      <formula>NOT(ISERROR(SEARCH("Reasignación",K851)))</formula>
    </cfRule>
    <cfRule type="containsText" dxfId="6751" priority="6769" operator="containsText" text="RECHAZADA">
      <formula>NOT(ISERROR(SEARCH("RECHAZADA",K851)))</formula>
    </cfRule>
    <cfRule type="containsText" dxfId="6750" priority="6770" operator="containsText" text="Atendida">
      <formula>NOT(ISERROR(SEARCH("Atendida",K851)))</formula>
    </cfRule>
  </conditionalFormatting>
  <conditionalFormatting sqref="K851">
    <cfRule type="containsText" dxfId="6749" priority="6774" operator="containsText" text="Reasignación">
      <formula>NOT(ISERROR(SEARCH("Reasignación",K851)))</formula>
    </cfRule>
    <cfRule type="containsText" dxfId="6748" priority="6775" operator="containsText" text="RECHAZADA">
      <formula>NOT(ISERROR(SEARCH("RECHAZADA",K851)))</formula>
    </cfRule>
    <cfRule type="containsText" dxfId="6747" priority="6776" operator="containsText" text="Atendida">
      <formula>NOT(ISERROR(SEARCH("Atendida",K851)))</formula>
    </cfRule>
  </conditionalFormatting>
  <conditionalFormatting sqref="K850">
    <cfRule type="containsText" dxfId="6746" priority="6744" operator="containsText" text="Reasignación">
      <formula>NOT(ISERROR(SEARCH("Reasignación",K850)))</formula>
    </cfRule>
    <cfRule type="containsText" dxfId="6745" priority="6745" operator="containsText" text="RECHAZADA">
      <formula>NOT(ISERROR(SEARCH("RECHAZADA",K850)))</formula>
    </cfRule>
    <cfRule type="containsText" dxfId="6744" priority="6746" operator="containsText" text="Atendida">
      <formula>NOT(ISERROR(SEARCH("Atendida",K850)))</formula>
    </cfRule>
    <cfRule type="containsText" dxfId="6743" priority="6747" operator="containsText" text="Reasignación">
      <formula>NOT(ISERROR(SEARCH("Reasignación",K850)))</formula>
    </cfRule>
    <cfRule type="containsText" dxfId="6742" priority="6748" operator="containsText" text="RECHAZADA">
      <formula>NOT(ISERROR(SEARCH("RECHAZADA",K850)))</formula>
    </cfRule>
    <cfRule type="containsText" dxfId="6741" priority="6749" operator="containsText" text="Atendida">
      <formula>NOT(ISERROR(SEARCH("Atendida",K850)))</formula>
    </cfRule>
    <cfRule type="containsText" dxfId="6740" priority="6750" operator="containsText" text="Reasignación">
      <formula>NOT(ISERROR(SEARCH("Reasignación",K850)))</formula>
    </cfRule>
    <cfRule type="containsText" dxfId="6739" priority="6751" operator="containsText" text="RECHAZADA">
      <formula>NOT(ISERROR(SEARCH("RECHAZADA",K850)))</formula>
    </cfRule>
    <cfRule type="containsText" dxfId="6738" priority="6752" operator="containsText" text="Atendida">
      <formula>NOT(ISERROR(SEARCH("Atendida",K850)))</formula>
    </cfRule>
    <cfRule type="containsText" dxfId="6737" priority="6753" operator="containsText" text="Reasignación">
      <formula>NOT(ISERROR(SEARCH("Reasignación",K850)))</formula>
    </cfRule>
    <cfRule type="containsText" dxfId="6736" priority="6754" operator="containsText" text="RECHAZADA">
      <formula>NOT(ISERROR(SEARCH("RECHAZADA",K850)))</formula>
    </cfRule>
    <cfRule type="containsText" dxfId="6735" priority="6755" operator="containsText" text="Atendida">
      <formula>NOT(ISERROR(SEARCH("Atendida",K850)))</formula>
    </cfRule>
  </conditionalFormatting>
  <conditionalFormatting sqref="K850">
    <cfRule type="containsText" dxfId="6734" priority="6738" operator="containsText" text="Reasignación">
      <formula>NOT(ISERROR(SEARCH("Reasignación",K850)))</formula>
    </cfRule>
    <cfRule type="containsText" dxfId="6733" priority="6739" operator="containsText" text="RECHAZADA">
      <formula>NOT(ISERROR(SEARCH("RECHAZADA",K850)))</formula>
    </cfRule>
    <cfRule type="containsText" dxfId="6732" priority="6740" operator="containsText" text="Atendida">
      <formula>NOT(ISERROR(SEARCH("Atendida",K850)))</formula>
    </cfRule>
  </conditionalFormatting>
  <conditionalFormatting sqref="K850">
    <cfRule type="containsText" dxfId="6731" priority="6723" operator="containsText" text="Reasignación">
      <formula>NOT(ISERROR(SEARCH("Reasignación",K850)))</formula>
    </cfRule>
    <cfRule type="containsText" dxfId="6730" priority="6724" operator="containsText" text="RECHAZADA">
      <formula>NOT(ISERROR(SEARCH("RECHAZADA",K850)))</formula>
    </cfRule>
    <cfRule type="containsText" dxfId="6729" priority="6725" operator="containsText" text="Atendida">
      <formula>NOT(ISERROR(SEARCH("Atendida",K850)))</formula>
    </cfRule>
  </conditionalFormatting>
  <conditionalFormatting sqref="K850">
    <cfRule type="containsText" dxfId="6728" priority="6726" operator="containsText" text="Reasignación">
      <formula>NOT(ISERROR(SEARCH("Reasignación",K850)))</formula>
    </cfRule>
    <cfRule type="containsText" dxfId="6727" priority="6727" operator="containsText" text="RECHAZADA">
      <formula>NOT(ISERROR(SEARCH("RECHAZADA",K850)))</formula>
    </cfRule>
    <cfRule type="containsText" dxfId="6726" priority="6728" operator="containsText" text="Atendida">
      <formula>NOT(ISERROR(SEARCH("Atendida",K850)))</formula>
    </cfRule>
    <cfRule type="containsText" dxfId="6725" priority="6729" operator="containsText" text="Reasignación">
      <formula>NOT(ISERROR(SEARCH("Reasignación",K850)))</formula>
    </cfRule>
    <cfRule type="containsText" dxfId="6724" priority="6730" operator="containsText" text="RECHAZADA">
      <formula>NOT(ISERROR(SEARCH("RECHAZADA",K850)))</formula>
    </cfRule>
    <cfRule type="containsText" dxfId="6723" priority="6731" operator="containsText" text="Atendida">
      <formula>NOT(ISERROR(SEARCH("Atendida",K850)))</formula>
    </cfRule>
    <cfRule type="containsText" dxfId="6722" priority="6732" operator="containsText" text="Reasignación">
      <formula>NOT(ISERROR(SEARCH("Reasignación",K850)))</formula>
    </cfRule>
    <cfRule type="containsText" dxfId="6721" priority="6733" operator="containsText" text="RECHAZADA">
      <formula>NOT(ISERROR(SEARCH("RECHAZADA",K850)))</formula>
    </cfRule>
    <cfRule type="containsText" dxfId="6720" priority="6734" operator="containsText" text="Atendida">
      <formula>NOT(ISERROR(SEARCH("Atendida",K850)))</formula>
    </cfRule>
    <cfRule type="containsText" dxfId="6719" priority="6735" operator="containsText" text="Reasignación">
      <formula>NOT(ISERROR(SEARCH("Reasignación",K850)))</formula>
    </cfRule>
    <cfRule type="containsText" dxfId="6718" priority="6736" operator="containsText" text="RECHAZADA">
      <formula>NOT(ISERROR(SEARCH("RECHAZADA",K850)))</formula>
    </cfRule>
    <cfRule type="containsText" dxfId="6717" priority="6737" operator="containsText" text="Atendida">
      <formula>NOT(ISERROR(SEARCH("Atendida",K850)))</formula>
    </cfRule>
  </conditionalFormatting>
  <conditionalFormatting sqref="K850">
    <cfRule type="containsText" dxfId="6716" priority="6741" operator="containsText" text="Reasignación">
      <formula>NOT(ISERROR(SEARCH("Reasignación",K850)))</formula>
    </cfRule>
    <cfRule type="containsText" dxfId="6715" priority="6742" operator="containsText" text="RECHAZADA">
      <formula>NOT(ISERROR(SEARCH("RECHAZADA",K850)))</formula>
    </cfRule>
    <cfRule type="containsText" dxfId="6714" priority="6743" operator="containsText" text="Atendida">
      <formula>NOT(ISERROR(SEARCH("Atendida",K850)))</formula>
    </cfRule>
  </conditionalFormatting>
  <conditionalFormatting sqref="K850">
    <cfRule type="containsText" dxfId="6713" priority="6711" operator="containsText" text="Reasignación">
      <formula>NOT(ISERROR(SEARCH("Reasignación",K850)))</formula>
    </cfRule>
    <cfRule type="containsText" dxfId="6712" priority="6712" operator="containsText" text="RECHAZADA">
      <formula>NOT(ISERROR(SEARCH("RECHAZADA",K850)))</formula>
    </cfRule>
    <cfRule type="containsText" dxfId="6711" priority="6713" operator="containsText" text="Atendida">
      <formula>NOT(ISERROR(SEARCH("Atendida",K850)))</formula>
    </cfRule>
    <cfRule type="containsText" dxfId="6710" priority="6714" operator="containsText" text="Reasignación">
      <formula>NOT(ISERROR(SEARCH("Reasignación",K850)))</formula>
    </cfRule>
    <cfRule type="containsText" dxfId="6709" priority="6715" operator="containsText" text="RECHAZADA">
      <formula>NOT(ISERROR(SEARCH("RECHAZADA",K850)))</formula>
    </cfRule>
    <cfRule type="containsText" dxfId="6708" priority="6716" operator="containsText" text="Atendida">
      <formula>NOT(ISERROR(SEARCH("Atendida",K850)))</formula>
    </cfRule>
    <cfRule type="containsText" dxfId="6707" priority="6717" operator="containsText" text="Reasignación">
      <formula>NOT(ISERROR(SEARCH("Reasignación",K850)))</formula>
    </cfRule>
    <cfRule type="containsText" dxfId="6706" priority="6718" operator="containsText" text="RECHAZADA">
      <formula>NOT(ISERROR(SEARCH("RECHAZADA",K850)))</formula>
    </cfRule>
    <cfRule type="containsText" dxfId="6705" priority="6719" operator="containsText" text="Atendida">
      <formula>NOT(ISERROR(SEARCH("Atendida",K850)))</formula>
    </cfRule>
    <cfRule type="containsText" dxfId="6704" priority="6720" operator="containsText" text="Reasignación">
      <formula>NOT(ISERROR(SEARCH("Reasignación",K850)))</formula>
    </cfRule>
    <cfRule type="containsText" dxfId="6703" priority="6721" operator="containsText" text="RECHAZADA">
      <formula>NOT(ISERROR(SEARCH("RECHAZADA",K850)))</formula>
    </cfRule>
    <cfRule type="containsText" dxfId="6702" priority="6722" operator="containsText" text="Atendida">
      <formula>NOT(ISERROR(SEARCH("Atendida",K850)))</formula>
    </cfRule>
  </conditionalFormatting>
  <conditionalFormatting sqref="K850">
    <cfRule type="containsText" dxfId="6701" priority="6699" operator="containsText" text="Reasignación">
      <formula>NOT(ISERROR(SEARCH("Reasignación",K850)))</formula>
    </cfRule>
    <cfRule type="containsText" dxfId="6700" priority="6700" operator="containsText" text="RECHAZADA">
      <formula>NOT(ISERROR(SEARCH("RECHAZADA",K850)))</formula>
    </cfRule>
    <cfRule type="containsText" dxfId="6699" priority="6701" operator="containsText" text="Atendida">
      <formula>NOT(ISERROR(SEARCH("Atendida",K850)))</formula>
    </cfRule>
    <cfRule type="containsText" dxfId="6698" priority="6702" operator="containsText" text="Reasignación">
      <formula>NOT(ISERROR(SEARCH("Reasignación",K850)))</formula>
    </cfRule>
    <cfRule type="containsText" dxfId="6697" priority="6703" operator="containsText" text="RECHAZADA">
      <formula>NOT(ISERROR(SEARCH("RECHAZADA",K850)))</formula>
    </cfRule>
    <cfRule type="containsText" dxfId="6696" priority="6704" operator="containsText" text="Atendida">
      <formula>NOT(ISERROR(SEARCH("Atendida",K850)))</formula>
    </cfRule>
    <cfRule type="containsText" dxfId="6695" priority="6705" operator="containsText" text="Reasignación">
      <formula>NOT(ISERROR(SEARCH("Reasignación",K850)))</formula>
    </cfRule>
    <cfRule type="containsText" dxfId="6694" priority="6706" operator="containsText" text="RECHAZADA">
      <formula>NOT(ISERROR(SEARCH("RECHAZADA",K850)))</formula>
    </cfRule>
    <cfRule type="containsText" dxfId="6693" priority="6707" operator="containsText" text="Atendida">
      <formula>NOT(ISERROR(SEARCH("Atendida",K850)))</formula>
    </cfRule>
    <cfRule type="containsText" dxfId="6692" priority="6708" operator="containsText" text="Reasignación">
      <formula>NOT(ISERROR(SEARCH("Reasignación",K850)))</formula>
    </cfRule>
    <cfRule type="containsText" dxfId="6691" priority="6709" operator="containsText" text="RECHAZADA">
      <formula>NOT(ISERROR(SEARCH("RECHAZADA",K850)))</formula>
    </cfRule>
    <cfRule type="containsText" dxfId="6690" priority="6710" operator="containsText" text="Atendida">
      <formula>NOT(ISERROR(SEARCH("Atendida",K850)))</formula>
    </cfRule>
  </conditionalFormatting>
  <conditionalFormatting sqref="K850">
    <cfRule type="containsText" dxfId="6689" priority="6687" operator="containsText" text="Reasignación">
      <formula>NOT(ISERROR(SEARCH("Reasignación",K850)))</formula>
    </cfRule>
    <cfRule type="containsText" dxfId="6688" priority="6688" operator="containsText" text="RECHAZADA">
      <formula>NOT(ISERROR(SEARCH("RECHAZADA",K850)))</formula>
    </cfRule>
    <cfRule type="containsText" dxfId="6687" priority="6689" operator="containsText" text="Atendida">
      <formula>NOT(ISERROR(SEARCH("Atendida",K850)))</formula>
    </cfRule>
    <cfRule type="containsText" dxfId="6686" priority="6690" operator="containsText" text="Reasignación">
      <formula>NOT(ISERROR(SEARCH("Reasignación",K850)))</formula>
    </cfRule>
    <cfRule type="containsText" dxfId="6685" priority="6691" operator="containsText" text="RECHAZADA">
      <formula>NOT(ISERROR(SEARCH("RECHAZADA",K850)))</formula>
    </cfRule>
    <cfRule type="containsText" dxfId="6684" priority="6692" operator="containsText" text="Atendida">
      <formula>NOT(ISERROR(SEARCH("Atendida",K850)))</formula>
    </cfRule>
    <cfRule type="containsText" dxfId="6683" priority="6693" operator="containsText" text="Reasignación">
      <formula>NOT(ISERROR(SEARCH("Reasignación",K850)))</formula>
    </cfRule>
    <cfRule type="containsText" dxfId="6682" priority="6694" operator="containsText" text="RECHAZADA">
      <formula>NOT(ISERROR(SEARCH("RECHAZADA",K850)))</formula>
    </cfRule>
    <cfRule type="containsText" dxfId="6681" priority="6695" operator="containsText" text="Atendida">
      <formula>NOT(ISERROR(SEARCH("Atendida",K850)))</formula>
    </cfRule>
    <cfRule type="containsText" dxfId="6680" priority="6696" operator="containsText" text="Reasignación">
      <formula>NOT(ISERROR(SEARCH("Reasignación",K850)))</formula>
    </cfRule>
    <cfRule type="containsText" dxfId="6679" priority="6697" operator="containsText" text="RECHAZADA">
      <formula>NOT(ISERROR(SEARCH("RECHAZADA",K850)))</formula>
    </cfRule>
    <cfRule type="containsText" dxfId="6678" priority="6698" operator="containsText" text="Atendida">
      <formula>NOT(ISERROR(SEARCH("Atendida",K850)))</formula>
    </cfRule>
  </conditionalFormatting>
  <conditionalFormatting sqref="K850">
    <cfRule type="containsText" dxfId="6677" priority="6681" operator="containsText" text="Reasignación">
      <formula>NOT(ISERROR(SEARCH("Reasignación",K850)))</formula>
    </cfRule>
    <cfRule type="containsText" dxfId="6676" priority="6682" operator="containsText" text="RECHAZADA">
      <formula>NOT(ISERROR(SEARCH("RECHAZADA",K850)))</formula>
    </cfRule>
    <cfRule type="containsText" dxfId="6675" priority="6683" operator="containsText" text="Atendida">
      <formula>NOT(ISERROR(SEARCH("Atendida",K850)))</formula>
    </cfRule>
  </conditionalFormatting>
  <conditionalFormatting sqref="K850">
    <cfRule type="containsText" dxfId="6674" priority="6666" operator="containsText" text="Reasignación">
      <formula>NOT(ISERROR(SEARCH("Reasignación",K850)))</formula>
    </cfRule>
    <cfRule type="containsText" dxfId="6673" priority="6667" operator="containsText" text="RECHAZADA">
      <formula>NOT(ISERROR(SEARCH("RECHAZADA",K850)))</formula>
    </cfRule>
    <cfRule type="containsText" dxfId="6672" priority="6668" operator="containsText" text="Atendida">
      <formula>NOT(ISERROR(SEARCH("Atendida",K850)))</formula>
    </cfRule>
  </conditionalFormatting>
  <conditionalFormatting sqref="K850">
    <cfRule type="containsText" dxfId="6671" priority="6669" operator="containsText" text="Reasignación">
      <formula>NOT(ISERROR(SEARCH("Reasignación",K850)))</formula>
    </cfRule>
    <cfRule type="containsText" dxfId="6670" priority="6670" operator="containsText" text="RECHAZADA">
      <formula>NOT(ISERROR(SEARCH("RECHAZADA",K850)))</formula>
    </cfRule>
    <cfRule type="containsText" dxfId="6669" priority="6671" operator="containsText" text="Atendida">
      <formula>NOT(ISERROR(SEARCH("Atendida",K850)))</formula>
    </cfRule>
    <cfRule type="containsText" dxfId="6668" priority="6672" operator="containsText" text="Reasignación">
      <formula>NOT(ISERROR(SEARCH("Reasignación",K850)))</formula>
    </cfRule>
    <cfRule type="containsText" dxfId="6667" priority="6673" operator="containsText" text="RECHAZADA">
      <formula>NOT(ISERROR(SEARCH("RECHAZADA",K850)))</formula>
    </cfRule>
    <cfRule type="containsText" dxfId="6666" priority="6674" operator="containsText" text="Atendida">
      <formula>NOT(ISERROR(SEARCH("Atendida",K850)))</formula>
    </cfRule>
    <cfRule type="containsText" dxfId="6665" priority="6675" operator="containsText" text="Reasignación">
      <formula>NOT(ISERROR(SEARCH("Reasignación",K850)))</formula>
    </cfRule>
    <cfRule type="containsText" dxfId="6664" priority="6676" operator="containsText" text="RECHAZADA">
      <formula>NOT(ISERROR(SEARCH("RECHAZADA",K850)))</formula>
    </cfRule>
    <cfRule type="containsText" dxfId="6663" priority="6677" operator="containsText" text="Atendida">
      <formula>NOT(ISERROR(SEARCH("Atendida",K850)))</formula>
    </cfRule>
    <cfRule type="containsText" dxfId="6662" priority="6678" operator="containsText" text="Reasignación">
      <formula>NOT(ISERROR(SEARCH("Reasignación",K850)))</formula>
    </cfRule>
    <cfRule type="containsText" dxfId="6661" priority="6679" operator="containsText" text="RECHAZADA">
      <formula>NOT(ISERROR(SEARCH("RECHAZADA",K850)))</formula>
    </cfRule>
    <cfRule type="containsText" dxfId="6660" priority="6680" operator="containsText" text="Atendida">
      <formula>NOT(ISERROR(SEARCH("Atendida",K850)))</formula>
    </cfRule>
  </conditionalFormatting>
  <conditionalFormatting sqref="K850">
    <cfRule type="containsText" dxfId="6659" priority="6684" operator="containsText" text="Reasignación">
      <formula>NOT(ISERROR(SEARCH("Reasignación",K850)))</formula>
    </cfRule>
    <cfRule type="containsText" dxfId="6658" priority="6685" operator="containsText" text="RECHAZADA">
      <formula>NOT(ISERROR(SEARCH("RECHAZADA",K850)))</formula>
    </cfRule>
    <cfRule type="containsText" dxfId="6657" priority="6686" operator="containsText" text="Atendida">
      <formula>NOT(ISERROR(SEARCH("Atendida",K850)))</formula>
    </cfRule>
  </conditionalFormatting>
  <conditionalFormatting sqref="K850">
    <cfRule type="containsText" dxfId="6656" priority="6654" operator="containsText" text="Reasignación">
      <formula>NOT(ISERROR(SEARCH("Reasignación",K850)))</formula>
    </cfRule>
    <cfRule type="containsText" dxfId="6655" priority="6655" operator="containsText" text="RECHAZADA">
      <formula>NOT(ISERROR(SEARCH("RECHAZADA",K850)))</formula>
    </cfRule>
    <cfRule type="containsText" dxfId="6654" priority="6656" operator="containsText" text="Atendida">
      <formula>NOT(ISERROR(SEARCH("Atendida",K850)))</formula>
    </cfRule>
    <cfRule type="containsText" dxfId="6653" priority="6657" operator="containsText" text="Reasignación">
      <formula>NOT(ISERROR(SEARCH("Reasignación",K850)))</formula>
    </cfRule>
    <cfRule type="containsText" dxfId="6652" priority="6658" operator="containsText" text="RECHAZADA">
      <formula>NOT(ISERROR(SEARCH("RECHAZADA",K850)))</formula>
    </cfRule>
    <cfRule type="containsText" dxfId="6651" priority="6659" operator="containsText" text="Atendida">
      <formula>NOT(ISERROR(SEARCH("Atendida",K850)))</formula>
    </cfRule>
    <cfRule type="containsText" dxfId="6650" priority="6660" operator="containsText" text="Reasignación">
      <formula>NOT(ISERROR(SEARCH("Reasignación",K850)))</formula>
    </cfRule>
    <cfRule type="containsText" dxfId="6649" priority="6661" operator="containsText" text="RECHAZADA">
      <formula>NOT(ISERROR(SEARCH("RECHAZADA",K850)))</formula>
    </cfRule>
    <cfRule type="containsText" dxfId="6648" priority="6662" operator="containsText" text="Atendida">
      <formula>NOT(ISERROR(SEARCH("Atendida",K850)))</formula>
    </cfRule>
    <cfRule type="containsText" dxfId="6647" priority="6663" operator="containsText" text="Reasignación">
      <formula>NOT(ISERROR(SEARCH("Reasignación",K850)))</formula>
    </cfRule>
    <cfRule type="containsText" dxfId="6646" priority="6664" operator="containsText" text="RECHAZADA">
      <formula>NOT(ISERROR(SEARCH("RECHAZADA",K850)))</formula>
    </cfRule>
    <cfRule type="containsText" dxfId="6645" priority="6665" operator="containsText" text="Atendida">
      <formula>NOT(ISERROR(SEARCH("Atendida",K850)))</formula>
    </cfRule>
  </conditionalFormatting>
  <conditionalFormatting sqref="K850">
    <cfRule type="containsText" dxfId="6644" priority="6642" operator="containsText" text="Reasignación">
      <formula>NOT(ISERROR(SEARCH("Reasignación",K850)))</formula>
    </cfRule>
    <cfRule type="containsText" dxfId="6643" priority="6643" operator="containsText" text="RECHAZADA">
      <formula>NOT(ISERROR(SEARCH("RECHAZADA",K850)))</formula>
    </cfRule>
    <cfRule type="containsText" dxfId="6642" priority="6644" operator="containsText" text="Atendida">
      <formula>NOT(ISERROR(SEARCH("Atendida",K850)))</formula>
    </cfRule>
    <cfRule type="containsText" dxfId="6641" priority="6645" operator="containsText" text="Reasignación">
      <formula>NOT(ISERROR(SEARCH("Reasignación",K850)))</formula>
    </cfRule>
    <cfRule type="containsText" dxfId="6640" priority="6646" operator="containsText" text="RECHAZADA">
      <formula>NOT(ISERROR(SEARCH("RECHAZADA",K850)))</formula>
    </cfRule>
    <cfRule type="containsText" dxfId="6639" priority="6647" operator="containsText" text="Atendida">
      <formula>NOT(ISERROR(SEARCH("Atendida",K850)))</formula>
    </cfRule>
    <cfRule type="containsText" dxfId="6638" priority="6648" operator="containsText" text="Reasignación">
      <formula>NOT(ISERROR(SEARCH("Reasignación",K850)))</formula>
    </cfRule>
    <cfRule type="containsText" dxfId="6637" priority="6649" operator="containsText" text="RECHAZADA">
      <formula>NOT(ISERROR(SEARCH("RECHAZADA",K850)))</formula>
    </cfRule>
    <cfRule type="containsText" dxfId="6636" priority="6650" operator="containsText" text="Atendida">
      <formula>NOT(ISERROR(SEARCH("Atendida",K850)))</formula>
    </cfRule>
    <cfRule type="containsText" dxfId="6635" priority="6651" operator="containsText" text="Reasignación">
      <formula>NOT(ISERROR(SEARCH("Reasignación",K850)))</formula>
    </cfRule>
    <cfRule type="containsText" dxfId="6634" priority="6652" operator="containsText" text="RECHAZADA">
      <formula>NOT(ISERROR(SEARCH("RECHAZADA",K850)))</formula>
    </cfRule>
    <cfRule type="containsText" dxfId="6633" priority="6653" operator="containsText" text="Atendida">
      <formula>NOT(ISERROR(SEARCH("Atendida",K850)))</formula>
    </cfRule>
  </conditionalFormatting>
  <conditionalFormatting sqref="K850">
    <cfRule type="containsText" dxfId="6632" priority="6630" operator="containsText" text="Reasignación">
      <formula>NOT(ISERROR(SEARCH("Reasignación",K850)))</formula>
    </cfRule>
    <cfRule type="containsText" dxfId="6631" priority="6631" operator="containsText" text="RECHAZADA">
      <formula>NOT(ISERROR(SEARCH("RECHAZADA",K850)))</formula>
    </cfRule>
    <cfRule type="containsText" dxfId="6630" priority="6632" operator="containsText" text="Atendida">
      <formula>NOT(ISERROR(SEARCH("Atendida",K850)))</formula>
    </cfRule>
    <cfRule type="containsText" dxfId="6629" priority="6633" operator="containsText" text="Reasignación">
      <formula>NOT(ISERROR(SEARCH("Reasignación",K850)))</formula>
    </cfRule>
    <cfRule type="containsText" dxfId="6628" priority="6634" operator="containsText" text="RECHAZADA">
      <formula>NOT(ISERROR(SEARCH("RECHAZADA",K850)))</formula>
    </cfRule>
    <cfRule type="containsText" dxfId="6627" priority="6635" operator="containsText" text="Atendida">
      <formula>NOT(ISERROR(SEARCH("Atendida",K850)))</formula>
    </cfRule>
    <cfRule type="containsText" dxfId="6626" priority="6636" operator="containsText" text="Reasignación">
      <formula>NOT(ISERROR(SEARCH("Reasignación",K850)))</formula>
    </cfRule>
    <cfRule type="containsText" dxfId="6625" priority="6637" operator="containsText" text="RECHAZADA">
      <formula>NOT(ISERROR(SEARCH("RECHAZADA",K850)))</formula>
    </cfRule>
    <cfRule type="containsText" dxfId="6624" priority="6638" operator="containsText" text="Atendida">
      <formula>NOT(ISERROR(SEARCH("Atendida",K850)))</formula>
    </cfRule>
    <cfRule type="containsText" dxfId="6623" priority="6639" operator="containsText" text="Reasignación">
      <formula>NOT(ISERROR(SEARCH("Reasignación",K850)))</formula>
    </cfRule>
    <cfRule type="containsText" dxfId="6622" priority="6640" operator="containsText" text="RECHAZADA">
      <formula>NOT(ISERROR(SEARCH("RECHAZADA",K850)))</formula>
    </cfRule>
    <cfRule type="containsText" dxfId="6621" priority="6641" operator="containsText" text="Atendida">
      <formula>NOT(ISERROR(SEARCH("Atendida",K850)))</formula>
    </cfRule>
  </conditionalFormatting>
  <conditionalFormatting sqref="K850">
    <cfRule type="containsText" dxfId="6620" priority="6624" operator="containsText" text="Reasignación">
      <formula>NOT(ISERROR(SEARCH("Reasignación",K850)))</formula>
    </cfRule>
    <cfRule type="containsText" dxfId="6619" priority="6625" operator="containsText" text="RECHAZADA">
      <formula>NOT(ISERROR(SEARCH("RECHAZADA",K850)))</formula>
    </cfRule>
    <cfRule type="containsText" dxfId="6618" priority="6626" operator="containsText" text="Atendida">
      <formula>NOT(ISERROR(SEARCH("Atendida",K850)))</formula>
    </cfRule>
  </conditionalFormatting>
  <conditionalFormatting sqref="K850">
    <cfRule type="containsText" dxfId="6617" priority="6609" operator="containsText" text="Reasignación">
      <formula>NOT(ISERROR(SEARCH("Reasignación",K850)))</formula>
    </cfRule>
    <cfRule type="containsText" dxfId="6616" priority="6610" operator="containsText" text="RECHAZADA">
      <formula>NOT(ISERROR(SEARCH("RECHAZADA",K850)))</formula>
    </cfRule>
    <cfRule type="containsText" dxfId="6615" priority="6611" operator="containsText" text="Atendida">
      <formula>NOT(ISERROR(SEARCH("Atendida",K850)))</formula>
    </cfRule>
  </conditionalFormatting>
  <conditionalFormatting sqref="K850">
    <cfRule type="containsText" dxfId="6614" priority="6612" operator="containsText" text="Reasignación">
      <formula>NOT(ISERROR(SEARCH("Reasignación",K850)))</formula>
    </cfRule>
    <cfRule type="containsText" dxfId="6613" priority="6613" operator="containsText" text="RECHAZADA">
      <formula>NOT(ISERROR(SEARCH("RECHAZADA",K850)))</formula>
    </cfRule>
    <cfRule type="containsText" dxfId="6612" priority="6614" operator="containsText" text="Atendida">
      <formula>NOT(ISERROR(SEARCH("Atendida",K850)))</formula>
    </cfRule>
    <cfRule type="containsText" dxfId="6611" priority="6615" operator="containsText" text="Reasignación">
      <formula>NOT(ISERROR(SEARCH("Reasignación",K850)))</formula>
    </cfRule>
    <cfRule type="containsText" dxfId="6610" priority="6616" operator="containsText" text="RECHAZADA">
      <formula>NOT(ISERROR(SEARCH("RECHAZADA",K850)))</formula>
    </cfRule>
    <cfRule type="containsText" dxfId="6609" priority="6617" operator="containsText" text="Atendida">
      <formula>NOT(ISERROR(SEARCH("Atendida",K850)))</formula>
    </cfRule>
    <cfRule type="containsText" dxfId="6608" priority="6618" operator="containsText" text="Reasignación">
      <formula>NOT(ISERROR(SEARCH("Reasignación",K850)))</formula>
    </cfRule>
    <cfRule type="containsText" dxfId="6607" priority="6619" operator="containsText" text="RECHAZADA">
      <formula>NOT(ISERROR(SEARCH("RECHAZADA",K850)))</formula>
    </cfRule>
    <cfRule type="containsText" dxfId="6606" priority="6620" operator="containsText" text="Atendida">
      <formula>NOT(ISERROR(SEARCH("Atendida",K850)))</formula>
    </cfRule>
    <cfRule type="containsText" dxfId="6605" priority="6621" operator="containsText" text="Reasignación">
      <formula>NOT(ISERROR(SEARCH("Reasignación",K850)))</formula>
    </cfRule>
    <cfRule type="containsText" dxfId="6604" priority="6622" operator="containsText" text="RECHAZADA">
      <formula>NOT(ISERROR(SEARCH("RECHAZADA",K850)))</formula>
    </cfRule>
    <cfRule type="containsText" dxfId="6603" priority="6623" operator="containsText" text="Atendida">
      <formula>NOT(ISERROR(SEARCH("Atendida",K850)))</formula>
    </cfRule>
  </conditionalFormatting>
  <conditionalFormatting sqref="K850">
    <cfRule type="containsText" dxfId="6602" priority="6627" operator="containsText" text="Reasignación">
      <formula>NOT(ISERROR(SEARCH("Reasignación",K850)))</formula>
    </cfRule>
    <cfRule type="containsText" dxfId="6601" priority="6628" operator="containsText" text="RECHAZADA">
      <formula>NOT(ISERROR(SEARCH("RECHAZADA",K850)))</formula>
    </cfRule>
    <cfRule type="containsText" dxfId="6600" priority="6629" operator="containsText" text="Atendida">
      <formula>NOT(ISERROR(SEARCH("Atendida",K850)))</formula>
    </cfRule>
  </conditionalFormatting>
  <conditionalFormatting sqref="E852:E853">
    <cfRule type="duplicateValues" dxfId="6599" priority="6604"/>
  </conditionalFormatting>
  <conditionalFormatting sqref="M852:M853">
    <cfRule type="containsText" dxfId="6598" priority="6606" operator="containsText" text="CONFORME">
      <formula>NOT(ISERROR(SEARCH("CONFORME",M852)))</formula>
    </cfRule>
    <cfRule type="containsText" dxfId="6597" priority="6607" operator="containsText" text="RECHAZADA">
      <formula>NOT(ISERROR(SEARCH("RECHAZADA",M852)))</formula>
    </cfRule>
  </conditionalFormatting>
  <conditionalFormatting sqref="M852:M853">
    <cfRule type="containsText" dxfId="6596" priority="6608" operator="containsText" text="Atendida">
      <formula>NOT(ISERROR(SEARCH("Atendida",M852)))</formula>
    </cfRule>
  </conditionalFormatting>
  <conditionalFormatting sqref="M852:M853">
    <cfRule type="containsText" dxfId="6595" priority="6605" operator="containsText" text="OBSERVADO">
      <formula>NOT(ISERROR(SEARCH("OBSERVADO",M852)))</formula>
    </cfRule>
  </conditionalFormatting>
  <conditionalFormatting sqref="K852">
    <cfRule type="containsText" dxfId="6594" priority="6589" operator="containsText" text="Reasignación">
      <formula>NOT(ISERROR(SEARCH("Reasignación",K852)))</formula>
    </cfRule>
    <cfRule type="containsText" dxfId="6593" priority="6590" operator="containsText" text="RECHAZADA">
      <formula>NOT(ISERROR(SEARCH("RECHAZADA",K852)))</formula>
    </cfRule>
    <cfRule type="containsText" dxfId="6592" priority="6591" operator="containsText" text="Atendida">
      <formula>NOT(ISERROR(SEARCH("Atendida",K852)))</formula>
    </cfRule>
  </conditionalFormatting>
  <conditionalFormatting sqref="K852">
    <cfRule type="containsText" dxfId="6591" priority="6592" operator="containsText" text="Reasignación">
      <formula>NOT(ISERROR(SEARCH("Reasignación",K852)))</formula>
    </cfRule>
    <cfRule type="containsText" dxfId="6590" priority="6593" operator="containsText" text="RECHAZADA">
      <formula>NOT(ISERROR(SEARCH("RECHAZADA",K852)))</formula>
    </cfRule>
    <cfRule type="containsText" dxfId="6589" priority="6594" operator="containsText" text="Atendida">
      <formula>NOT(ISERROR(SEARCH("Atendida",K852)))</formula>
    </cfRule>
    <cfRule type="containsText" dxfId="6588" priority="6595" operator="containsText" text="Reasignación">
      <formula>NOT(ISERROR(SEARCH("Reasignación",K852)))</formula>
    </cfRule>
    <cfRule type="containsText" dxfId="6587" priority="6596" operator="containsText" text="RECHAZADA">
      <formula>NOT(ISERROR(SEARCH("RECHAZADA",K852)))</formula>
    </cfRule>
    <cfRule type="containsText" dxfId="6586" priority="6597" operator="containsText" text="Atendida">
      <formula>NOT(ISERROR(SEARCH("Atendida",K852)))</formula>
    </cfRule>
    <cfRule type="containsText" dxfId="6585" priority="6598" operator="containsText" text="Reasignación">
      <formula>NOT(ISERROR(SEARCH("Reasignación",K852)))</formula>
    </cfRule>
    <cfRule type="containsText" dxfId="6584" priority="6599" operator="containsText" text="RECHAZADA">
      <formula>NOT(ISERROR(SEARCH("RECHAZADA",K852)))</formula>
    </cfRule>
    <cfRule type="containsText" dxfId="6583" priority="6600" operator="containsText" text="Atendida">
      <formula>NOT(ISERROR(SEARCH("Atendida",K852)))</formula>
    </cfRule>
    <cfRule type="containsText" dxfId="6582" priority="6601" operator="containsText" text="Reasignación">
      <formula>NOT(ISERROR(SEARCH("Reasignación",K852)))</formula>
    </cfRule>
    <cfRule type="containsText" dxfId="6581" priority="6602" operator="containsText" text="RECHAZADA">
      <formula>NOT(ISERROR(SEARCH("RECHAZADA",K852)))</formula>
    </cfRule>
    <cfRule type="containsText" dxfId="6580" priority="6603" operator="containsText" text="Atendida">
      <formula>NOT(ISERROR(SEARCH("Atendida",K852)))</formula>
    </cfRule>
  </conditionalFormatting>
  <conditionalFormatting sqref="E854">
    <cfRule type="duplicateValues" dxfId="6579" priority="6585"/>
  </conditionalFormatting>
  <conditionalFormatting sqref="M854">
    <cfRule type="containsText" dxfId="6578" priority="6588" operator="containsText" text="Atendida">
      <formula>NOT(ISERROR(SEARCH("Atendida",M854)))</formula>
    </cfRule>
  </conditionalFormatting>
  <conditionalFormatting sqref="M854">
    <cfRule type="containsText" dxfId="6577" priority="6587" operator="containsText" text="RECHAZADA">
      <formula>NOT(ISERROR(SEARCH("RECHAZADA",M854)))</formula>
    </cfRule>
  </conditionalFormatting>
  <conditionalFormatting sqref="M854">
    <cfRule type="containsText" dxfId="6576" priority="6586" operator="containsText" text="CONFORME">
      <formula>NOT(ISERROR(SEARCH("CONFORME",M854)))</formula>
    </cfRule>
  </conditionalFormatting>
  <conditionalFormatting sqref="M854">
    <cfRule type="containsText" dxfId="6575" priority="6584" operator="containsText" text="OBSERVADO">
      <formula>NOT(ISERROR(SEARCH("OBSERVADO",M854)))</formula>
    </cfRule>
  </conditionalFormatting>
  <conditionalFormatting sqref="B854">
    <cfRule type="duplicateValues" dxfId="6574" priority="6583"/>
  </conditionalFormatting>
  <conditionalFormatting sqref="K854">
    <cfRule type="containsText" dxfId="6573" priority="6582" operator="containsText" text="Atendida">
      <formula>NOT(ISERROR(SEARCH("Atendida",K854)))</formula>
    </cfRule>
  </conditionalFormatting>
  <conditionalFormatting sqref="K854">
    <cfRule type="containsText" dxfId="6572" priority="6580" operator="containsText" text="Reasignación">
      <formula>NOT(ISERROR(SEARCH("Reasignación",K854)))</formula>
    </cfRule>
    <cfRule type="containsText" dxfId="6571" priority="6581" operator="containsText" text="RECHAZADA">
      <formula>NOT(ISERROR(SEARCH("RECHAZADA",K854)))</formula>
    </cfRule>
  </conditionalFormatting>
  <conditionalFormatting sqref="K854">
    <cfRule type="containsText" dxfId="6570" priority="6550" operator="containsText" text="Reasignación">
      <formula>NOT(ISERROR(SEARCH("Reasignación",K854)))</formula>
    </cfRule>
    <cfRule type="containsText" dxfId="6569" priority="6551" operator="containsText" text="RECHAZADA">
      <formula>NOT(ISERROR(SEARCH("RECHAZADA",K854)))</formula>
    </cfRule>
    <cfRule type="containsText" dxfId="6568" priority="6552" operator="containsText" text="Atendida">
      <formula>NOT(ISERROR(SEARCH("Atendida",K854)))</formula>
    </cfRule>
    <cfRule type="containsText" dxfId="6567" priority="6553" operator="containsText" text="Reasignación">
      <formula>NOT(ISERROR(SEARCH("Reasignación",K854)))</formula>
    </cfRule>
    <cfRule type="containsText" dxfId="6566" priority="6554" operator="containsText" text="RECHAZADA">
      <formula>NOT(ISERROR(SEARCH("RECHAZADA",K854)))</formula>
    </cfRule>
    <cfRule type="containsText" dxfId="6565" priority="6555" operator="containsText" text="Atendida">
      <formula>NOT(ISERROR(SEARCH("Atendida",K854)))</formula>
    </cfRule>
    <cfRule type="containsText" dxfId="6564" priority="6556" operator="containsText" text="Reasignación">
      <formula>NOT(ISERROR(SEARCH("Reasignación",K854)))</formula>
    </cfRule>
    <cfRule type="containsText" dxfId="6563" priority="6557" operator="containsText" text="RECHAZADA">
      <formula>NOT(ISERROR(SEARCH("RECHAZADA",K854)))</formula>
    </cfRule>
    <cfRule type="containsText" dxfId="6562" priority="6558" operator="containsText" text="Atendida">
      <formula>NOT(ISERROR(SEARCH("Atendida",K854)))</formula>
    </cfRule>
    <cfRule type="containsText" dxfId="6561" priority="6559" operator="containsText" text="Reasignación">
      <formula>NOT(ISERROR(SEARCH("Reasignación",K854)))</formula>
    </cfRule>
    <cfRule type="containsText" dxfId="6560" priority="6560" operator="containsText" text="RECHAZADA">
      <formula>NOT(ISERROR(SEARCH("RECHAZADA",K854)))</formula>
    </cfRule>
    <cfRule type="containsText" dxfId="6559" priority="6561" operator="containsText" text="Atendida">
      <formula>NOT(ISERROR(SEARCH("Atendida",K854)))</formula>
    </cfRule>
    <cfRule type="containsText" dxfId="6558" priority="6562" operator="containsText" text="Reasignación">
      <formula>NOT(ISERROR(SEARCH("Reasignación",K854)))</formula>
    </cfRule>
    <cfRule type="containsText" dxfId="6557" priority="6563" operator="containsText" text="RECHAZADA">
      <formula>NOT(ISERROR(SEARCH("RECHAZADA",K854)))</formula>
    </cfRule>
    <cfRule type="containsText" dxfId="6556" priority="6564" operator="containsText" text="Atendida">
      <formula>NOT(ISERROR(SEARCH("Atendida",K854)))</formula>
    </cfRule>
    <cfRule type="containsText" dxfId="6555" priority="6565" operator="containsText" text="Reasignación">
      <formula>NOT(ISERROR(SEARCH("Reasignación",K854)))</formula>
    </cfRule>
    <cfRule type="containsText" dxfId="6554" priority="6566" operator="containsText" text="RECHAZADA">
      <formula>NOT(ISERROR(SEARCH("RECHAZADA",K854)))</formula>
    </cfRule>
    <cfRule type="containsText" dxfId="6553" priority="6567" operator="containsText" text="Atendida">
      <formula>NOT(ISERROR(SEARCH("Atendida",K854)))</formula>
    </cfRule>
    <cfRule type="containsText" dxfId="6552" priority="6568" operator="containsText" text="Reasignación">
      <formula>NOT(ISERROR(SEARCH("Reasignación",K854)))</formula>
    </cfRule>
    <cfRule type="containsText" dxfId="6551" priority="6569" operator="containsText" text="RECHAZADA">
      <formula>NOT(ISERROR(SEARCH("RECHAZADA",K854)))</formula>
    </cfRule>
    <cfRule type="containsText" dxfId="6550" priority="6570" operator="containsText" text="Atendida">
      <formula>NOT(ISERROR(SEARCH("Atendida",K854)))</formula>
    </cfRule>
    <cfRule type="containsText" dxfId="6549" priority="6571" operator="containsText" text="Reasignación">
      <formula>NOT(ISERROR(SEARCH("Reasignación",K854)))</formula>
    </cfRule>
    <cfRule type="containsText" dxfId="6548" priority="6572" operator="containsText" text="RECHAZADA">
      <formula>NOT(ISERROR(SEARCH("RECHAZADA",K854)))</formula>
    </cfRule>
    <cfRule type="containsText" dxfId="6547" priority="6573" operator="containsText" text="Atendida">
      <formula>NOT(ISERROR(SEARCH("Atendida",K854)))</formula>
    </cfRule>
    <cfRule type="containsText" dxfId="6546" priority="6574" operator="containsText" text="Reasignación">
      <formula>NOT(ISERROR(SEARCH("Reasignación",K854)))</formula>
    </cfRule>
    <cfRule type="containsText" dxfId="6545" priority="6575" operator="containsText" text="RECHAZADA">
      <formula>NOT(ISERROR(SEARCH("RECHAZADA",K854)))</formula>
    </cfRule>
    <cfRule type="containsText" dxfId="6544" priority="6576" operator="containsText" text="Atendida">
      <formula>NOT(ISERROR(SEARCH("Atendida",K854)))</formula>
    </cfRule>
    <cfRule type="containsText" dxfId="6543" priority="6577" operator="containsText" text="Reasignación">
      <formula>NOT(ISERROR(SEARCH("Reasignación",K854)))</formula>
    </cfRule>
    <cfRule type="containsText" dxfId="6542" priority="6578" operator="containsText" text="RECHAZADA">
      <formula>NOT(ISERROR(SEARCH("RECHAZADA",K854)))</formula>
    </cfRule>
    <cfRule type="containsText" dxfId="6541" priority="6579" operator="containsText" text="Atendida">
      <formula>NOT(ISERROR(SEARCH("Atendida",K854)))</formula>
    </cfRule>
  </conditionalFormatting>
  <conditionalFormatting sqref="K853">
    <cfRule type="containsText" dxfId="6540" priority="6535" operator="containsText" text="Reasignación">
      <formula>NOT(ISERROR(SEARCH("Reasignación",K853)))</formula>
    </cfRule>
    <cfRule type="containsText" dxfId="6539" priority="6536" operator="containsText" text="RECHAZADA">
      <formula>NOT(ISERROR(SEARCH("RECHAZADA",K853)))</formula>
    </cfRule>
    <cfRule type="containsText" dxfId="6538" priority="6537" operator="containsText" text="Atendida">
      <formula>NOT(ISERROR(SEARCH("Atendida",K853)))</formula>
    </cfRule>
  </conditionalFormatting>
  <conditionalFormatting sqref="K853">
    <cfRule type="containsText" dxfId="6537" priority="6538" operator="containsText" text="Reasignación">
      <formula>NOT(ISERROR(SEARCH("Reasignación",K853)))</formula>
    </cfRule>
    <cfRule type="containsText" dxfId="6536" priority="6539" operator="containsText" text="RECHAZADA">
      <formula>NOT(ISERROR(SEARCH("RECHAZADA",K853)))</formula>
    </cfRule>
    <cfRule type="containsText" dxfId="6535" priority="6540" operator="containsText" text="Atendida">
      <formula>NOT(ISERROR(SEARCH("Atendida",K853)))</formula>
    </cfRule>
    <cfRule type="containsText" dxfId="6534" priority="6541" operator="containsText" text="Reasignación">
      <formula>NOT(ISERROR(SEARCH("Reasignación",K853)))</formula>
    </cfRule>
    <cfRule type="containsText" dxfId="6533" priority="6542" operator="containsText" text="RECHAZADA">
      <formula>NOT(ISERROR(SEARCH("RECHAZADA",K853)))</formula>
    </cfRule>
    <cfRule type="containsText" dxfId="6532" priority="6543" operator="containsText" text="Atendida">
      <formula>NOT(ISERROR(SEARCH("Atendida",K853)))</formula>
    </cfRule>
    <cfRule type="containsText" dxfId="6531" priority="6544" operator="containsText" text="Reasignación">
      <formula>NOT(ISERROR(SEARCH("Reasignación",K853)))</formula>
    </cfRule>
    <cfRule type="containsText" dxfId="6530" priority="6545" operator="containsText" text="RECHAZADA">
      <formula>NOT(ISERROR(SEARCH("RECHAZADA",K853)))</formula>
    </cfRule>
    <cfRule type="containsText" dxfId="6529" priority="6546" operator="containsText" text="Atendida">
      <formula>NOT(ISERROR(SEARCH("Atendida",K853)))</formula>
    </cfRule>
    <cfRule type="containsText" dxfId="6528" priority="6547" operator="containsText" text="Reasignación">
      <formula>NOT(ISERROR(SEARCH("Reasignación",K853)))</formula>
    </cfRule>
    <cfRule type="containsText" dxfId="6527" priority="6548" operator="containsText" text="RECHAZADA">
      <formula>NOT(ISERROR(SEARCH("RECHAZADA",K853)))</formula>
    </cfRule>
    <cfRule type="containsText" dxfId="6526" priority="6549" operator="containsText" text="Atendida">
      <formula>NOT(ISERROR(SEARCH("Atendida",K853)))</formula>
    </cfRule>
  </conditionalFormatting>
  <conditionalFormatting sqref="B858:B860 B855:B856">
    <cfRule type="duplicateValues" dxfId="6525" priority="6534"/>
  </conditionalFormatting>
  <conditionalFormatting sqref="K855">
    <cfRule type="containsText" dxfId="6524" priority="6519" operator="containsText" text="Reasignación">
      <formula>NOT(ISERROR(SEARCH("Reasignación",K855)))</formula>
    </cfRule>
    <cfRule type="containsText" dxfId="6523" priority="6520" operator="containsText" text="RECHAZADA">
      <formula>NOT(ISERROR(SEARCH("RECHAZADA",K855)))</formula>
    </cfRule>
    <cfRule type="containsText" dxfId="6522" priority="6521" operator="containsText" text="Atendida">
      <formula>NOT(ISERROR(SEARCH("Atendida",K855)))</formula>
    </cfRule>
  </conditionalFormatting>
  <conditionalFormatting sqref="K855">
    <cfRule type="containsText" dxfId="6521" priority="6522" operator="containsText" text="Reasignación">
      <formula>NOT(ISERROR(SEARCH("Reasignación",K855)))</formula>
    </cfRule>
    <cfRule type="containsText" dxfId="6520" priority="6523" operator="containsText" text="RECHAZADA">
      <formula>NOT(ISERROR(SEARCH("RECHAZADA",K855)))</formula>
    </cfRule>
    <cfRule type="containsText" dxfId="6519" priority="6524" operator="containsText" text="Atendida">
      <formula>NOT(ISERROR(SEARCH("Atendida",K855)))</formula>
    </cfRule>
    <cfRule type="containsText" dxfId="6518" priority="6525" operator="containsText" text="Reasignación">
      <formula>NOT(ISERROR(SEARCH("Reasignación",K855)))</formula>
    </cfRule>
    <cfRule type="containsText" dxfId="6517" priority="6526" operator="containsText" text="RECHAZADA">
      <formula>NOT(ISERROR(SEARCH("RECHAZADA",K855)))</formula>
    </cfRule>
    <cfRule type="containsText" dxfId="6516" priority="6527" operator="containsText" text="Atendida">
      <formula>NOT(ISERROR(SEARCH("Atendida",K855)))</formula>
    </cfRule>
    <cfRule type="containsText" dxfId="6515" priority="6528" operator="containsText" text="Reasignación">
      <formula>NOT(ISERROR(SEARCH("Reasignación",K855)))</formula>
    </cfRule>
    <cfRule type="containsText" dxfId="6514" priority="6529" operator="containsText" text="RECHAZADA">
      <formula>NOT(ISERROR(SEARCH("RECHAZADA",K855)))</formula>
    </cfRule>
    <cfRule type="containsText" dxfId="6513" priority="6530" operator="containsText" text="Atendida">
      <formula>NOT(ISERROR(SEARCH("Atendida",K855)))</formula>
    </cfRule>
    <cfRule type="containsText" dxfId="6512" priority="6531" operator="containsText" text="Reasignación">
      <formula>NOT(ISERROR(SEARCH("Reasignación",K855)))</formula>
    </cfRule>
    <cfRule type="containsText" dxfId="6511" priority="6532" operator="containsText" text="RECHAZADA">
      <formula>NOT(ISERROR(SEARCH("RECHAZADA",K855)))</formula>
    </cfRule>
    <cfRule type="containsText" dxfId="6510" priority="6533" operator="containsText" text="Atendida">
      <formula>NOT(ISERROR(SEARCH("Atendida",K855)))</formula>
    </cfRule>
  </conditionalFormatting>
  <conditionalFormatting sqref="K856">
    <cfRule type="containsText" dxfId="6509" priority="6507" operator="containsText" text="Reasignación">
      <formula>NOT(ISERROR(SEARCH("Reasignación",K856)))</formula>
    </cfRule>
    <cfRule type="containsText" dxfId="6508" priority="6508" operator="containsText" text="RECHAZADA">
      <formula>NOT(ISERROR(SEARCH("RECHAZADA",K856)))</formula>
    </cfRule>
    <cfRule type="containsText" dxfId="6507" priority="6509" operator="containsText" text="Atendida">
      <formula>NOT(ISERROR(SEARCH("Atendida",K856)))</formula>
    </cfRule>
    <cfRule type="containsText" dxfId="6506" priority="6510" operator="containsText" text="Reasignación">
      <formula>NOT(ISERROR(SEARCH("Reasignación",K856)))</formula>
    </cfRule>
    <cfRule type="containsText" dxfId="6505" priority="6511" operator="containsText" text="RECHAZADA">
      <formula>NOT(ISERROR(SEARCH("RECHAZADA",K856)))</formula>
    </cfRule>
    <cfRule type="containsText" dxfId="6504" priority="6512" operator="containsText" text="Atendida">
      <formula>NOT(ISERROR(SEARCH("Atendida",K856)))</formula>
    </cfRule>
    <cfRule type="containsText" dxfId="6503" priority="6513" operator="containsText" text="Reasignación">
      <formula>NOT(ISERROR(SEARCH("Reasignación",K856)))</formula>
    </cfRule>
    <cfRule type="containsText" dxfId="6502" priority="6514" operator="containsText" text="RECHAZADA">
      <formula>NOT(ISERROR(SEARCH("RECHAZADA",K856)))</formula>
    </cfRule>
    <cfRule type="containsText" dxfId="6501" priority="6515" operator="containsText" text="Atendida">
      <formula>NOT(ISERROR(SEARCH("Atendida",K856)))</formula>
    </cfRule>
    <cfRule type="containsText" dxfId="6500" priority="6516" operator="containsText" text="Reasignación">
      <formula>NOT(ISERROR(SEARCH("Reasignación",K856)))</formula>
    </cfRule>
    <cfRule type="containsText" dxfId="6499" priority="6517" operator="containsText" text="RECHAZADA">
      <formula>NOT(ISERROR(SEARCH("RECHAZADA",K856)))</formula>
    </cfRule>
    <cfRule type="containsText" dxfId="6498" priority="6518" operator="containsText" text="Atendida">
      <formula>NOT(ISERROR(SEARCH("Atendida",K856)))</formula>
    </cfRule>
  </conditionalFormatting>
  <conditionalFormatting sqref="K856">
    <cfRule type="containsText" dxfId="6497" priority="6506" operator="containsText" text="Atendida">
      <formula>NOT(ISERROR(SEARCH("Atendida",K856)))</formula>
    </cfRule>
  </conditionalFormatting>
  <conditionalFormatting sqref="K856">
    <cfRule type="containsText" dxfId="6496" priority="6504" operator="containsText" text="Reasignación">
      <formula>NOT(ISERROR(SEARCH("Reasignación",K856)))</formula>
    </cfRule>
    <cfRule type="containsText" dxfId="6495" priority="6505" operator="containsText" text="RECHAZADA">
      <formula>NOT(ISERROR(SEARCH("RECHAZADA",K856)))</formula>
    </cfRule>
  </conditionalFormatting>
  <conditionalFormatting sqref="K856">
    <cfRule type="containsText" dxfId="6494" priority="6474" operator="containsText" text="Reasignación">
      <formula>NOT(ISERROR(SEARCH("Reasignación",K856)))</formula>
    </cfRule>
    <cfRule type="containsText" dxfId="6493" priority="6475" operator="containsText" text="RECHAZADA">
      <formula>NOT(ISERROR(SEARCH("RECHAZADA",K856)))</formula>
    </cfRule>
    <cfRule type="containsText" dxfId="6492" priority="6476" operator="containsText" text="Atendida">
      <formula>NOT(ISERROR(SEARCH("Atendida",K856)))</formula>
    </cfRule>
    <cfRule type="containsText" dxfId="6491" priority="6477" operator="containsText" text="Reasignación">
      <formula>NOT(ISERROR(SEARCH("Reasignación",K856)))</formula>
    </cfRule>
    <cfRule type="containsText" dxfId="6490" priority="6478" operator="containsText" text="RECHAZADA">
      <formula>NOT(ISERROR(SEARCH("RECHAZADA",K856)))</formula>
    </cfRule>
    <cfRule type="containsText" dxfId="6489" priority="6479" operator="containsText" text="Atendida">
      <formula>NOT(ISERROR(SEARCH("Atendida",K856)))</formula>
    </cfRule>
    <cfRule type="containsText" dxfId="6488" priority="6480" operator="containsText" text="Reasignación">
      <formula>NOT(ISERROR(SEARCH("Reasignación",K856)))</formula>
    </cfRule>
    <cfRule type="containsText" dxfId="6487" priority="6481" operator="containsText" text="RECHAZADA">
      <formula>NOT(ISERROR(SEARCH("RECHAZADA",K856)))</formula>
    </cfRule>
    <cfRule type="containsText" dxfId="6486" priority="6482" operator="containsText" text="Atendida">
      <formula>NOT(ISERROR(SEARCH("Atendida",K856)))</formula>
    </cfRule>
    <cfRule type="containsText" dxfId="6485" priority="6483" operator="containsText" text="Reasignación">
      <formula>NOT(ISERROR(SEARCH("Reasignación",K856)))</formula>
    </cfRule>
    <cfRule type="containsText" dxfId="6484" priority="6484" operator="containsText" text="RECHAZADA">
      <formula>NOT(ISERROR(SEARCH("RECHAZADA",K856)))</formula>
    </cfRule>
    <cfRule type="containsText" dxfId="6483" priority="6485" operator="containsText" text="Atendida">
      <formula>NOT(ISERROR(SEARCH("Atendida",K856)))</formula>
    </cfRule>
    <cfRule type="containsText" dxfId="6482" priority="6486" operator="containsText" text="Reasignación">
      <formula>NOT(ISERROR(SEARCH("Reasignación",K856)))</formula>
    </cfRule>
    <cfRule type="containsText" dxfId="6481" priority="6487" operator="containsText" text="RECHAZADA">
      <formula>NOT(ISERROR(SEARCH("RECHAZADA",K856)))</formula>
    </cfRule>
    <cfRule type="containsText" dxfId="6480" priority="6488" operator="containsText" text="Atendida">
      <formula>NOT(ISERROR(SEARCH("Atendida",K856)))</formula>
    </cfRule>
    <cfRule type="containsText" dxfId="6479" priority="6489" operator="containsText" text="Reasignación">
      <formula>NOT(ISERROR(SEARCH("Reasignación",K856)))</formula>
    </cfRule>
    <cfRule type="containsText" dxfId="6478" priority="6490" operator="containsText" text="RECHAZADA">
      <formula>NOT(ISERROR(SEARCH("RECHAZADA",K856)))</formula>
    </cfRule>
    <cfRule type="containsText" dxfId="6477" priority="6491" operator="containsText" text="Atendida">
      <formula>NOT(ISERROR(SEARCH("Atendida",K856)))</formula>
    </cfRule>
    <cfRule type="containsText" dxfId="6476" priority="6492" operator="containsText" text="Reasignación">
      <formula>NOT(ISERROR(SEARCH("Reasignación",K856)))</formula>
    </cfRule>
    <cfRule type="containsText" dxfId="6475" priority="6493" operator="containsText" text="RECHAZADA">
      <formula>NOT(ISERROR(SEARCH("RECHAZADA",K856)))</formula>
    </cfRule>
    <cfRule type="containsText" dxfId="6474" priority="6494" operator="containsText" text="Atendida">
      <formula>NOT(ISERROR(SEARCH("Atendida",K856)))</formula>
    </cfRule>
    <cfRule type="containsText" dxfId="6473" priority="6495" operator="containsText" text="Reasignación">
      <formula>NOT(ISERROR(SEARCH("Reasignación",K856)))</formula>
    </cfRule>
    <cfRule type="containsText" dxfId="6472" priority="6496" operator="containsText" text="RECHAZADA">
      <formula>NOT(ISERROR(SEARCH("RECHAZADA",K856)))</formula>
    </cfRule>
    <cfRule type="containsText" dxfId="6471" priority="6497" operator="containsText" text="Atendida">
      <formula>NOT(ISERROR(SEARCH("Atendida",K856)))</formula>
    </cfRule>
    <cfRule type="containsText" dxfId="6470" priority="6498" operator="containsText" text="Reasignación">
      <formula>NOT(ISERROR(SEARCH("Reasignación",K856)))</formula>
    </cfRule>
    <cfRule type="containsText" dxfId="6469" priority="6499" operator="containsText" text="RECHAZADA">
      <formula>NOT(ISERROR(SEARCH("RECHAZADA",K856)))</formula>
    </cfRule>
    <cfRule type="containsText" dxfId="6468" priority="6500" operator="containsText" text="Atendida">
      <formula>NOT(ISERROR(SEARCH("Atendida",K856)))</formula>
    </cfRule>
    <cfRule type="containsText" dxfId="6467" priority="6501" operator="containsText" text="Reasignación">
      <formula>NOT(ISERROR(SEARCH("Reasignación",K856)))</formula>
    </cfRule>
    <cfRule type="containsText" dxfId="6466" priority="6502" operator="containsText" text="RECHAZADA">
      <formula>NOT(ISERROR(SEARCH("RECHAZADA",K856)))</formula>
    </cfRule>
    <cfRule type="containsText" dxfId="6465" priority="6503" operator="containsText" text="Atendida">
      <formula>NOT(ISERROR(SEARCH("Atendida",K856)))</formula>
    </cfRule>
  </conditionalFormatting>
  <conditionalFormatting sqref="B857">
    <cfRule type="duplicateValues" dxfId="6464" priority="6473"/>
  </conditionalFormatting>
  <conditionalFormatting sqref="E857">
    <cfRule type="duplicateValues" dxfId="6463" priority="6469"/>
  </conditionalFormatting>
  <conditionalFormatting sqref="M857">
    <cfRule type="containsText" dxfId="6462" priority="6472" operator="containsText" text="Atendida">
      <formula>NOT(ISERROR(SEARCH("Atendida",M857)))</formula>
    </cfRule>
  </conditionalFormatting>
  <conditionalFormatting sqref="M857">
    <cfRule type="containsText" dxfId="6461" priority="6471" operator="containsText" text="RECHAZADA">
      <formula>NOT(ISERROR(SEARCH("RECHAZADA",M857)))</formula>
    </cfRule>
  </conditionalFormatting>
  <conditionalFormatting sqref="M857">
    <cfRule type="containsText" dxfId="6460" priority="6470" operator="containsText" text="CONFORME">
      <formula>NOT(ISERROR(SEARCH("CONFORME",M857)))</formula>
    </cfRule>
  </conditionalFormatting>
  <conditionalFormatting sqref="M857">
    <cfRule type="containsText" dxfId="6459" priority="6468" operator="containsText" text="OBSERVADO">
      <formula>NOT(ISERROR(SEARCH("OBSERVADO",M857)))</formula>
    </cfRule>
  </conditionalFormatting>
  <conditionalFormatting sqref="K857">
    <cfRule type="containsText" dxfId="6458" priority="6452" operator="containsText" text="Atendida">
      <formula>NOT(ISERROR(SEARCH("Atendida",K857)))</formula>
    </cfRule>
  </conditionalFormatting>
  <conditionalFormatting sqref="K857">
    <cfRule type="containsText" dxfId="6457" priority="6450" operator="containsText" text="Reasignación">
      <formula>NOT(ISERROR(SEARCH("Reasignación",K857)))</formula>
    </cfRule>
    <cfRule type="containsText" dxfId="6456" priority="6451" operator="containsText" text="RECHAZADA">
      <formula>NOT(ISERROR(SEARCH("RECHAZADA",K857)))</formula>
    </cfRule>
  </conditionalFormatting>
  <conditionalFormatting sqref="K857">
    <cfRule type="containsText" dxfId="6455" priority="6420" operator="containsText" text="Reasignación">
      <formula>NOT(ISERROR(SEARCH("Reasignación",K857)))</formula>
    </cfRule>
    <cfRule type="containsText" dxfId="6454" priority="6421" operator="containsText" text="RECHAZADA">
      <formula>NOT(ISERROR(SEARCH("RECHAZADA",K857)))</formula>
    </cfRule>
    <cfRule type="containsText" dxfId="6453" priority="6422" operator="containsText" text="Atendida">
      <formula>NOT(ISERROR(SEARCH("Atendida",K857)))</formula>
    </cfRule>
    <cfRule type="containsText" dxfId="6452" priority="6423" operator="containsText" text="Reasignación">
      <formula>NOT(ISERROR(SEARCH("Reasignación",K857)))</formula>
    </cfRule>
    <cfRule type="containsText" dxfId="6451" priority="6424" operator="containsText" text="RECHAZADA">
      <formula>NOT(ISERROR(SEARCH("RECHAZADA",K857)))</formula>
    </cfRule>
    <cfRule type="containsText" dxfId="6450" priority="6425" operator="containsText" text="Atendida">
      <formula>NOT(ISERROR(SEARCH("Atendida",K857)))</formula>
    </cfRule>
    <cfRule type="containsText" dxfId="6449" priority="6426" operator="containsText" text="Reasignación">
      <formula>NOT(ISERROR(SEARCH("Reasignación",K857)))</formula>
    </cfRule>
    <cfRule type="containsText" dxfId="6448" priority="6427" operator="containsText" text="RECHAZADA">
      <formula>NOT(ISERROR(SEARCH("RECHAZADA",K857)))</formula>
    </cfRule>
    <cfRule type="containsText" dxfId="6447" priority="6428" operator="containsText" text="Atendida">
      <formula>NOT(ISERROR(SEARCH("Atendida",K857)))</formula>
    </cfRule>
    <cfRule type="containsText" dxfId="6446" priority="6429" operator="containsText" text="Reasignación">
      <formula>NOT(ISERROR(SEARCH("Reasignación",K857)))</formula>
    </cfRule>
    <cfRule type="containsText" dxfId="6445" priority="6430" operator="containsText" text="RECHAZADA">
      <formula>NOT(ISERROR(SEARCH("RECHAZADA",K857)))</formula>
    </cfRule>
    <cfRule type="containsText" dxfId="6444" priority="6431" operator="containsText" text="Atendida">
      <formula>NOT(ISERROR(SEARCH("Atendida",K857)))</formula>
    </cfRule>
    <cfRule type="containsText" dxfId="6443" priority="6432" operator="containsText" text="Reasignación">
      <formula>NOT(ISERROR(SEARCH("Reasignación",K857)))</formula>
    </cfRule>
    <cfRule type="containsText" dxfId="6442" priority="6433" operator="containsText" text="RECHAZADA">
      <formula>NOT(ISERROR(SEARCH("RECHAZADA",K857)))</formula>
    </cfRule>
    <cfRule type="containsText" dxfId="6441" priority="6434" operator="containsText" text="Atendida">
      <formula>NOT(ISERROR(SEARCH("Atendida",K857)))</formula>
    </cfRule>
    <cfRule type="containsText" dxfId="6440" priority="6435" operator="containsText" text="Reasignación">
      <formula>NOT(ISERROR(SEARCH("Reasignación",K857)))</formula>
    </cfRule>
    <cfRule type="containsText" dxfId="6439" priority="6436" operator="containsText" text="RECHAZADA">
      <formula>NOT(ISERROR(SEARCH("RECHAZADA",K857)))</formula>
    </cfRule>
    <cfRule type="containsText" dxfId="6438" priority="6437" operator="containsText" text="Atendida">
      <formula>NOT(ISERROR(SEARCH("Atendida",K857)))</formula>
    </cfRule>
    <cfRule type="containsText" dxfId="6437" priority="6438" operator="containsText" text="Reasignación">
      <formula>NOT(ISERROR(SEARCH("Reasignación",K857)))</formula>
    </cfRule>
    <cfRule type="containsText" dxfId="6436" priority="6439" operator="containsText" text="RECHAZADA">
      <formula>NOT(ISERROR(SEARCH("RECHAZADA",K857)))</formula>
    </cfRule>
    <cfRule type="containsText" dxfId="6435" priority="6440" operator="containsText" text="Atendida">
      <formula>NOT(ISERROR(SEARCH("Atendida",K857)))</formula>
    </cfRule>
    <cfRule type="containsText" dxfId="6434" priority="6441" operator="containsText" text="Reasignación">
      <formula>NOT(ISERROR(SEARCH("Reasignación",K857)))</formula>
    </cfRule>
    <cfRule type="containsText" dxfId="6433" priority="6442" operator="containsText" text="RECHAZADA">
      <formula>NOT(ISERROR(SEARCH("RECHAZADA",K857)))</formula>
    </cfRule>
    <cfRule type="containsText" dxfId="6432" priority="6443" operator="containsText" text="Atendida">
      <formula>NOT(ISERROR(SEARCH("Atendida",K857)))</formula>
    </cfRule>
    <cfRule type="containsText" dxfId="6431" priority="6444" operator="containsText" text="Reasignación">
      <formula>NOT(ISERROR(SEARCH("Reasignación",K857)))</formula>
    </cfRule>
    <cfRule type="containsText" dxfId="6430" priority="6445" operator="containsText" text="RECHAZADA">
      <formula>NOT(ISERROR(SEARCH("RECHAZADA",K857)))</formula>
    </cfRule>
    <cfRule type="containsText" dxfId="6429" priority="6446" operator="containsText" text="Atendida">
      <formula>NOT(ISERROR(SEARCH("Atendida",K857)))</formula>
    </cfRule>
    <cfRule type="containsText" dxfId="6428" priority="6447" operator="containsText" text="Reasignación">
      <formula>NOT(ISERROR(SEARCH("Reasignación",K857)))</formula>
    </cfRule>
    <cfRule type="containsText" dxfId="6427" priority="6448" operator="containsText" text="RECHAZADA">
      <formula>NOT(ISERROR(SEARCH("RECHAZADA",K857)))</formula>
    </cfRule>
    <cfRule type="containsText" dxfId="6426" priority="6449" operator="containsText" text="Atendida">
      <formula>NOT(ISERROR(SEARCH("Atendida",K857)))</formula>
    </cfRule>
  </conditionalFormatting>
  <conditionalFormatting sqref="K857">
    <cfRule type="containsText" dxfId="6425" priority="6465" operator="containsText" text="Reasignación">
      <formula>NOT(ISERROR(SEARCH("Reasignación",K857)))</formula>
    </cfRule>
    <cfRule type="containsText" dxfId="6424" priority="6466" operator="containsText" text="RECHAZADA">
      <formula>NOT(ISERROR(SEARCH("RECHAZADA",K857)))</formula>
    </cfRule>
    <cfRule type="containsText" dxfId="6423" priority="6467" operator="containsText" text="Atendida">
      <formula>NOT(ISERROR(SEARCH("Atendida",K857)))</formula>
    </cfRule>
  </conditionalFormatting>
  <conditionalFormatting sqref="K857">
    <cfRule type="containsText" dxfId="6422" priority="6453" operator="containsText" text="Reasignación">
      <formula>NOT(ISERROR(SEARCH("Reasignación",K857)))</formula>
    </cfRule>
    <cfRule type="containsText" dxfId="6421" priority="6454" operator="containsText" text="RECHAZADA">
      <formula>NOT(ISERROR(SEARCH("RECHAZADA",K857)))</formula>
    </cfRule>
    <cfRule type="containsText" dxfId="6420" priority="6455" operator="containsText" text="Atendida">
      <formula>NOT(ISERROR(SEARCH("Atendida",K857)))</formula>
    </cfRule>
    <cfRule type="containsText" dxfId="6419" priority="6456" operator="containsText" text="Reasignación">
      <formula>NOT(ISERROR(SEARCH("Reasignación",K857)))</formula>
    </cfRule>
    <cfRule type="containsText" dxfId="6418" priority="6457" operator="containsText" text="RECHAZADA">
      <formula>NOT(ISERROR(SEARCH("RECHAZADA",K857)))</formula>
    </cfRule>
    <cfRule type="containsText" dxfId="6417" priority="6458" operator="containsText" text="Atendida">
      <formula>NOT(ISERROR(SEARCH("Atendida",K857)))</formula>
    </cfRule>
    <cfRule type="containsText" dxfId="6416" priority="6459" operator="containsText" text="Reasignación">
      <formula>NOT(ISERROR(SEARCH("Reasignación",K857)))</formula>
    </cfRule>
    <cfRule type="containsText" dxfId="6415" priority="6460" operator="containsText" text="RECHAZADA">
      <formula>NOT(ISERROR(SEARCH("RECHAZADA",K857)))</formula>
    </cfRule>
    <cfRule type="containsText" dxfId="6414" priority="6461" operator="containsText" text="Atendida">
      <formula>NOT(ISERROR(SEARCH("Atendida",K857)))</formula>
    </cfRule>
    <cfRule type="containsText" dxfId="6413" priority="6462" operator="containsText" text="Reasignación">
      <formula>NOT(ISERROR(SEARCH("Reasignación",K857)))</formula>
    </cfRule>
    <cfRule type="containsText" dxfId="6412" priority="6463" operator="containsText" text="RECHAZADA">
      <formula>NOT(ISERROR(SEARCH("RECHAZADA",K857)))</formula>
    </cfRule>
    <cfRule type="containsText" dxfId="6411" priority="6464" operator="containsText" text="Atendida">
      <formula>NOT(ISERROR(SEARCH("Atendida",K857)))</formula>
    </cfRule>
  </conditionalFormatting>
  <conditionalFormatting sqref="K860">
    <cfRule type="containsText" dxfId="6410" priority="6417" operator="containsText" text="Reasignación">
      <formula>NOT(ISERROR(SEARCH("Reasignación",K860)))</formula>
    </cfRule>
    <cfRule type="containsText" dxfId="6409" priority="6418" operator="containsText" text="RECHAZADA">
      <formula>NOT(ISERROR(SEARCH("RECHAZADA",K860)))</formula>
    </cfRule>
    <cfRule type="containsText" dxfId="6408" priority="6419" operator="containsText" text="Atendida">
      <formula>NOT(ISERROR(SEARCH("Atendida",K860)))</formula>
    </cfRule>
  </conditionalFormatting>
  <conditionalFormatting sqref="K860">
    <cfRule type="containsText" dxfId="6407" priority="6405" operator="containsText" text="Reasignación">
      <formula>NOT(ISERROR(SEARCH("Reasignación",K860)))</formula>
    </cfRule>
    <cfRule type="containsText" dxfId="6406" priority="6406" operator="containsText" text="RECHAZADA">
      <formula>NOT(ISERROR(SEARCH("RECHAZADA",K860)))</formula>
    </cfRule>
    <cfRule type="containsText" dxfId="6405" priority="6407" operator="containsText" text="Atendida">
      <formula>NOT(ISERROR(SEARCH("Atendida",K860)))</formula>
    </cfRule>
    <cfRule type="containsText" dxfId="6404" priority="6408" operator="containsText" text="Reasignación">
      <formula>NOT(ISERROR(SEARCH("Reasignación",K860)))</formula>
    </cfRule>
    <cfRule type="containsText" dxfId="6403" priority="6409" operator="containsText" text="RECHAZADA">
      <formula>NOT(ISERROR(SEARCH("RECHAZADA",K860)))</formula>
    </cfRule>
    <cfRule type="containsText" dxfId="6402" priority="6410" operator="containsText" text="Atendida">
      <formula>NOT(ISERROR(SEARCH("Atendida",K860)))</formula>
    </cfRule>
    <cfRule type="containsText" dxfId="6401" priority="6411" operator="containsText" text="Reasignación">
      <formula>NOT(ISERROR(SEARCH("Reasignación",K860)))</formula>
    </cfRule>
    <cfRule type="containsText" dxfId="6400" priority="6412" operator="containsText" text="RECHAZADA">
      <formula>NOT(ISERROR(SEARCH("RECHAZADA",K860)))</formula>
    </cfRule>
    <cfRule type="containsText" dxfId="6399" priority="6413" operator="containsText" text="Atendida">
      <formula>NOT(ISERROR(SEARCH("Atendida",K860)))</formula>
    </cfRule>
    <cfRule type="containsText" dxfId="6398" priority="6414" operator="containsText" text="Reasignación">
      <formula>NOT(ISERROR(SEARCH("Reasignación",K860)))</formula>
    </cfRule>
    <cfRule type="containsText" dxfId="6397" priority="6415" operator="containsText" text="RECHAZADA">
      <formula>NOT(ISERROR(SEARCH("RECHAZADA",K860)))</formula>
    </cfRule>
    <cfRule type="containsText" dxfId="6396" priority="6416" operator="containsText" text="Atendida">
      <formula>NOT(ISERROR(SEARCH("Atendida",K860)))</formula>
    </cfRule>
  </conditionalFormatting>
  <conditionalFormatting sqref="K860">
    <cfRule type="containsText" dxfId="6395" priority="6404" operator="containsText" text="Atendida">
      <formula>NOT(ISERROR(SEARCH("Atendida",K860)))</formula>
    </cfRule>
  </conditionalFormatting>
  <conditionalFormatting sqref="K860">
    <cfRule type="containsText" dxfId="6394" priority="6402" operator="containsText" text="Reasignación">
      <formula>NOT(ISERROR(SEARCH("Reasignación",K860)))</formula>
    </cfRule>
    <cfRule type="containsText" dxfId="6393" priority="6403" operator="containsText" text="RECHAZADA">
      <formula>NOT(ISERROR(SEARCH("RECHAZADA",K860)))</formula>
    </cfRule>
  </conditionalFormatting>
  <conditionalFormatting sqref="K860">
    <cfRule type="containsText" dxfId="6392" priority="6372" operator="containsText" text="Reasignación">
      <formula>NOT(ISERROR(SEARCH("Reasignación",K860)))</formula>
    </cfRule>
    <cfRule type="containsText" dxfId="6391" priority="6373" operator="containsText" text="RECHAZADA">
      <formula>NOT(ISERROR(SEARCH("RECHAZADA",K860)))</formula>
    </cfRule>
    <cfRule type="containsText" dxfId="6390" priority="6374" operator="containsText" text="Atendida">
      <formula>NOT(ISERROR(SEARCH("Atendida",K860)))</formula>
    </cfRule>
    <cfRule type="containsText" dxfId="6389" priority="6375" operator="containsText" text="Reasignación">
      <formula>NOT(ISERROR(SEARCH("Reasignación",K860)))</formula>
    </cfRule>
    <cfRule type="containsText" dxfId="6388" priority="6376" operator="containsText" text="RECHAZADA">
      <formula>NOT(ISERROR(SEARCH("RECHAZADA",K860)))</formula>
    </cfRule>
    <cfRule type="containsText" dxfId="6387" priority="6377" operator="containsText" text="Atendida">
      <formula>NOT(ISERROR(SEARCH("Atendida",K860)))</formula>
    </cfRule>
    <cfRule type="containsText" dxfId="6386" priority="6378" operator="containsText" text="Reasignación">
      <formula>NOT(ISERROR(SEARCH("Reasignación",K860)))</formula>
    </cfRule>
    <cfRule type="containsText" dxfId="6385" priority="6379" operator="containsText" text="RECHAZADA">
      <formula>NOT(ISERROR(SEARCH("RECHAZADA",K860)))</formula>
    </cfRule>
    <cfRule type="containsText" dxfId="6384" priority="6380" operator="containsText" text="Atendida">
      <formula>NOT(ISERROR(SEARCH("Atendida",K860)))</formula>
    </cfRule>
    <cfRule type="containsText" dxfId="6383" priority="6381" operator="containsText" text="Reasignación">
      <formula>NOT(ISERROR(SEARCH("Reasignación",K860)))</formula>
    </cfRule>
    <cfRule type="containsText" dxfId="6382" priority="6382" operator="containsText" text="RECHAZADA">
      <formula>NOT(ISERROR(SEARCH("RECHAZADA",K860)))</formula>
    </cfRule>
    <cfRule type="containsText" dxfId="6381" priority="6383" operator="containsText" text="Atendida">
      <formula>NOT(ISERROR(SEARCH("Atendida",K860)))</formula>
    </cfRule>
    <cfRule type="containsText" dxfId="6380" priority="6384" operator="containsText" text="Reasignación">
      <formula>NOT(ISERROR(SEARCH("Reasignación",K860)))</formula>
    </cfRule>
    <cfRule type="containsText" dxfId="6379" priority="6385" operator="containsText" text="RECHAZADA">
      <formula>NOT(ISERROR(SEARCH("RECHAZADA",K860)))</formula>
    </cfRule>
    <cfRule type="containsText" dxfId="6378" priority="6386" operator="containsText" text="Atendida">
      <formula>NOT(ISERROR(SEARCH("Atendida",K860)))</formula>
    </cfRule>
    <cfRule type="containsText" dxfId="6377" priority="6387" operator="containsText" text="Reasignación">
      <formula>NOT(ISERROR(SEARCH("Reasignación",K860)))</formula>
    </cfRule>
    <cfRule type="containsText" dxfId="6376" priority="6388" operator="containsText" text="RECHAZADA">
      <formula>NOT(ISERROR(SEARCH("RECHAZADA",K860)))</formula>
    </cfRule>
    <cfRule type="containsText" dxfId="6375" priority="6389" operator="containsText" text="Atendida">
      <formula>NOT(ISERROR(SEARCH("Atendida",K860)))</formula>
    </cfRule>
    <cfRule type="containsText" dxfId="6374" priority="6390" operator="containsText" text="Reasignación">
      <formula>NOT(ISERROR(SEARCH("Reasignación",K860)))</formula>
    </cfRule>
    <cfRule type="containsText" dxfId="6373" priority="6391" operator="containsText" text="RECHAZADA">
      <formula>NOT(ISERROR(SEARCH("RECHAZADA",K860)))</formula>
    </cfRule>
    <cfRule type="containsText" dxfId="6372" priority="6392" operator="containsText" text="Atendida">
      <formula>NOT(ISERROR(SEARCH("Atendida",K860)))</formula>
    </cfRule>
    <cfRule type="containsText" dxfId="6371" priority="6393" operator="containsText" text="Reasignación">
      <formula>NOT(ISERROR(SEARCH("Reasignación",K860)))</formula>
    </cfRule>
    <cfRule type="containsText" dxfId="6370" priority="6394" operator="containsText" text="RECHAZADA">
      <formula>NOT(ISERROR(SEARCH("RECHAZADA",K860)))</formula>
    </cfRule>
    <cfRule type="containsText" dxfId="6369" priority="6395" operator="containsText" text="Atendida">
      <formula>NOT(ISERROR(SEARCH("Atendida",K860)))</formula>
    </cfRule>
    <cfRule type="containsText" dxfId="6368" priority="6396" operator="containsText" text="Reasignación">
      <formula>NOT(ISERROR(SEARCH("Reasignación",K860)))</formula>
    </cfRule>
    <cfRule type="containsText" dxfId="6367" priority="6397" operator="containsText" text="RECHAZADA">
      <formula>NOT(ISERROR(SEARCH("RECHAZADA",K860)))</formula>
    </cfRule>
    <cfRule type="containsText" dxfId="6366" priority="6398" operator="containsText" text="Atendida">
      <formula>NOT(ISERROR(SEARCH("Atendida",K860)))</formula>
    </cfRule>
    <cfRule type="containsText" dxfId="6365" priority="6399" operator="containsText" text="Reasignación">
      <formula>NOT(ISERROR(SEARCH("Reasignación",K860)))</formula>
    </cfRule>
    <cfRule type="containsText" dxfId="6364" priority="6400" operator="containsText" text="RECHAZADA">
      <formula>NOT(ISERROR(SEARCH("RECHAZADA",K860)))</formula>
    </cfRule>
    <cfRule type="containsText" dxfId="6363" priority="6401" operator="containsText" text="Atendida">
      <formula>NOT(ISERROR(SEARCH("Atendida",K860)))</formula>
    </cfRule>
  </conditionalFormatting>
  <conditionalFormatting sqref="K858">
    <cfRule type="containsText" dxfId="6362" priority="6321" operator="containsText" text="Reasignación">
      <formula>NOT(ISERROR(SEARCH("Reasignación",K858)))</formula>
    </cfRule>
    <cfRule type="containsText" dxfId="6361" priority="6322" operator="containsText" text="RECHAZADA">
      <formula>NOT(ISERROR(SEARCH("RECHAZADA",K858)))</formula>
    </cfRule>
    <cfRule type="containsText" dxfId="6360" priority="6323" operator="containsText" text="Atendida">
      <formula>NOT(ISERROR(SEARCH("Atendida",K858)))</formula>
    </cfRule>
  </conditionalFormatting>
  <conditionalFormatting sqref="K858">
    <cfRule type="containsText" dxfId="6359" priority="6309" operator="containsText" text="Reasignación">
      <formula>NOT(ISERROR(SEARCH("Reasignación",K858)))</formula>
    </cfRule>
    <cfRule type="containsText" dxfId="6358" priority="6310" operator="containsText" text="RECHAZADA">
      <formula>NOT(ISERROR(SEARCH("RECHAZADA",K858)))</formula>
    </cfRule>
    <cfRule type="containsText" dxfId="6357" priority="6311" operator="containsText" text="Atendida">
      <formula>NOT(ISERROR(SEARCH("Atendida",K858)))</formula>
    </cfRule>
    <cfRule type="containsText" dxfId="6356" priority="6312" operator="containsText" text="Reasignación">
      <formula>NOT(ISERROR(SEARCH("Reasignación",K858)))</formula>
    </cfRule>
    <cfRule type="containsText" dxfId="6355" priority="6313" operator="containsText" text="RECHAZADA">
      <formula>NOT(ISERROR(SEARCH("RECHAZADA",K858)))</formula>
    </cfRule>
    <cfRule type="containsText" dxfId="6354" priority="6314" operator="containsText" text="Atendida">
      <formula>NOT(ISERROR(SEARCH("Atendida",K858)))</formula>
    </cfRule>
    <cfRule type="containsText" dxfId="6353" priority="6315" operator="containsText" text="Reasignación">
      <formula>NOT(ISERROR(SEARCH("Reasignación",K858)))</formula>
    </cfRule>
    <cfRule type="containsText" dxfId="6352" priority="6316" operator="containsText" text="RECHAZADA">
      <formula>NOT(ISERROR(SEARCH("RECHAZADA",K858)))</formula>
    </cfRule>
    <cfRule type="containsText" dxfId="6351" priority="6317" operator="containsText" text="Atendida">
      <formula>NOT(ISERROR(SEARCH("Atendida",K858)))</formula>
    </cfRule>
    <cfRule type="containsText" dxfId="6350" priority="6318" operator="containsText" text="Reasignación">
      <formula>NOT(ISERROR(SEARCH("Reasignación",K858)))</formula>
    </cfRule>
    <cfRule type="containsText" dxfId="6349" priority="6319" operator="containsText" text="RECHAZADA">
      <formula>NOT(ISERROR(SEARCH("RECHAZADA",K858)))</formula>
    </cfRule>
    <cfRule type="containsText" dxfId="6348" priority="6320" operator="containsText" text="Atendida">
      <formula>NOT(ISERROR(SEARCH("Atendida",K858)))</formula>
    </cfRule>
  </conditionalFormatting>
  <conditionalFormatting sqref="K858">
    <cfRule type="containsText" dxfId="6347" priority="6308" operator="containsText" text="Atendida">
      <formula>NOT(ISERROR(SEARCH("Atendida",K858)))</formula>
    </cfRule>
  </conditionalFormatting>
  <conditionalFormatting sqref="K858">
    <cfRule type="containsText" dxfId="6346" priority="6306" operator="containsText" text="Reasignación">
      <formula>NOT(ISERROR(SEARCH("Reasignación",K858)))</formula>
    </cfRule>
    <cfRule type="containsText" dxfId="6345" priority="6307" operator="containsText" text="RECHAZADA">
      <formula>NOT(ISERROR(SEARCH("RECHAZADA",K858)))</formula>
    </cfRule>
  </conditionalFormatting>
  <conditionalFormatting sqref="K858">
    <cfRule type="containsText" dxfId="6344" priority="6276" operator="containsText" text="Reasignación">
      <formula>NOT(ISERROR(SEARCH("Reasignación",K858)))</formula>
    </cfRule>
    <cfRule type="containsText" dxfId="6343" priority="6277" operator="containsText" text="RECHAZADA">
      <formula>NOT(ISERROR(SEARCH("RECHAZADA",K858)))</formula>
    </cfRule>
    <cfRule type="containsText" dxfId="6342" priority="6278" operator="containsText" text="Atendida">
      <formula>NOT(ISERROR(SEARCH("Atendida",K858)))</formula>
    </cfRule>
    <cfRule type="containsText" dxfId="6341" priority="6279" operator="containsText" text="Reasignación">
      <formula>NOT(ISERROR(SEARCH("Reasignación",K858)))</formula>
    </cfRule>
    <cfRule type="containsText" dxfId="6340" priority="6280" operator="containsText" text="RECHAZADA">
      <formula>NOT(ISERROR(SEARCH("RECHAZADA",K858)))</formula>
    </cfRule>
    <cfRule type="containsText" dxfId="6339" priority="6281" operator="containsText" text="Atendida">
      <formula>NOT(ISERROR(SEARCH("Atendida",K858)))</formula>
    </cfRule>
    <cfRule type="containsText" dxfId="6338" priority="6282" operator="containsText" text="Reasignación">
      <formula>NOT(ISERROR(SEARCH("Reasignación",K858)))</formula>
    </cfRule>
    <cfRule type="containsText" dxfId="6337" priority="6283" operator="containsText" text="RECHAZADA">
      <formula>NOT(ISERROR(SEARCH("RECHAZADA",K858)))</formula>
    </cfRule>
    <cfRule type="containsText" dxfId="6336" priority="6284" operator="containsText" text="Atendida">
      <formula>NOT(ISERROR(SEARCH("Atendida",K858)))</formula>
    </cfRule>
    <cfRule type="containsText" dxfId="6335" priority="6285" operator="containsText" text="Reasignación">
      <formula>NOT(ISERROR(SEARCH("Reasignación",K858)))</formula>
    </cfRule>
    <cfRule type="containsText" dxfId="6334" priority="6286" operator="containsText" text="RECHAZADA">
      <formula>NOT(ISERROR(SEARCH("RECHAZADA",K858)))</formula>
    </cfRule>
    <cfRule type="containsText" dxfId="6333" priority="6287" operator="containsText" text="Atendida">
      <formula>NOT(ISERROR(SEARCH("Atendida",K858)))</formula>
    </cfRule>
    <cfRule type="containsText" dxfId="6332" priority="6288" operator="containsText" text="Reasignación">
      <formula>NOT(ISERROR(SEARCH("Reasignación",K858)))</formula>
    </cfRule>
    <cfRule type="containsText" dxfId="6331" priority="6289" operator="containsText" text="RECHAZADA">
      <formula>NOT(ISERROR(SEARCH("RECHAZADA",K858)))</formula>
    </cfRule>
    <cfRule type="containsText" dxfId="6330" priority="6290" operator="containsText" text="Atendida">
      <formula>NOT(ISERROR(SEARCH("Atendida",K858)))</formula>
    </cfRule>
    <cfRule type="containsText" dxfId="6329" priority="6291" operator="containsText" text="Reasignación">
      <formula>NOT(ISERROR(SEARCH("Reasignación",K858)))</formula>
    </cfRule>
    <cfRule type="containsText" dxfId="6328" priority="6292" operator="containsText" text="RECHAZADA">
      <formula>NOT(ISERROR(SEARCH("RECHAZADA",K858)))</formula>
    </cfRule>
    <cfRule type="containsText" dxfId="6327" priority="6293" operator="containsText" text="Atendida">
      <formula>NOT(ISERROR(SEARCH("Atendida",K858)))</formula>
    </cfRule>
    <cfRule type="containsText" dxfId="6326" priority="6294" operator="containsText" text="Reasignación">
      <formula>NOT(ISERROR(SEARCH("Reasignación",K858)))</formula>
    </cfRule>
    <cfRule type="containsText" dxfId="6325" priority="6295" operator="containsText" text="RECHAZADA">
      <formula>NOT(ISERROR(SEARCH("RECHAZADA",K858)))</formula>
    </cfRule>
    <cfRule type="containsText" dxfId="6324" priority="6296" operator="containsText" text="Atendida">
      <formula>NOT(ISERROR(SEARCH("Atendida",K858)))</formula>
    </cfRule>
    <cfRule type="containsText" dxfId="6323" priority="6297" operator="containsText" text="Reasignación">
      <formula>NOT(ISERROR(SEARCH("Reasignación",K858)))</formula>
    </cfRule>
    <cfRule type="containsText" dxfId="6322" priority="6298" operator="containsText" text="RECHAZADA">
      <formula>NOT(ISERROR(SEARCH("RECHAZADA",K858)))</formula>
    </cfRule>
    <cfRule type="containsText" dxfId="6321" priority="6299" operator="containsText" text="Atendida">
      <formula>NOT(ISERROR(SEARCH("Atendida",K858)))</formula>
    </cfRule>
    <cfRule type="containsText" dxfId="6320" priority="6300" operator="containsText" text="Reasignación">
      <formula>NOT(ISERROR(SEARCH("Reasignación",K858)))</formula>
    </cfRule>
    <cfRule type="containsText" dxfId="6319" priority="6301" operator="containsText" text="RECHAZADA">
      <formula>NOT(ISERROR(SEARCH("RECHAZADA",K858)))</formula>
    </cfRule>
    <cfRule type="containsText" dxfId="6318" priority="6302" operator="containsText" text="Atendida">
      <formula>NOT(ISERROR(SEARCH("Atendida",K858)))</formula>
    </cfRule>
    <cfRule type="containsText" dxfId="6317" priority="6303" operator="containsText" text="Reasignación">
      <formula>NOT(ISERROR(SEARCH("Reasignación",K858)))</formula>
    </cfRule>
    <cfRule type="containsText" dxfId="6316" priority="6304" operator="containsText" text="RECHAZADA">
      <formula>NOT(ISERROR(SEARCH("RECHAZADA",K858)))</formula>
    </cfRule>
    <cfRule type="containsText" dxfId="6315" priority="6305" operator="containsText" text="Atendida">
      <formula>NOT(ISERROR(SEARCH("Atendida",K858)))</formula>
    </cfRule>
  </conditionalFormatting>
  <conditionalFormatting sqref="K859">
    <cfRule type="containsText" dxfId="6314" priority="6356" operator="containsText" text="Atendida">
      <formula>NOT(ISERROR(SEARCH("Atendida",K859)))</formula>
    </cfRule>
  </conditionalFormatting>
  <conditionalFormatting sqref="K859">
    <cfRule type="containsText" dxfId="6313" priority="6354" operator="containsText" text="Reasignación">
      <formula>NOT(ISERROR(SEARCH("Reasignación",K859)))</formula>
    </cfRule>
    <cfRule type="containsText" dxfId="6312" priority="6355" operator="containsText" text="RECHAZADA">
      <formula>NOT(ISERROR(SEARCH("RECHAZADA",K859)))</formula>
    </cfRule>
  </conditionalFormatting>
  <conditionalFormatting sqref="K859">
    <cfRule type="containsText" dxfId="6311" priority="6324" operator="containsText" text="Reasignación">
      <formula>NOT(ISERROR(SEARCH("Reasignación",K859)))</formula>
    </cfRule>
    <cfRule type="containsText" dxfId="6310" priority="6325" operator="containsText" text="RECHAZADA">
      <formula>NOT(ISERROR(SEARCH("RECHAZADA",K859)))</formula>
    </cfRule>
    <cfRule type="containsText" dxfId="6309" priority="6326" operator="containsText" text="Atendida">
      <formula>NOT(ISERROR(SEARCH("Atendida",K859)))</formula>
    </cfRule>
    <cfRule type="containsText" dxfId="6308" priority="6327" operator="containsText" text="Reasignación">
      <formula>NOT(ISERROR(SEARCH("Reasignación",K859)))</formula>
    </cfRule>
    <cfRule type="containsText" dxfId="6307" priority="6328" operator="containsText" text="RECHAZADA">
      <formula>NOT(ISERROR(SEARCH("RECHAZADA",K859)))</formula>
    </cfRule>
    <cfRule type="containsText" dxfId="6306" priority="6329" operator="containsText" text="Atendida">
      <formula>NOT(ISERROR(SEARCH("Atendida",K859)))</formula>
    </cfRule>
    <cfRule type="containsText" dxfId="6305" priority="6330" operator="containsText" text="Reasignación">
      <formula>NOT(ISERROR(SEARCH("Reasignación",K859)))</formula>
    </cfRule>
    <cfRule type="containsText" dxfId="6304" priority="6331" operator="containsText" text="RECHAZADA">
      <formula>NOT(ISERROR(SEARCH("RECHAZADA",K859)))</formula>
    </cfRule>
    <cfRule type="containsText" dxfId="6303" priority="6332" operator="containsText" text="Atendida">
      <formula>NOT(ISERROR(SEARCH("Atendida",K859)))</formula>
    </cfRule>
    <cfRule type="containsText" dxfId="6302" priority="6333" operator="containsText" text="Reasignación">
      <formula>NOT(ISERROR(SEARCH("Reasignación",K859)))</formula>
    </cfRule>
    <cfRule type="containsText" dxfId="6301" priority="6334" operator="containsText" text="RECHAZADA">
      <formula>NOT(ISERROR(SEARCH("RECHAZADA",K859)))</formula>
    </cfRule>
    <cfRule type="containsText" dxfId="6300" priority="6335" operator="containsText" text="Atendida">
      <formula>NOT(ISERROR(SEARCH("Atendida",K859)))</formula>
    </cfRule>
    <cfRule type="containsText" dxfId="6299" priority="6336" operator="containsText" text="Reasignación">
      <formula>NOT(ISERROR(SEARCH("Reasignación",K859)))</formula>
    </cfRule>
    <cfRule type="containsText" dxfId="6298" priority="6337" operator="containsText" text="RECHAZADA">
      <formula>NOT(ISERROR(SEARCH("RECHAZADA",K859)))</formula>
    </cfRule>
    <cfRule type="containsText" dxfId="6297" priority="6338" operator="containsText" text="Atendida">
      <formula>NOT(ISERROR(SEARCH("Atendida",K859)))</formula>
    </cfRule>
    <cfRule type="containsText" dxfId="6296" priority="6339" operator="containsText" text="Reasignación">
      <formula>NOT(ISERROR(SEARCH("Reasignación",K859)))</formula>
    </cfRule>
    <cfRule type="containsText" dxfId="6295" priority="6340" operator="containsText" text="RECHAZADA">
      <formula>NOT(ISERROR(SEARCH("RECHAZADA",K859)))</formula>
    </cfRule>
    <cfRule type="containsText" dxfId="6294" priority="6341" operator="containsText" text="Atendida">
      <formula>NOT(ISERROR(SEARCH("Atendida",K859)))</formula>
    </cfRule>
    <cfRule type="containsText" dxfId="6293" priority="6342" operator="containsText" text="Reasignación">
      <formula>NOT(ISERROR(SEARCH("Reasignación",K859)))</formula>
    </cfRule>
    <cfRule type="containsText" dxfId="6292" priority="6343" operator="containsText" text="RECHAZADA">
      <formula>NOT(ISERROR(SEARCH("RECHAZADA",K859)))</formula>
    </cfRule>
    <cfRule type="containsText" dxfId="6291" priority="6344" operator="containsText" text="Atendida">
      <formula>NOT(ISERROR(SEARCH("Atendida",K859)))</formula>
    </cfRule>
    <cfRule type="containsText" dxfId="6290" priority="6345" operator="containsText" text="Reasignación">
      <formula>NOT(ISERROR(SEARCH("Reasignación",K859)))</formula>
    </cfRule>
    <cfRule type="containsText" dxfId="6289" priority="6346" operator="containsText" text="RECHAZADA">
      <formula>NOT(ISERROR(SEARCH("RECHAZADA",K859)))</formula>
    </cfRule>
    <cfRule type="containsText" dxfId="6288" priority="6347" operator="containsText" text="Atendida">
      <formula>NOT(ISERROR(SEARCH("Atendida",K859)))</formula>
    </cfRule>
    <cfRule type="containsText" dxfId="6287" priority="6348" operator="containsText" text="Reasignación">
      <formula>NOT(ISERROR(SEARCH("Reasignación",K859)))</formula>
    </cfRule>
    <cfRule type="containsText" dxfId="6286" priority="6349" operator="containsText" text="RECHAZADA">
      <formula>NOT(ISERROR(SEARCH("RECHAZADA",K859)))</formula>
    </cfRule>
    <cfRule type="containsText" dxfId="6285" priority="6350" operator="containsText" text="Atendida">
      <formula>NOT(ISERROR(SEARCH("Atendida",K859)))</formula>
    </cfRule>
    <cfRule type="containsText" dxfId="6284" priority="6351" operator="containsText" text="Reasignación">
      <formula>NOT(ISERROR(SEARCH("Reasignación",K859)))</formula>
    </cfRule>
    <cfRule type="containsText" dxfId="6283" priority="6352" operator="containsText" text="RECHAZADA">
      <formula>NOT(ISERROR(SEARCH("RECHAZADA",K859)))</formula>
    </cfRule>
    <cfRule type="containsText" dxfId="6282" priority="6353" operator="containsText" text="Atendida">
      <formula>NOT(ISERROR(SEARCH("Atendida",K859)))</formula>
    </cfRule>
  </conditionalFormatting>
  <conditionalFormatting sqref="K859">
    <cfRule type="containsText" dxfId="6281" priority="6369" operator="containsText" text="Reasignación">
      <formula>NOT(ISERROR(SEARCH("Reasignación",K859)))</formula>
    </cfRule>
    <cfRule type="containsText" dxfId="6280" priority="6370" operator="containsText" text="RECHAZADA">
      <formula>NOT(ISERROR(SEARCH("RECHAZADA",K859)))</formula>
    </cfRule>
    <cfRule type="containsText" dxfId="6279" priority="6371" operator="containsText" text="Atendida">
      <formula>NOT(ISERROR(SEARCH("Atendida",K859)))</formula>
    </cfRule>
  </conditionalFormatting>
  <conditionalFormatting sqref="K859">
    <cfRule type="containsText" dxfId="6278" priority="6357" operator="containsText" text="Reasignación">
      <formula>NOT(ISERROR(SEARCH("Reasignación",K859)))</formula>
    </cfRule>
    <cfRule type="containsText" dxfId="6277" priority="6358" operator="containsText" text="RECHAZADA">
      <formula>NOT(ISERROR(SEARCH("RECHAZADA",K859)))</formula>
    </cfRule>
    <cfRule type="containsText" dxfId="6276" priority="6359" operator="containsText" text="Atendida">
      <formula>NOT(ISERROR(SEARCH("Atendida",K859)))</formula>
    </cfRule>
    <cfRule type="containsText" dxfId="6275" priority="6360" operator="containsText" text="Reasignación">
      <formula>NOT(ISERROR(SEARCH("Reasignación",K859)))</formula>
    </cfRule>
    <cfRule type="containsText" dxfId="6274" priority="6361" operator="containsText" text="RECHAZADA">
      <formula>NOT(ISERROR(SEARCH("RECHAZADA",K859)))</formula>
    </cfRule>
    <cfRule type="containsText" dxfId="6273" priority="6362" operator="containsText" text="Atendida">
      <formula>NOT(ISERROR(SEARCH("Atendida",K859)))</formula>
    </cfRule>
    <cfRule type="containsText" dxfId="6272" priority="6363" operator="containsText" text="Reasignación">
      <formula>NOT(ISERROR(SEARCH("Reasignación",K859)))</formula>
    </cfRule>
    <cfRule type="containsText" dxfId="6271" priority="6364" operator="containsText" text="RECHAZADA">
      <formula>NOT(ISERROR(SEARCH("RECHAZADA",K859)))</formula>
    </cfRule>
    <cfRule type="containsText" dxfId="6270" priority="6365" operator="containsText" text="Atendida">
      <formula>NOT(ISERROR(SEARCH("Atendida",K859)))</formula>
    </cfRule>
    <cfRule type="containsText" dxfId="6269" priority="6366" operator="containsText" text="Reasignación">
      <formula>NOT(ISERROR(SEARCH("Reasignación",K859)))</formula>
    </cfRule>
    <cfRule type="containsText" dxfId="6268" priority="6367" operator="containsText" text="RECHAZADA">
      <formula>NOT(ISERROR(SEARCH("RECHAZADA",K859)))</formula>
    </cfRule>
    <cfRule type="containsText" dxfId="6267" priority="6368" operator="containsText" text="Atendida">
      <formula>NOT(ISERROR(SEARCH("Atendida",K859)))</formula>
    </cfRule>
  </conditionalFormatting>
  <conditionalFormatting sqref="B861">
    <cfRule type="duplicateValues" dxfId="6266" priority="6274"/>
  </conditionalFormatting>
  <conditionalFormatting sqref="E868:E870 E864:E865 E861">
    <cfRule type="duplicateValues" dxfId="6265" priority="6275"/>
  </conditionalFormatting>
  <conditionalFormatting sqref="K861">
    <cfRule type="containsText" dxfId="6264" priority="6267" operator="containsText" text="Reasignación">
      <formula>NOT(ISERROR(SEARCH("Reasignación",K861)))</formula>
    </cfRule>
    <cfRule type="containsText" dxfId="6263" priority="6268" operator="containsText" text="RECHAZADA">
      <formula>NOT(ISERROR(SEARCH("RECHAZADA",K861)))</formula>
    </cfRule>
    <cfRule type="containsText" dxfId="6262" priority="6269" operator="containsText" text="Atendida">
      <formula>NOT(ISERROR(SEARCH("Atendida",K861)))</formula>
    </cfRule>
  </conditionalFormatting>
  <conditionalFormatting sqref="K861">
    <cfRule type="containsText" dxfId="6261" priority="6258" operator="containsText" text="Reasignación">
      <formula>NOT(ISERROR(SEARCH("Reasignación",K861)))</formula>
    </cfRule>
    <cfRule type="containsText" dxfId="6260" priority="6259" operator="containsText" text="RECHAZADA">
      <formula>NOT(ISERROR(SEARCH("RECHAZADA",K861)))</formula>
    </cfRule>
    <cfRule type="containsText" dxfId="6259" priority="6260" operator="containsText" text="Atendida">
      <formula>NOT(ISERROR(SEARCH("Atendida",K861)))</formula>
    </cfRule>
    <cfRule type="containsText" dxfId="6258" priority="6261" operator="containsText" text="Reasignación">
      <formula>NOT(ISERROR(SEARCH("Reasignación",K861)))</formula>
    </cfRule>
    <cfRule type="containsText" dxfId="6257" priority="6262" operator="containsText" text="RECHAZADA">
      <formula>NOT(ISERROR(SEARCH("RECHAZADA",K861)))</formula>
    </cfRule>
    <cfRule type="containsText" dxfId="6256" priority="6263" operator="containsText" text="Atendida">
      <formula>NOT(ISERROR(SEARCH("Atendida",K861)))</formula>
    </cfRule>
    <cfRule type="containsText" dxfId="6255" priority="6264" operator="containsText" text="Reasignación">
      <formula>NOT(ISERROR(SEARCH("Reasignación",K861)))</formula>
    </cfRule>
    <cfRule type="containsText" dxfId="6254" priority="6265" operator="containsText" text="RECHAZADA">
      <formula>NOT(ISERROR(SEARCH("RECHAZADA",K861)))</formula>
    </cfRule>
    <cfRule type="containsText" dxfId="6253" priority="6266" operator="containsText" text="Atendida">
      <formula>NOT(ISERROR(SEARCH("Atendida",K861)))</formula>
    </cfRule>
  </conditionalFormatting>
  <conditionalFormatting sqref="K861">
    <cfRule type="containsText" dxfId="6252" priority="6255" operator="containsText" text="Reasignación">
      <formula>NOT(ISERROR(SEARCH("Reasignación",K861)))</formula>
    </cfRule>
    <cfRule type="containsText" dxfId="6251" priority="6256" operator="containsText" text="RECHAZADA">
      <formula>NOT(ISERROR(SEARCH("RECHAZADA",K861)))</formula>
    </cfRule>
    <cfRule type="containsText" dxfId="6250" priority="6257" operator="containsText" text="Atendida">
      <formula>NOT(ISERROR(SEARCH("Atendida",K861)))</formula>
    </cfRule>
  </conditionalFormatting>
  <conditionalFormatting sqref="M868:M870 M864:M865 M861">
    <cfRule type="containsText" dxfId="6249" priority="6272" operator="containsText" text="RECHAZADA">
      <formula>NOT(ISERROR(SEARCH("RECHAZADA",M861)))</formula>
    </cfRule>
  </conditionalFormatting>
  <conditionalFormatting sqref="M868:M870 M864:M865 M861">
    <cfRule type="containsText" dxfId="6248" priority="6273" operator="containsText" text="Atendida">
      <formula>NOT(ISERROR(SEARCH("Atendida",M861)))</formula>
    </cfRule>
  </conditionalFormatting>
  <conditionalFormatting sqref="M868:M870 M864:M865 M861">
    <cfRule type="containsText" dxfId="6247" priority="6271" operator="containsText" text="CONFORME">
      <formula>NOT(ISERROR(SEARCH("CONFORME",M861)))</formula>
    </cfRule>
  </conditionalFormatting>
  <conditionalFormatting sqref="M868:M870 M864:M865 M861">
    <cfRule type="containsText" dxfId="6246" priority="6270" operator="containsText" text="OBSERVADO">
      <formula>NOT(ISERROR(SEARCH("OBSERVADO",M861)))</formula>
    </cfRule>
  </conditionalFormatting>
  <conditionalFormatting sqref="B862">
    <cfRule type="duplicateValues" dxfId="6245" priority="6254"/>
  </conditionalFormatting>
  <conditionalFormatting sqref="E862">
    <cfRule type="duplicateValues" dxfId="6244" priority="6250"/>
  </conditionalFormatting>
  <conditionalFormatting sqref="K862">
    <cfRule type="containsText" dxfId="6243" priority="6246" operator="containsText" text="Reasignación">
      <formula>NOT(ISERROR(SEARCH("Reasignación",K862)))</formula>
    </cfRule>
    <cfRule type="containsText" dxfId="6242" priority="6247" operator="containsText" text="RECHAZADA">
      <formula>NOT(ISERROR(SEARCH("RECHAZADA",K862)))</formula>
    </cfRule>
    <cfRule type="containsText" dxfId="6241" priority="6248" operator="containsText" text="Atendida">
      <formula>NOT(ISERROR(SEARCH("Atendida",K862)))</formula>
    </cfRule>
  </conditionalFormatting>
  <conditionalFormatting sqref="K862">
    <cfRule type="containsText" dxfId="6240" priority="6198" operator="containsText" text="Reasignación">
      <formula>NOT(ISERROR(SEARCH("Reasignación",K862)))</formula>
    </cfRule>
    <cfRule type="containsText" dxfId="6239" priority="6199" operator="containsText" text="RECHAZADA">
      <formula>NOT(ISERROR(SEARCH("RECHAZADA",K862)))</formula>
    </cfRule>
    <cfRule type="containsText" dxfId="6238" priority="6200" operator="containsText" text="Atendida">
      <formula>NOT(ISERROR(SEARCH("Atendida",K862)))</formula>
    </cfRule>
    <cfRule type="containsText" dxfId="6237" priority="6201" operator="containsText" text="Reasignación">
      <formula>NOT(ISERROR(SEARCH("Reasignación",K862)))</formula>
    </cfRule>
    <cfRule type="containsText" dxfId="6236" priority="6202" operator="containsText" text="RECHAZADA">
      <formula>NOT(ISERROR(SEARCH("RECHAZADA",K862)))</formula>
    </cfRule>
    <cfRule type="containsText" dxfId="6235" priority="6203" operator="containsText" text="Atendida">
      <formula>NOT(ISERROR(SEARCH("Atendida",K862)))</formula>
    </cfRule>
    <cfRule type="containsText" dxfId="6234" priority="6204" operator="containsText" text="Reasignación">
      <formula>NOT(ISERROR(SEARCH("Reasignación",K862)))</formula>
    </cfRule>
    <cfRule type="containsText" dxfId="6233" priority="6205" operator="containsText" text="RECHAZADA">
      <formula>NOT(ISERROR(SEARCH("RECHAZADA",K862)))</formula>
    </cfRule>
    <cfRule type="containsText" dxfId="6232" priority="6206" operator="containsText" text="Atendida">
      <formula>NOT(ISERROR(SEARCH("Atendida",K862)))</formula>
    </cfRule>
    <cfRule type="containsText" dxfId="6231" priority="6207" operator="containsText" text="Reasignación">
      <formula>NOT(ISERROR(SEARCH("Reasignación",K862)))</formula>
    </cfRule>
    <cfRule type="containsText" dxfId="6230" priority="6208" operator="containsText" text="RECHAZADA">
      <formula>NOT(ISERROR(SEARCH("RECHAZADA",K862)))</formula>
    </cfRule>
    <cfRule type="containsText" dxfId="6229" priority="6209" operator="containsText" text="Atendida">
      <formula>NOT(ISERROR(SEARCH("Atendida",K862)))</formula>
    </cfRule>
    <cfRule type="containsText" dxfId="6228" priority="6210" operator="containsText" text="Reasignación">
      <formula>NOT(ISERROR(SEARCH("Reasignación",K862)))</formula>
    </cfRule>
    <cfRule type="containsText" dxfId="6227" priority="6211" operator="containsText" text="RECHAZADA">
      <formula>NOT(ISERROR(SEARCH("RECHAZADA",K862)))</formula>
    </cfRule>
    <cfRule type="containsText" dxfId="6226" priority="6212" operator="containsText" text="Atendida">
      <formula>NOT(ISERROR(SEARCH("Atendida",K862)))</formula>
    </cfRule>
    <cfRule type="containsText" dxfId="6225" priority="6213" operator="containsText" text="Reasignación">
      <formula>NOT(ISERROR(SEARCH("Reasignación",K862)))</formula>
    </cfRule>
    <cfRule type="containsText" dxfId="6224" priority="6214" operator="containsText" text="RECHAZADA">
      <formula>NOT(ISERROR(SEARCH("RECHAZADA",K862)))</formula>
    </cfRule>
    <cfRule type="containsText" dxfId="6223" priority="6215" operator="containsText" text="Atendida">
      <formula>NOT(ISERROR(SEARCH("Atendida",K862)))</formula>
    </cfRule>
    <cfRule type="containsText" dxfId="6222" priority="6216" operator="containsText" text="Reasignación">
      <formula>NOT(ISERROR(SEARCH("Reasignación",K862)))</formula>
    </cfRule>
    <cfRule type="containsText" dxfId="6221" priority="6217" operator="containsText" text="RECHAZADA">
      <formula>NOT(ISERROR(SEARCH("RECHAZADA",K862)))</formula>
    </cfRule>
    <cfRule type="containsText" dxfId="6220" priority="6218" operator="containsText" text="Atendida">
      <formula>NOT(ISERROR(SEARCH("Atendida",K862)))</formula>
    </cfRule>
    <cfRule type="containsText" dxfId="6219" priority="6219" operator="containsText" text="Reasignación">
      <formula>NOT(ISERROR(SEARCH("Reasignación",K862)))</formula>
    </cfRule>
    <cfRule type="containsText" dxfId="6218" priority="6220" operator="containsText" text="RECHAZADA">
      <formula>NOT(ISERROR(SEARCH("RECHAZADA",K862)))</formula>
    </cfRule>
    <cfRule type="containsText" dxfId="6217" priority="6221" operator="containsText" text="Atendida">
      <formula>NOT(ISERROR(SEARCH("Atendida",K862)))</formula>
    </cfRule>
    <cfRule type="containsText" dxfId="6216" priority="6222" operator="containsText" text="Reasignación">
      <formula>NOT(ISERROR(SEARCH("Reasignación",K862)))</formula>
    </cfRule>
    <cfRule type="containsText" dxfId="6215" priority="6223" operator="containsText" text="RECHAZADA">
      <formula>NOT(ISERROR(SEARCH("RECHAZADA",K862)))</formula>
    </cfRule>
    <cfRule type="containsText" dxfId="6214" priority="6224" operator="containsText" text="Atendida">
      <formula>NOT(ISERROR(SEARCH("Atendida",K862)))</formula>
    </cfRule>
    <cfRule type="containsText" dxfId="6213" priority="6225" operator="containsText" text="Reasignación">
      <formula>NOT(ISERROR(SEARCH("Reasignación",K862)))</formula>
    </cfRule>
    <cfRule type="containsText" dxfId="6212" priority="6226" operator="containsText" text="RECHAZADA">
      <formula>NOT(ISERROR(SEARCH("RECHAZADA",K862)))</formula>
    </cfRule>
    <cfRule type="containsText" dxfId="6211" priority="6227" operator="containsText" text="Atendida">
      <formula>NOT(ISERROR(SEARCH("Atendida",K862)))</formula>
    </cfRule>
    <cfRule type="containsText" dxfId="6210" priority="6228" operator="containsText" text="Reasignación">
      <formula>NOT(ISERROR(SEARCH("Reasignación",K862)))</formula>
    </cfRule>
    <cfRule type="containsText" dxfId="6209" priority="6229" operator="containsText" text="RECHAZADA">
      <formula>NOT(ISERROR(SEARCH("RECHAZADA",K862)))</formula>
    </cfRule>
    <cfRule type="containsText" dxfId="6208" priority="6230" operator="containsText" text="Atendida">
      <formula>NOT(ISERROR(SEARCH("Atendida",K862)))</formula>
    </cfRule>
    <cfRule type="containsText" dxfId="6207" priority="6231" operator="containsText" text="Reasignación">
      <formula>NOT(ISERROR(SEARCH("Reasignación",K862)))</formula>
    </cfRule>
    <cfRule type="containsText" dxfId="6206" priority="6232" operator="containsText" text="RECHAZADA">
      <formula>NOT(ISERROR(SEARCH("RECHAZADA",K862)))</formula>
    </cfRule>
    <cfRule type="containsText" dxfId="6205" priority="6233" operator="containsText" text="Atendida">
      <formula>NOT(ISERROR(SEARCH("Atendida",K862)))</formula>
    </cfRule>
    <cfRule type="containsText" dxfId="6204" priority="6234" operator="containsText" text="Reasignación">
      <formula>NOT(ISERROR(SEARCH("Reasignación",K862)))</formula>
    </cfRule>
    <cfRule type="containsText" dxfId="6203" priority="6235" operator="containsText" text="RECHAZADA">
      <formula>NOT(ISERROR(SEARCH("RECHAZADA",K862)))</formula>
    </cfRule>
    <cfRule type="containsText" dxfId="6202" priority="6236" operator="containsText" text="Atendida">
      <formula>NOT(ISERROR(SEARCH("Atendida",K862)))</formula>
    </cfRule>
    <cfRule type="containsText" dxfId="6201" priority="6237" operator="containsText" text="Reasignación">
      <formula>NOT(ISERROR(SEARCH("Reasignación",K862)))</formula>
    </cfRule>
    <cfRule type="containsText" dxfId="6200" priority="6238" operator="containsText" text="RECHAZADA">
      <formula>NOT(ISERROR(SEARCH("RECHAZADA",K862)))</formula>
    </cfRule>
    <cfRule type="containsText" dxfId="6199" priority="6239" operator="containsText" text="Atendida">
      <formula>NOT(ISERROR(SEARCH("Atendida",K862)))</formula>
    </cfRule>
    <cfRule type="containsText" dxfId="6198" priority="6240" operator="containsText" text="Reasignación">
      <formula>NOT(ISERROR(SEARCH("Reasignación",K862)))</formula>
    </cfRule>
    <cfRule type="containsText" dxfId="6197" priority="6241" operator="containsText" text="RECHAZADA">
      <formula>NOT(ISERROR(SEARCH("RECHAZADA",K862)))</formula>
    </cfRule>
    <cfRule type="containsText" dxfId="6196" priority="6242" operator="containsText" text="Atendida">
      <formula>NOT(ISERROR(SEARCH("Atendida",K862)))</formula>
    </cfRule>
    <cfRule type="containsText" dxfId="6195" priority="6243" operator="containsText" text="Reasignación">
      <formula>NOT(ISERROR(SEARCH("Reasignación",K862)))</formula>
    </cfRule>
    <cfRule type="containsText" dxfId="6194" priority="6244" operator="containsText" text="RECHAZADA">
      <formula>NOT(ISERROR(SEARCH("RECHAZADA",K862)))</formula>
    </cfRule>
    <cfRule type="containsText" dxfId="6193" priority="6245" operator="containsText" text="Atendida">
      <formula>NOT(ISERROR(SEARCH("Atendida",K862)))</formula>
    </cfRule>
  </conditionalFormatting>
  <conditionalFormatting sqref="M862">
    <cfRule type="containsText" dxfId="6192" priority="6249" operator="containsText" text="OBSERVADO">
      <formula>NOT(ISERROR(SEARCH("OBSERVADO",M862)))</formula>
    </cfRule>
    <cfRule type="containsText" dxfId="6191" priority="6251" operator="containsText" text="CONFORME">
      <formula>NOT(ISERROR(SEARCH("CONFORME",M862)))</formula>
    </cfRule>
    <cfRule type="containsText" dxfId="6190" priority="6252" operator="containsText" text="RECHAZADA">
      <formula>NOT(ISERROR(SEARCH("RECHAZADA",M862)))</formula>
    </cfRule>
    <cfRule type="containsText" dxfId="6189" priority="6253" operator="containsText" text="Atendida">
      <formula>NOT(ISERROR(SEARCH("Atendida",M862)))</formula>
    </cfRule>
  </conditionalFormatting>
  <conditionalFormatting sqref="B863">
    <cfRule type="duplicateValues" dxfId="6188" priority="6192"/>
  </conditionalFormatting>
  <conditionalFormatting sqref="E863">
    <cfRule type="duplicateValues" dxfId="6187" priority="6194"/>
  </conditionalFormatting>
  <conditionalFormatting sqref="K863">
    <cfRule type="containsText" dxfId="6186" priority="6135" operator="containsText" text="Reasignación">
      <formula>NOT(ISERROR(SEARCH("Reasignación",K863)))</formula>
    </cfRule>
    <cfRule type="containsText" dxfId="6185" priority="6136" operator="containsText" text="RECHAZADA">
      <formula>NOT(ISERROR(SEARCH("RECHAZADA",K863)))</formula>
    </cfRule>
    <cfRule type="containsText" dxfId="6184" priority="6137" operator="containsText" text="Atendida">
      <formula>NOT(ISERROR(SEARCH("Atendida",K863)))</formula>
    </cfRule>
    <cfRule type="containsText" dxfId="6183" priority="6138" operator="containsText" text="Reasignación">
      <formula>NOT(ISERROR(SEARCH("Reasignación",K863)))</formula>
    </cfRule>
    <cfRule type="containsText" dxfId="6182" priority="6139" operator="containsText" text="RECHAZADA">
      <formula>NOT(ISERROR(SEARCH("RECHAZADA",K863)))</formula>
    </cfRule>
    <cfRule type="containsText" dxfId="6181" priority="6140" operator="containsText" text="Atendida">
      <formula>NOT(ISERROR(SEARCH("Atendida",K863)))</formula>
    </cfRule>
    <cfRule type="containsText" dxfId="6180" priority="6141" operator="containsText" text="Reasignación">
      <formula>NOT(ISERROR(SEARCH("Reasignación",K863)))</formula>
    </cfRule>
    <cfRule type="containsText" dxfId="6179" priority="6142" operator="containsText" text="RECHAZADA">
      <formula>NOT(ISERROR(SEARCH("RECHAZADA",K863)))</formula>
    </cfRule>
    <cfRule type="containsText" dxfId="6178" priority="6143" operator="containsText" text="Atendida">
      <formula>NOT(ISERROR(SEARCH("Atendida",K863)))</formula>
    </cfRule>
    <cfRule type="containsText" dxfId="6177" priority="6144" operator="containsText" text="Reasignación">
      <formula>NOT(ISERROR(SEARCH("Reasignación",K863)))</formula>
    </cfRule>
    <cfRule type="containsText" dxfId="6176" priority="6145" operator="containsText" text="RECHAZADA">
      <formula>NOT(ISERROR(SEARCH("RECHAZADA",K863)))</formula>
    </cfRule>
    <cfRule type="containsText" dxfId="6175" priority="6146" operator="containsText" text="Atendida">
      <formula>NOT(ISERROR(SEARCH("Atendida",K863)))</formula>
    </cfRule>
    <cfRule type="containsText" dxfId="6174" priority="6147" operator="containsText" text="Reasignación">
      <formula>NOT(ISERROR(SEARCH("Reasignación",K863)))</formula>
    </cfRule>
    <cfRule type="containsText" dxfId="6173" priority="6148" operator="containsText" text="RECHAZADA">
      <formula>NOT(ISERROR(SEARCH("RECHAZADA",K863)))</formula>
    </cfRule>
    <cfRule type="containsText" dxfId="6172" priority="6149" operator="containsText" text="Atendida">
      <formula>NOT(ISERROR(SEARCH("Atendida",K863)))</formula>
    </cfRule>
    <cfRule type="containsText" dxfId="6171" priority="6150" operator="containsText" text="Reasignación">
      <formula>NOT(ISERROR(SEARCH("Reasignación",K863)))</formula>
    </cfRule>
    <cfRule type="containsText" dxfId="6170" priority="6151" operator="containsText" text="RECHAZADA">
      <formula>NOT(ISERROR(SEARCH("RECHAZADA",K863)))</formula>
    </cfRule>
    <cfRule type="containsText" dxfId="6169" priority="6152" operator="containsText" text="Atendida">
      <formula>NOT(ISERROR(SEARCH("Atendida",K863)))</formula>
    </cfRule>
    <cfRule type="containsText" dxfId="6168" priority="6153" operator="containsText" text="Reasignación">
      <formula>NOT(ISERROR(SEARCH("Reasignación",K863)))</formula>
    </cfRule>
    <cfRule type="containsText" dxfId="6167" priority="6154" operator="containsText" text="RECHAZADA">
      <formula>NOT(ISERROR(SEARCH("RECHAZADA",K863)))</formula>
    </cfRule>
    <cfRule type="containsText" dxfId="6166" priority="6155" operator="containsText" text="Atendida">
      <formula>NOT(ISERROR(SEARCH("Atendida",K863)))</formula>
    </cfRule>
    <cfRule type="containsText" dxfId="6165" priority="6156" operator="containsText" text="Reasignación">
      <formula>NOT(ISERROR(SEARCH("Reasignación",K863)))</formula>
    </cfRule>
    <cfRule type="containsText" dxfId="6164" priority="6157" operator="containsText" text="RECHAZADA">
      <formula>NOT(ISERROR(SEARCH("RECHAZADA",K863)))</formula>
    </cfRule>
    <cfRule type="containsText" dxfId="6163" priority="6158" operator="containsText" text="Atendida">
      <formula>NOT(ISERROR(SEARCH("Atendida",K863)))</formula>
    </cfRule>
    <cfRule type="containsText" dxfId="6162" priority="6159" operator="containsText" text="Reasignación">
      <formula>NOT(ISERROR(SEARCH("Reasignación",K863)))</formula>
    </cfRule>
    <cfRule type="containsText" dxfId="6161" priority="6160" operator="containsText" text="RECHAZADA">
      <formula>NOT(ISERROR(SEARCH("RECHAZADA",K863)))</formula>
    </cfRule>
    <cfRule type="containsText" dxfId="6160" priority="6161" operator="containsText" text="Atendida">
      <formula>NOT(ISERROR(SEARCH("Atendida",K863)))</formula>
    </cfRule>
    <cfRule type="containsText" dxfId="6159" priority="6162" operator="containsText" text="Reasignación">
      <formula>NOT(ISERROR(SEARCH("Reasignación",K863)))</formula>
    </cfRule>
    <cfRule type="containsText" dxfId="6158" priority="6163" operator="containsText" text="RECHAZADA">
      <formula>NOT(ISERROR(SEARCH("RECHAZADA",K863)))</formula>
    </cfRule>
    <cfRule type="containsText" dxfId="6157" priority="6164" operator="containsText" text="Atendida">
      <formula>NOT(ISERROR(SEARCH("Atendida",K863)))</formula>
    </cfRule>
    <cfRule type="containsText" dxfId="6156" priority="6165" operator="containsText" text="Reasignación">
      <formula>NOT(ISERROR(SEARCH("Reasignación",K863)))</formula>
    </cfRule>
    <cfRule type="containsText" dxfId="6155" priority="6166" operator="containsText" text="RECHAZADA">
      <formula>NOT(ISERROR(SEARCH("RECHAZADA",K863)))</formula>
    </cfRule>
    <cfRule type="containsText" dxfId="6154" priority="6167" operator="containsText" text="Atendida">
      <formula>NOT(ISERROR(SEARCH("Atendida",K863)))</formula>
    </cfRule>
    <cfRule type="containsText" dxfId="6153" priority="6168" operator="containsText" text="Reasignación">
      <formula>NOT(ISERROR(SEARCH("Reasignación",K863)))</formula>
    </cfRule>
    <cfRule type="containsText" dxfId="6152" priority="6169" operator="containsText" text="RECHAZADA">
      <formula>NOT(ISERROR(SEARCH("RECHAZADA",K863)))</formula>
    </cfRule>
    <cfRule type="containsText" dxfId="6151" priority="6170" operator="containsText" text="Atendida">
      <formula>NOT(ISERROR(SEARCH("Atendida",K863)))</formula>
    </cfRule>
    <cfRule type="containsText" dxfId="6150" priority="6171" operator="containsText" text="Reasignación">
      <formula>NOT(ISERROR(SEARCH("Reasignación",K863)))</formula>
    </cfRule>
    <cfRule type="containsText" dxfId="6149" priority="6172" operator="containsText" text="RECHAZADA">
      <formula>NOT(ISERROR(SEARCH("RECHAZADA",K863)))</formula>
    </cfRule>
    <cfRule type="containsText" dxfId="6148" priority="6173" operator="containsText" text="Atendida">
      <formula>NOT(ISERROR(SEARCH("Atendida",K863)))</formula>
    </cfRule>
    <cfRule type="containsText" dxfId="6147" priority="6174" operator="containsText" text="Reasignación">
      <formula>NOT(ISERROR(SEARCH("Reasignación",K863)))</formula>
    </cfRule>
    <cfRule type="containsText" dxfId="6146" priority="6175" operator="containsText" text="RECHAZADA">
      <formula>NOT(ISERROR(SEARCH("RECHAZADA",K863)))</formula>
    </cfRule>
    <cfRule type="containsText" dxfId="6145" priority="6176" operator="containsText" text="Atendida">
      <formula>NOT(ISERROR(SEARCH("Atendida",K863)))</formula>
    </cfRule>
    <cfRule type="containsText" dxfId="6144" priority="6177" operator="containsText" text="Reasignación">
      <formula>NOT(ISERROR(SEARCH("Reasignación",K863)))</formula>
    </cfRule>
    <cfRule type="containsText" dxfId="6143" priority="6178" operator="containsText" text="RECHAZADA">
      <formula>NOT(ISERROR(SEARCH("RECHAZADA",K863)))</formula>
    </cfRule>
    <cfRule type="containsText" dxfId="6142" priority="6179" operator="containsText" text="Atendida">
      <formula>NOT(ISERROR(SEARCH("Atendida",K863)))</formula>
    </cfRule>
    <cfRule type="containsText" dxfId="6141" priority="6180" operator="containsText" text="Reasignación">
      <formula>NOT(ISERROR(SEARCH("Reasignación",K863)))</formula>
    </cfRule>
    <cfRule type="containsText" dxfId="6140" priority="6181" operator="containsText" text="RECHAZADA">
      <formula>NOT(ISERROR(SEARCH("RECHAZADA",K863)))</formula>
    </cfRule>
    <cfRule type="containsText" dxfId="6139" priority="6182" operator="containsText" text="Atendida">
      <formula>NOT(ISERROR(SEARCH("Atendida",K863)))</formula>
    </cfRule>
    <cfRule type="containsText" dxfId="6138" priority="6183" operator="containsText" text="Reasignación">
      <formula>NOT(ISERROR(SEARCH("Reasignación",K863)))</formula>
    </cfRule>
    <cfRule type="containsText" dxfId="6137" priority="6184" operator="containsText" text="RECHAZADA">
      <formula>NOT(ISERROR(SEARCH("RECHAZADA",K863)))</formula>
    </cfRule>
    <cfRule type="containsText" dxfId="6136" priority="6185" operator="containsText" text="Atendida">
      <formula>NOT(ISERROR(SEARCH("Atendida",K863)))</formula>
    </cfRule>
    <cfRule type="containsText" dxfId="6135" priority="6186" operator="containsText" text="Reasignación">
      <formula>NOT(ISERROR(SEARCH("Reasignación",K863)))</formula>
    </cfRule>
    <cfRule type="containsText" dxfId="6134" priority="6187" operator="containsText" text="RECHAZADA">
      <formula>NOT(ISERROR(SEARCH("RECHAZADA",K863)))</formula>
    </cfRule>
    <cfRule type="containsText" dxfId="6133" priority="6188" operator="containsText" text="Atendida">
      <formula>NOT(ISERROR(SEARCH("Atendida",K863)))</formula>
    </cfRule>
    <cfRule type="containsText" dxfId="6132" priority="6189" operator="containsText" text="Reasignación">
      <formula>NOT(ISERROR(SEARCH("Reasignación",K863)))</formula>
    </cfRule>
    <cfRule type="containsText" dxfId="6131" priority="6190" operator="containsText" text="RECHAZADA">
      <formula>NOT(ISERROR(SEARCH("RECHAZADA",K863)))</formula>
    </cfRule>
    <cfRule type="containsText" dxfId="6130" priority="6191" operator="containsText" text="Atendida">
      <formula>NOT(ISERROR(SEARCH("Atendida",K863)))</formula>
    </cfRule>
  </conditionalFormatting>
  <conditionalFormatting sqref="K863">
    <cfRule type="containsText" dxfId="6129" priority="6132" operator="containsText" text="Reasignación">
      <formula>NOT(ISERROR(SEARCH("Reasignación",K863)))</formula>
    </cfRule>
    <cfRule type="containsText" dxfId="6128" priority="6133" operator="containsText" text="RECHAZADA">
      <formula>NOT(ISERROR(SEARCH("RECHAZADA",K863)))</formula>
    </cfRule>
    <cfRule type="containsText" dxfId="6127" priority="6134" operator="containsText" text="Atendida">
      <formula>NOT(ISERROR(SEARCH("Atendida",K863)))</formula>
    </cfRule>
  </conditionalFormatting>
  <conditionalFormatting sqref="M863">
    <cfRule type="containsText" dxfId="6126" priority="6193" operator="containsText" text="OBSERVADO">
      <formula>NOT(ISERROR(SEARCH("OBSERVADO",M863)))</formula>
    </cfRule>
    <cfRule type="containsText" dxfId="6125" priority="6195" operator="containsText" text="CONFORME">
      <formula>NOT(ISERROR(SEARCH("CONFORME",M863)))</formula>
    </cfRule>
    <cfRule type="containsText" dxfId="6124" priority="6196" operator="containsText" text="RECHAZADA">
      <formula>NOT(ISERROR(SEARCH("RECHAZADA",M863)))</formula>
    </cfRule>
    <cfRule type="containsText" dxfId="6123" priority="6197" operator="containsText" text="Atendida">
      <formula>NOT(ISERROR(SEARCH("Atendida",M863)))</formula>
    </cfRule>
  </conditionalFormatting>
  <conditionalFormatting sqref="B868:B870 B864:B865">
    <cfRule type="duplicateValues" dxfId="6122" priority="6131"/>
  </conditionalFormatting>
  <conditionalFormatting sqref="K864">
    <cfRule type="containsText" dxfId="6121" priority="6128" operator="containsText" text="Reasignación">
      <formula>NOT(ISERROR(SEARCH("Reasignación",K864)))</formula>
    </cfRule>
    <cfRule type="containsText" dxfId="6120" priority="6129" operator="containsText" text="RECHAZADA">
      <formula>NOT(ISERROR(SEARCH("RECHAZADA",K864)))</formula>
    </cfRule>
    <cfRule type="containsText" dxfId="6119" priority="6130" operator="containsText" text="Atendida">
      <formula>NOT(ISERROR(SEARCH("Atendida",K864)))</formula>
    </cfRule>
  </conditionalFormatting>
  <conditionalFormatting sqref="K864">
    <cfRule type="containsText" dxfId="6118" priority="6095" operator="containsText" text="Reasignación">
      <formula>NOT(ISERROR(SEARCH("Reasignación",K864)))</formula>
    </cfRule>
    <cfRule type="containsText" dxfId="6117" priority="6096" operator="containsText" text="RECHAZADA">
      <formula>NOT(ISERROR(SEARCH("RECHAZADA",K864)))</formula>
    </cfRule>
    <cfRule type="containsText" dxfId="6116" priority="6097" operator="containsText" text="Atendida">
      <formula>NOT(ISERROR(SEARCH("Atendida",K864)))</formula>
    </cfRule>
    <cfRule type="containsText" dxfId="6115" priority="6098" operator="containsText" text="Reasignación">
      <formula>NOT(ISERROR(SEARCH("Reasignación",K864)))</formula>
    </cfRule>
    <cfRule type="containsText" dxfId="6114" priority="6099" operator="containsText" text="RECHAZADA">
      <formula>NOT(ISERROR(SEARCH("RECHAZADA",K864)))</formula>
    </cfRule>
    <cfRule type="containsText" dxfId="6113" priority="6100" operator="containsText" text="Atendida">
      <formula>NOT(ISERROR(SEARCH("Atendida",K864)))</formula>
    </cfRule>
    <cfRule type="containsText" dxfId="6112" priority="6101" operator="containsText" text="Reasignación">
      <formula>NOT(ISERROR(SEARCH("Reasignación",K864)))</formula>
    </cfRule>
    <cfRule type="containsText" dxfId="6111" priority="6102" operator="containsText" text="RECHAZADA">
      <formula>NOT(ISERROR(SEARCH("RECHAZADA",K864)))</formula>
    </cfRule>
    <cfRule type="containsText" dxfId="6110" priority="6103" operator="containsText" text="Atendida">
      <formula>NOT(ISERROR(SEARCH("Atendida",K864)))</formula>
    </cfRule>
    <cfRule type="containsText" dxfId="6109" priority="6104" operator="containsText" text="Reasignación">
      <formula>NOT(ISERROR(SEARCH("Reasignación",K864)))</formula>
    </cfRule>
    <cfRule type="containsText" dxfId="6108" priority="6105" operator="containsText" text="RECHAZADA">
      <formula>NOT(ISERROR(SEARCH("RECHAZADA",K864)))</formula>
    </cfRule>
    <cfRule type="containsText" dxfId="6107" priority="6106" operator="containsText" text="Atendida">
      <formula>NOT(ISERROR(SEARCH("Atendida",K864)))</formula>
    </cfRule>
    <cfRule type="containsText" dxfId="6106" priority="6107" operator="containsText" text="Reasignación">
      <formula>NOT(ISERROR(SEARCH("Reasignación",K864)))</formula>
    </cfRule>
    <cfRule type="containsText" dxfId="6105" priority="6108" operator="containsText" text="RECHAZADA">
      <formula>NOT(ISERROR(SEARCH("RECHAZADA",K864)))</formula>
    </cfRule>
    <cfRule type="containsText" dxfId="6104" priority="6109" operator="containsText" text="Atendida">
      <formula>NOT(ISERROR(SEARCH("Atendida",K864)))</formula>
    </cfRule>
    <cfRule type="containsText" dxfId="6103" priority="6110" operator="containsText" text="Reasignación">
      <formula>NOT(ISERROR(SEARCH("Reasignación",K864)))</formula>
    </cfRule>
    <cfRule type="containsText" dxfId="6102" priority="6111" operator="containsText" text="RECHAZADA">
      <formula>NOT(ISERROR(SEARCH("RECHAZADA",K864)))</formula>
    </cfRule>
    <cfRule type="containsText" dxfId="6101" priority="6112" operator="containsText" text="Atendida">
      <formula>NOT(ISERROR(SEARCH("Atendida",K864)))</formula>
    </cfRule>
    <cfRule type="containsText" dxfId="6100" priority="6113" operator="containsText" text="Reasignación">
      <formula>NOT(ISERROR(SEARCH("Reasignación",K864)))</formula>
    </cfRule>
    <cfRule type="containsText" dxfId="6099" priority="6114" operator="containsText" text="RECHAZADA">
      <formula>NOT(ISERROR(SEARCH("RECHAZADA",K864)))</formula>
    </cfRule>
    <cfRule type="containsText" dxfId="6098" priority="6115" operator="containsText" text="Atendida">
      <formula>NOT(ISERROR(SEARCH("Atendida",K864)))</formula>
    </cfRule>
    <cfRule type="containsText" dxfId="6097" priority="6116" operator="containsText" text="Reasignación">
      <formula>NOT(ISERROR(SEARCH("Reasignación",K864)))</formula>
    </cfRule>
    <cfRule type="containsText" dxfId="6096" priority="6117" operator="containsText" text="RECHAZADA">
      <formula>NOT(ISERROR(SEARCH("RECHAZADA",K864)))</formula>
    </cfRule>
    <cfRule type="containsText" dxfId="6095" priority="6118" operator="containsText" text="Atendida">
      <formula>NOT(ISERROR(SEARCH("Atendida",K864)))</formula>
    </cfRule>
    <cfRule type="containsText" dxfId="6094" priority="6119" operator="containsText" text="Reasignación">
      <formula>NOT(ISERROR(SEARCH("Reasignación",K864)))</formula>
    </cfRule>
    <cfRule type="containsText" dxfId="6093" priority="6120" operator="containsText" text="RECHAZADA">
      <formula>NOT(ISERROR(SEARCH("RECHAZADA",K864)))</formula>
    </cfRule>
    <cfRule type="containsText" dxfId="6092" priority="6121" operator="containsText" text="Atendida">
      <formula>NOT(ISERROR(SEARCH("Atendida",K864)))</formula>
    </cfRule>
    <cfRule type="containsText" dxfId="6091" priority="6122" operator="containsText" text="Reasignación">
      <formula>NOT(ISERROR(SEARCH("Reasignación",K864)))</formula>
    </cfRule>
    <cfRule type="containsText" dxfId="6090" priority="6123" operator="containsText" text="RECHAZADA">
      <formula>NOT(ISERROR(SEARCH("RECHAZADA",K864)))</formula>
    </cfRule>
    <cfRule type="containsText" dxfId="6089" priority="6124" operator="containsText" text="Atendida">
      <formula>NOT(ISERROR(SEARCH("Atendida",K864)))</formula>
    </cfRule>
    <cfRule type="containsText" dxfId="6088" priority="6125" operator="containsText" text="Reasignación">
      <formula>NOT(ISERROR(SEARCH("Reasignación",K864)))</formula>
    </cfRule>
    <cfRule type="containsText" dxfId="6087" priority="6126" operator="containsText" text="RECHAZADA">
      <formula>NOT(ISERROR(SEARCH("RECHAZADA",K864)))</formula>
    </cfRule>
    <cfRule type="containsText" dxfId="6086" priority="6127" operator="containsText" text="Atendida">
      <formula>NOT(ISERROR(SEARCH("Atendida",K864)))</formula>
    </cfRule>
  </conditionalFormatting>
  <conditionalFormatting sqref="B866">
    <cfRule type="duplicateValues" dxfId="6085" priority="6089"/>
  </conditionalFormatting>
  <conditionalFormatting sqref="B867">
    <cfRule type="duplicateValues" dxfId="6084" priority="6083"/>
  </conditionalFormatting>
  <conditionalFormatting sqref="E866">
    <cfRule type="duplicateValues" dxfId="6083" priority="6091"/>
  </conditionalFormatting>
  <conditionalFormatting sqref="E867">
    <cfRule type="duplicateValues" dxfId="6082" priority="6085"/>
  </conditionalFormatting>
  <conditionalFormatting sqref="K865:K866">
    <cfRule type="containsText" dxfId="6081" priority="6011" operator="containsText" text="Reasignación">
      <formula>NOT(ISERROR(SEARCH("Reasignación",K865)))</formula>
    </cfRule>
    <cfRule type="containsText" dxfId="6080" priority="6012" operator="containsText" text="RECHAZADA">
      <formula>NOT(ISERROR(SEARCH("RECHAZADA",K865)))</formula>
    </cfRule>
    <cfRule type="containsText" dxfId="6079" priority="6013" operator="containsText" text="Atendida">
      <formula>NOT(ISERROR(SEARCH("Atendida",K865)))</formula>
    </cfRule>
  </conditionalFormatting>
  <conditionalFormatting sqref="K865">
    <cfRule type="containsText" dxfId="6078" priority="5978" operator="containsText" text="Reasignación">
      <formula>NOT(ISERROR(SEARCH("Reasignación",K865)))</formula>
    </cfRule>
    <cfRule type="containsText" dxfId="6077" priority="5979" operator="containsText" text="RECHAZADA">
      <formula>NOT(ISERROR(SEARCH("RECHAZADA",K865)))</formula>
    </cfRule>
    <cfRule type="containsText" dxfId="6076" priority="5980" operator="containsText" text="Atendida">
      <formula>NOT(ISERROR(SEARCH("Atendida",K865)))</formula>
    </cfRule>
    <cfRule type="containsText" dxfId="6075" priority="5981" operator="containsText" text="Reasignación">
      <formula>NOT(ISERROR(SEARCH("Reasignación",K865)))</formula>
    </cfRule>
    <cfRule type="containsText" dxfId="6074" priority="5982" operator="containsText" text="RECHAZADA">
      <formula>NOT(ISERROR(SEARCH("RECHAZADA",K865)))</formula>
    </cfRule>
    <cfRule type="containsText" dxfId="6073" priority="5983" operator="containsText" text="Atendida">
      <formula>NOT(ISERROR(SEARCH("Atendida",K865)))</formula>
    </cfRule>
    <cfRule type="containsText" dxfId="6072" priority="5984" operator="containsText" text="Reasignación">
      <formula>NOT(ISERROR(SEARCH("Reasignación",K865)))</formula>
    </cfRule>
    <cfRule type="containsText" dxfId="6071" priority="5985" operator="containsText" text="RECHAZADA">
      <formula>NOT(ISERROR(SEARCH("RECHAZADA",K865)))</formula>
    </cfRule>
    <cfRule type="containsText" dxfId="6070" priority="5986" operator="containsText" text="Atendida">
      <formula>NOT(ISERROR(SEARCH("Atendida",K865)))</formula>
    </cfRule>
    <cfRule type="containsText" dxfId="6069" priority="5987" operator="containsText" text="Reasignación">
      <formula>NOT(ISERROR(SEARCH("Reasignación",K865)))</formula>
    </cfRule>
    <cfRule type="containsText" dxfId="6068" priority="5988" operator="containsText" text="RECHAZADA">
      <formula>NOT(ISERROR(SEARCH("RECHAZADA",K865)))</formula>
    </cfRule>
    <cfRule type="containsText" dxfId="6067" priority="5989" operator="containsText" text="Atendida">
      <formula>NOT(ISERROR(SEARCH("Atendida",K865)))</formula>
    </cfRule>
    <cfRule type="containsText" dxfId="6066" priority="5990" operator="containsText" text="Reasignación">
      <formula>NOT(ISERROR(SEARCH("Reasignación",K865)))</formula>
    </cfRule>
    <cfRule type="containsText" dxfId="6065" priority="5991" operator="containsText" text="RECHAZADA">
      <formula>NOT(ISERROR(SEARCH("RECHAZADA",K865)))</formula>
    </cfRule>
    <cfRule type="containsText" dxfId="6064" priority="5992" operator="containsText" text="Atendida">
      <formula>NOT(ISERROR(SEARCH("Atendida",K865)))</formula>
    </cfRule>
    <cfRule type="containsText" dxfId="6063" priority="5993" operator="containsText" text="Reasignación">
      <formula>NOT(ISERROR(SEARCH("Reasignación",K865)))</formula>
    </cfRule>
    <cfRule type="containsText" dxfId="6062" priority="5994" operator="containsText" text="RECHAZADA">
      <formula>NOT(ISERROR(SEARCH("RECHAZADA",K865)))</formula>
    </cfRule>
    <cfRule type="containsText" dxfId="6061" priority="5995" operator="containsText" text="Atendida">
      <formula>NOT(ISERROR(SEARCH("Atendida",K865)))</formula>
    </cfRule>
    <cfRule type="containsText" dxfId="6060" priority="5996" operator="containsText" text="Reasignación">
      <formula>NOT(ISERROR(SEARCH("Reasignación",K865)))</formula>
    </cfRule>
    <cfRule type="containsText" dxfId="6059" priority="5997" operator="containsText" text="RECHAZADA">
      <formula>NOT(ISERROR(SEARCH("RECHAZADA",K865)))</formula>
    </cfRule>
    <cfRule type="containsText" dxfId="6058" priority="5998" operator="containsText" text="Atendida">
      <formula>NOT(ISERROR(SEARCH("Atendida",K865)))</formula>
    </cfRule>
    <cfRule type="containsText" dxfId="6057" priority="5999" operator="containsText" text="Reasignación">
      <formula>NOT(ISERROR(SEARCH("Reasignación",K865)))</formula>
    </cfRule>
    <cfRule type="containsText" dxfId="6056" priority="6000" operator="containsText" text="RECHAZADA">
      <formula>NOT(ISERROR(SEARCH("RECHAZADA",K865)))</formula>
    </cfRule>
    <cfRule type="containsText" dxfId="6055" priority="6001" operator="containsText" text="Atendida">
      <formula>NOT(ISERROR(SEARCH("Atendida",K865)))</formula>
    </cfRule>
    <cfRule type="containsText" dxfId="6054" priority="6002" operator="containsText" text="Reasignación">
      <formula>NOT(ISERROR(SEARCH("Reasignación",K865)))</formula>
    </cfRule>
    <cfRule type="containsText" dxfId="6053" priority="6003" operator="containsText" text="RECHAZADA">
      <formula>NOT(ISERROR(SEARCH("RECHAZADA",K865)))</formula>
    </cfRule>
    <cfRule type="containsText" dxfId="6052" priority="6004" operator="containsText" text="Atendida">
      <formula>NOT(ISERROR(SEARCH("Atendida",K865)))</formula>
    </cfRule>
    <cfRule type="containsText" dxfId="6051" priority="6005" operator="containsText" text="Reasignación">
      <formula>NOT(ISERROR(SEARCH("Reasignación",K865)))</formula>
    </cfRule>
    <cfRule type="containsText" dxfId="6050" priority="6006" operator="containsText" text="RECHAZADA">
      <formula>NOT(ISERROR(SEARCH("RECHAZADA",K865)))</formula>
    </cfRule>
    <cfRule type="containsText" dxfId="6049" priority="6007" operator="containsText" text="Atendida">
      <formula>NOT(ISERROR(SEARCH("Atendida",K865)))</formula>
    </cfRule>
    <cfRule type="containsText" dxfId="6048" priority="6008" operator="containsText" text="Reasignación">
      <formula>NOT(ISERROR(SEARCH("Reasignación",K865)))</formula>
    </cfRule>
    <cfRule type="containsText" dxfId="6047" priority="6009" operator="containsText" text="RECHAZADA">
      <formula>NOT(ISERROR(SEARCH("RECHAZADA",K865)))</formula>
    </cfRule>
    <cfRule type="containsText" dxfId="6046" priority="6010" operator="containsText" text="Atendida">
      <formula>NOT(ISERROR(SEARCH("Atendida",K865)))</formula>
    </cfRule>
  </conditionalFormatting>
  <conditionalFormatting sqref="K866">
    <cfRule type="containsText" dxfId="6045" priority="6014" operator="containsText" text="Reasignación">
      <formula>NOT(ISERROR(SEARCH("Reasignación",K866)))</formula>
    </cfRule>
    <cfRule type="containsText" dxfId="6044" priority="6015" operator="containsText" text="RECHAZADA">
      <formula>NOT(ISERROR(SEARCH("RECHAZADA",K866)))</formula>
    </cfRule>
    <cfRule type="containsText" dxfId="6043" priority="6016" operator="containsText" text="Atendida">
      <formula>NOT(ISERROR(SEARCH("Atendida",K866)))</formula>
    </cfRule>
    <cfRule type="containsText" dxfId="6042" priority="6017" operator="containsText" text="Reasignación">
      <formula>NOT(ISERROR(SEARCH("Reasignación",K866)))</formula>
    </cfRule>
    <cfRule type="containsText" dxfId="6041" priority="6018" operator="containsText" text="RECHAZADA">
      <formula>NOT(ISERROR(SEARCH("RECHAZADA",K866)))</formula>
    </cfRule>
    <cfRule type="containsText" dxfId="6040" priority="6019" operator="containsText" text="Atendida">
      <formula>NOT(ISERROR(SEARCH("Atendida",K866)))</formula>
    </cfRule>
    <cfRule type="containsText" dxfId="6039" priority="6020" operator="containsText" text="Reasignación">
      <formula>NOT(ISERROR(SEARCH("Reasignación",K866)))</formula>
    </cfRule>
    <cfRule type="containsText" dxfId="6038" priority="6021" operator="containsText" text="RECHAZADA">
      <formula>NOT(ISERROR(SEARCH("RECHAZADA",K866)))</formula>
    </cfRule>
    <cfRule type="containsText" dxfId="6037" priority="6022" operator="containsText" text="Atendida">
      <formula>NOT(ISERROR(SEARCH("Atendida",K866)))</formula>
    </cfRule>
    <cfRule type="containsText" dxfId="6036" priority="6023" operator="containsText" text="Reasignación">
      <formula>NOT(ISERROR(SEARCH("Reasignación",K866)))</formula>
    </cfRule>
    <cfRule type="containsText" dxfId="6035" priority="6024" operator="containsText" text="RECHAZADA">
      <formula>NOT(ISERROR(SEARCH("RECHAZADA",K866)))</formula>
    </cfRule>
    <cfRule type="containsText" dxfId="6034" priority="6025" operator="containsText" text="Atendida">
      <formula>NOT(ISERROR(SEARCH("Atendida",K866)))</formula>
    </cfRule>
    <cfRule type="containsText" dxfId="6033" priority="6026" operator="containsText" text="Reasignación">
      <formula>NOT(ISERROR(SEARCH("Reasignación",K866)))</formula>
    </cfRule>
    <cfRule type="containsText" dxfId="6032" priority="6027" operator="containsText" text="RECHAZADA">
      <formula>NOT(ISERROR(SEARCH("RECHAZADA",K866)))</formula>
    </cfRule>
    <cfRule type="containsText" dxfId="6031" priority="6028" operator="containsText" text="Atendida">
      <formula>NOT(ISERROR(SEARCH("Atendida",K866)))</formula>
    </cfRule>
    <cfRule type="containsText" dxfId="6030" priority="6029" operator="containsText" text="Reasignación">
      <formula>NOT(ISERROR(SEARCH("Reasignación",K866)))</formula>
    </cfRule>
    <cfRule type="containsText" dxfId="6029" priority="6030" operator="containsText" text="RECHAZADA">
      <formula>NOT(ISERROR(SEARCH("RECHAZADA",K866)))</formula>
    </cfRule>
    <cfRule type="containsText" dxfId="6028" priority="6031" operator="containsText" text="Atendida">
      <formula>NOT(ISERROR(SEARCH("Atendida",K866)))</formula>
    </cfRule>
    <cfRule type="containsText" dxfId="6027" priority="6032" operator="containsText" text="Reasignación">
      <formula>NOT(ISERROR(SEARCH("Reasignación",K866)))</formula>
    </cfRule>
    <cfRule type="containsText" dxfId="6026" priority="6033" operator="containsText" text="RECHAZADA">
      <formula>NOT(ISERROR(SEARCH("RECHAZADA",K866)))</formula>
    </cfRule>
    <cfRule type="containsText" dxfId="6025" priority="6034" operator="containsText" text="Atendida">
      <formula>NOT(ISERROR(SEARCH("Atendida",K866)))</formula>
    </cfRule>
    <cfRule type="containsText" dxfId="6024" priority="6035" operator="containsText" text="Reasignación">
      <formula>NOT(ISERROR(SEARCH("Reasignación",K866)))</formula>
    </cfRule>
    <cfRule type="containsText" dxfId="6023" priority="6036" operator="containsText" text="RECHAZADA">
      <formula>NOT(ISERROR(SEARCH("RECHAZADA",K866)))</formula>
    </cfRule>
    <cfRule type="containsText" dxfId="6022" priority="6037" operator="containsText" text="Atendida">
      <formula>NOT(ISERROR(SEARCH("Atendida",K866)))</formula>
    </cfRule>
    <cfRule type="containsText" dxfId="6021" priority="6038" operator="containsText" text="Reasignación">
      <formula>NOT(ISERROR(SEARCH("Reasignación",K866)))</formula>
    </cfRule>
    <cfRule type="containsText" dxfId="6020" priority="6039" operator="containsText" text="RECHAZADA">
      <formula>NOT(ISERROR(SEARCH("RECHAZADA",K866)))</formula>
    </cfRule>
    <cfRule type="containsText" dxfId="6019" priority="6040" operator="containsText" text="Atendida">
      <formula>NOT(ISERROR(SEARCH("Atendida",K866)))</formula>
    </cfRule>
    <cfRule type="containsText" dxfId="6018" priority="6041" operator="containsText" text="Reasignación">
      <formula>NOT(ISERROR(SEARCH("Reasignación",K866)))</formula>
    </cfRule>
    <cfRule type="containsText" dxfId="6017" priority="6042" operator="containsText" text="RECHAZADA">
      <formula>NOT(ISERROR(SEARCH("RECHAZADA",K866)))</formula>
    </cfRule>
    <cfRule type="containsText" dxfId="6016" priority="6043" operator="containsText" text="Atendida">
      <formula>NOT(ISERROR(SEARCH("Atendida",K866)))</formula>
    </cfRule>
    <cfRule type="containsText" dxfId="6015" priority="6044" operator="containsText" text="Reasignación">
      <formula>NOT(ISERROR(SEARCH("Reasignación",K866)))</formula>
    </cfRule>
    <cfRule type="containsText" dxfId="6014" priority="6045" operator="containsText" text="RECHAZADA">
      <formula>NOT(ISERROR(SEARCH("RECHAZADA",K866)))</formula>
    </cfRule>
    <cfRule type="containsText" dxfId="6013" priority="6046" operator="containsText" text="Atendida">
      <formula>NOT(ISERROR(SEARCH("Atendida",K866)))</formula>
    </cfRule>
  </conditionalFormatting>
  <conditionalFormatting sqref="K867">
    <cfRule type="containsText" dxfId="6012" priority="6050" operator="containsText" text="Reasignación">
      <formula>NOT(ISERROR(SEARCH("Reasignación",K867)))</formula>
    </cfRule>
    <cfRule type="containsText" dxfId="6011" priority="6051" operator="containsText" text="RECHAZADA">
      <formula>NOT(ISERROR(SEARCH("RECHAZADA",K867)))</formula>
    </cfRule>
    <cfRule type="containsText" dxfId="6010" priority="6052" operator="containsText" text="Atendida">
      <formula>NOT(ISERROR(SEARCH("Atendida",K867)))</formula>
    </cfRule>
    <cfRule type="containsText" dxfId="6009" priority="6053" operator="containsText" text="Reasignación">
      <formula>NOT(ISERROR(SEARCH("Reasignación",K867)))</formula>
    </cfRule>
    <cfRule type="containsText" dxfId="6008" priority="6054" operator="containsText" text="RECHAZADA">
      <formula>NOT(ISERROR(SEARCH("RECHAZADA",K867)))</formula>
    </cfRule>
    <cfRule type="containsText" dxfId="6007" priority="6055" operator="containsText" text="Atendida">
      <formula>NOT(ISERROR(SEARCH("Atendida",K867)))</formula>
    </cfRule>
    <cfRule type="containsText" dxfId="6006" priority="6056" operator="containsText" text="Reasignación">
      <formula>NOT(ISERROR(SEARCH("Reasignación",K867)))</formula>
    </cfRule>
    <cfRule type="containsText" dxfId="6005" priority="6057" operator="containsText" text="RECHAZADA">
      <formula>NOT(ISERROR(SEARCH("RECHAZADA",K867)))</formula>
    </cfRule>
    <cfRule type="containsText" dxfId="6004" priority="6058" operator="containsText" text="Atendida">
      <formula>NOT(ISERROR(SEARCH("Atendida",K867)))</formula>
    </cfRule>
    <cfRule type="containsText" dxfId="6003" priority="6059" operator="containsText" text="Reasignación">
      <formula>NOT(ISERROR(SEARCH("Reasignación",K867)))</formula>
    </cfRule>
    <cfRule type="containsText" dxfId="6002" priority="6060" operator="containsText" text="RECHAZADA">
      <formula>NOT(ISERROR(SEARCH("RECHAZADA",K867)))</formula>
    </cfRule>
    <cfRule type="containsText" dxfId="6001" priority="6061" operator="containsText" text="Atendida">
      <formula>NOT(ISERROR(SEARCH("Atendida",K867)))</formula>
    </cfRule>
    <cfRule type="containsText" dxfId="6000" priority="6062" operator="containsText" text="Reasignación">
      <formula>NOT(ISERROR(SEARCH("Reasignación",K867)))</formula>
    </cfRule>
    <cfRule type="containsText" dxfId="5999" priority="6063" operator="containsText" text="RECHAZADA">
      <formula>NOT(ISERROR(SEARCH("RECHAZADA",K867)))</formula>
    </cfRule>
    <cfRule type="containsText" dxfId="5998" priority="6064" operator="containsText" text="Atendida">
      <formula>NOT(ISERROR(SEARCH("Atendida",K867)))</formula>
    </cfRule>
    <cfRule type="containsText" dxfId="5997" priority="6065" operator="containsText" text="Reasignación">
      <formula>NOT(ISERROR(SEARCH("Reasignación",K867)))</formula>
    </cfRule>
    <cfRule type="containsText" dxfId="5996" priority="6066" operator="containsText" text="RECHAZADA">
      <formula>NOT(ISERROR(SEARCH("RECHAZADA",K867)))</formula>
    </cfRule>
    <cfRule type="containsText" dxfId="5995" priority="6067" operator="containsText" text="Atendida">
      <formula>NOT(ISERROR(SEARCH("Atendida",K867)))</formula>
    </cfRule>
    <cfRule type="containsText" dxfId="5994" priority="6068" operator="containsText" text="Reasignación">
      <formula>NOT(ISERROR(SEARCH("Reasignación",K867)))</formula>
    </cfRule>
    <cfRule type="containsText" dxfId="5993" priority="6069" operator="containsText" text="RECHAZADA">
      <formula>NOT(ISERROR(SEARCH("RECHAZADA",K867)))</formula>
    </cfRule>
    <cfRule type="containsText" dxfId="5992" priority="6070" operator="containsText" text="Atendida">
      <formula>NOT(ISERROR(SEARCH("Atendida",K867)))</formula>
    </cfRule>
    <cfRule type="containsText" dxfId="5991" priority="6071" operator="containsText" text="Reasignación">
      <formula>NOT(ISERROR(SEARCH("Reasignación",K867)))</formula>
    </cfRule>
    <cfRule type="containsText" dxfId="5990" priority="6072" operator="containsText" text="RECHAZADA">
      <formula>NOT(ISERROR(SEARCH("RECHAZADA",K867)))</formula>
    </cfRule>
    <cfRule type="containsText" dxfId="5989" priority="6073" operator="containsText" text="Atendida">
      <formula>NOT(ISERROR(SEARCH("Atendida",K867)))</formula>
    </cfRule>
    <cfRule type="containsText" dxfId="5988" priority="6074" operator="containsText" text="Reasignación">
      <formula>NOT(ISERROR(SEARCH("Reasignación",K867)))</formula>
    </cfRule>
    <cfRule type="containsText" dxfId="5987" priority="6075" operator="containsText" text="RECHAZADA">
      <formula>NOT(ISERROR(SEARCH("RECHAZADA",K867)))</formula>
    </cfRule>
    <cfRule type="containsText" dxfId="5986" priority="6076" operator="containsText" text="Atendida">
      <formula>NOT(ISERROR(SEARCH("Atendida",K867)))</formula>
    </cfRule>
    <cfRule type="containsText" dxfId="5985" priority="6077" operator="containsText" text="Reasignación">
      <formula>NOT(ISERROR(SEARCH("Reasignación",K867)))</formula>
    </cfRule>
    <cfRule type="containsText" dxfId="5984" priority="6078" operator="containsText" text="RECHAZADA">
      <formula>NOT(ISERROR(SEARCH("RECHAZADA",K867)))</formula>
    </cfRule>
    <cfRule type="containsText" dxfId="5983" priority="6079" operator="containsText" text="Atendida">
      <formula>NOT(ISERROR(SEARCH("Atendida",K867)))</formula>
    </cfRule>
    <cfRule type="containsText" dxfId="5982" priority="6080" operator="containsText" text="Reasignación">
      <formula>NOT(ISERROR(SEARCH("Reasignación",K867)))</formula>
    </cfRule>
    <cfRule type="containsText" dxfId="5981" priority="6081" operator="containsText" text="RECHAZADA">
      <formula>NOT(ISERROR(SEARCH("RECHAZADA",K867)))</formula>
    </cfRule>
    <cfRule type="containsText" dxfId="5980" priority="6082" operator="containsText" text="Atendida">
      <formula>NOT(ISERROR(SEARCH("Atendida",K867)))</formula>
    </cfRule>
  </conditionalFormatting>
  <conditionalFormatting sqref="K867">
    <cfRule type="containsText" dxfId="5979" priority="6047" operator="containsText" text="Reasignación">
      <formula>NOT(ISERROR(SEARCH("Reasignación",K867)))</formula>
    </cfRule>
    <cfRule type="containsText" dxfId="5978" priority="6048" operator="containsText" text="RECHAZADA">
      <formula>NOT(ISERROR(SEARCH("RECHAZADA",K867)))</formula>
    </cfRule>
    <cfRule type="containsText" dxfId="5977" priority="6049" operator="containsText" text="Atendida">
      <formula>NOT(ISERROR(SEARCH("Atendida",K867)))</formula>
    </cfRule>
  </conditionalFormatting>
  <conditionalFormatting sqref="M866">
    <cfRule type="containsText" dxfId="5976" priority="6090" operator="containsText" text="OBSERVADO">
      <formula>NOT(ISERROR(SEARCH("OBSERVADO",M866)))</formula>
    </cfRule>
    <cfRule type="containsText" dxfId="5975" priority="6092" operator="containsText" text="CONFORME">
      <formula>NOT(ISERROR(SEARCH("CONFORME",M866)))</formula>
    </cfRule>
    <cfRule type="containsText" dxfId="5974" priority="6093" operator="containsText" text="RECHAZADA">
      <formula>NOT(ISERROR(SEARCH("RECHAZADA",M866)))</formula>
    </cfRule>
    <cfRule type="containsText" dxfId="5973" priority="6094" operator="containsText" text="Atendida">
      <formula>NOT(ISERROR(SEARCH("Atendida",M866)))</formula>
    </cfRule>
  </conditionalFormatting>
  <conditionalFormatting sqref="M867">
    <cfRule type="containsText" dxfId="5972" priority="6084" operator="containsText" text="OBSERVADO">
      <formula>NOT(ISERROR(SEARCH("OBSERVADO",M867)))</formula>
    </cfRule>
    <cfRule type="containsText" dxfId="5971" priority="6086" operator="containsText" text="CONFORME">
      <formula>NOT(ISERROR(SEARCH("CONFORME",M867)))</formula>
    </cfRule>
    <cfRule type="containsText" dxfId="5970" priority="6087" operator="containsText" text="RECHAZADA">
      <formula>NOT(ISERROR(SEARCH("RECHAZADA",M867)))</formula>
    </cfRule>
    <cfRule type="containsText" dxfId="5969" priority="6088" operator="containsText" text="Atendida">
      <formula>NOT(ISERROR(SEARCH("Atendida",M867)))</formula>
    </cfRule>
  </conditionalFormatting>
  <conditionalFormatting sqref="K868">
    <cfRule type="containsText" dxfId="5968" priority="5975" operator="containsText" text="Reasignación">
      <formula>NOT(ISERROR(SEARCH("Reasignación",K868)))</formula>
    </cfRule>
    <cfRule type="containsText" dxfId="5967" priority="5976" operator="containsText" text="RECHAZADA">
      <formula>NOT(ISERROR(SEARCH("RECHAZADA",K868)))</formula>
    </cfRule>
    <cfRule type="containsText" dxfId="5966" priority="5977" operator="containsText" text="Atendida">
      <formula>NOT(ISERROR(SEARCH("Atendida",K868)))</formula>
    </cfRule>
  </conditionalFormatting>
  <conditionalFormatting sqref="K868">
    <cfRule type="containsText" dxfId="5965" priority="5945" operator="containsText" text="Reasignación">
      <formula>NOT(ISERROR(SEARCH("Reasignación",K868)))</formula>
    </cfRule>
    <cfRule type="containsText" dxfId="5964" priority="5946" operator="containsText" text="RECHAZADA">
      <formula>NOT(ISERROR(SEARCH("RECHAZADA",K868)))</formula>
    </cfRule>
    <cfRule type="containsText" dxfId="5963" priority="5947" operator="containsText" text="Atendida">
      <formula>NOT(ISERROR(SEARCH("Atendida",K868)))</formula>
    </cfRule>
    <cfRule type="containsText" dxfId="5962" priority="5948" operator="containsText" text="Reasignación">
      <formula>NOT(ISERROR(SEARCH("Reasignación",K868)))</formula>
    </cfRule>
    <cfRule type="containsText" dxfId="5961" priority="5949" operator="containsText" text="RECHAZADA">
      <formula>NOT(ISERROR(SEARCH("RECHAZADA",K868)))</formula>
    </cfRule>
    <cfRule type="containsText" dxfId="5960" priority="5950" operator="containsText" text="Atendida">
      <formula>NOT(ISERROR(SEARCH("Atendida",K868)))</formula>
    </cfRule>
    <cfRule type="containsText" dxfId="5959" priority="5951" operator="containsText" text="Reasignación">
      <formula>NOT(ISERROR(SEARCH("Reasignación",K868)))</formula>
    </cfRule>
    <cfRule type="containsText" dxfId="5958" priority="5952" operator="containsText" text="RECHAZADA">
      <formula>NOT(ISERROR(SEARCH("RECHAZADA",K868)))</formula>
    </cfRule>
    <cfRule type="containsText" dxfId="5957" priority="5953" operator="containsText" text="Atendida">
      <formula>NOT(ISERROR(SEARCH("Atendida",K868)))</formula>
    </cfRule>
    <cfRule type="containsText" dxfId="5956" priority="5954" operator="containsText" text="Reasignación">
      <formula>NOT(ISERROR(SEARCH("Reasignación",K868)))</formula>
    </cfRule>
    <cfRule type="containsText" dxfId="5955" priority="5955" operator="containsText" text="RECHAZADA">
      <formula>NOT(ISERROR(SEARCH("RECHAZADA",K868)))</formula>
    </cfRule>
    <cfRule type="containsText" dxfId="5954" priority="5956" operator="containsText" text="Atendida">
      <formula>NOT(ISERROR(SEARCH("Atendida",K868)))</formula>
    </cfRule>
    <cfRule type="containsText" dxfId="5953" priority="5957" operator="containsText" text="Reasignación">
      <formula>NOT(ISERROR(SEARCH("Reasignación",K868)))</formula>
    </cfRule>
    <cfRule type="containsText" dxfId="5952" priority="5958" operator="containsText" text="RECHAZADA">
      <formula>NOT(ISERROR(SEARCH("RECHAZADA",K868)))</formula>
    </cfRule>
    <cfRule type="containsText" dxfId="5951" priority="5959" operator="containsText" text="Atendida">
      <formula>NOT(ISERROR(SEARCH("Atendida",K868)))</formula>
    </cfRule>
    <cfRule type="containsText" dxfId="5950" priority="5960" operator="containsText" text="Reasignación">
      <formula>NOT(ISERROR(SEARCH("Reasignación",K868)))</formula>
    </cfRule>
    <cfRule type="containsText" dxfId="5949" priority="5961" operator="containsText" text="RECHAZADA">
      <formula>NOT(ISERROR(SEARCH("RECHAZADA",K868)))</formula>
    </cfRule>
    <cfRule type="containsText" dxfId="5948" priority="5962" operator="containsText" text="Atendida">
      <formula>NOT(ISERROR(SEARCH("Atendida",K868)))</formula>
    </cfRule>
    <cfRule type="containsText" dxfId="5947" priority="5963" operator="containsText" text="Reasignación">
      <formula>NOT(ISERROR(SEARCH("Reasignación",K868)))</formula>
    </cfRule>
    <cfRule type="containsText" dxfId="5946" priority="5964" operator="containsText" text="RECHAZADA">
      <formula>NOT(ISERROR(SEARCH("RECHAZADA",K868)))</formula>
    </cfRule>
    <cfRule type="containsText" dxfId="5945" priority="5965" operator="containsText" text="Atendida">
      <formula>NOT(ISERROR(SEARCH("Atendida",K868)))</formula>
    </cfRule>
    <cfRule type="containsText" dxfId="5944" priority="5966" operator="containsText" text="Reasignación">
      <formula>NOT(ISERROR(SEARCH("Reasignación",K868)))</formula>
    </cfRule>
    <cfRule type="containsText" dxfId="5943" priority="5967" operator="containsText" text="RECHAZADA">
      <formula>NOT(ISERROR(SEARCH("RECHAZADA",K868)))</formula>
    </cfRule>
    <cfRule type="containsText" dxfId="5942" priority="5968" operator="containsText" text="Atendida">
      <formula>NOT(ISERROR(SEARCH("Atendida",K868)))</formula>
    </cfRule>
    <cfRule type="containsText" dxfId="5941" priority="5969" operator="containsText" text="Reasignación">
      <formula>NOT(ISERROR(SEARCH("Reasignación",K868)))</formula>
    </cfRule>
    <cfRule type="containsText" dxfId="5940" priority="5970" operator="containsText" text="RECHAZADA">
      <formula>NOT(ISERROR(SEARCH("RECHAZADA",K868)))</formula>
    </cfRule>
    <cfRule type="containsText" dxfId="5939" priority="5971" operator="containsText" text="Atendida">
      <formula>NOT(ISERROR(SEARCH("Atendida",K868)))</formula>
    </cfRule>
    <cfRule type="containsText" dxfId="5938" priority="5972" operator="containsText" text="Reasignación">
      <formula>NOT(ISERROR(SEARCH("Reasignación",K868)))</formula>
    </cfRule>
    <cfRule type="containsText" dxfId="5937" priority="5973" operator="containsText" text="RECHAZADA">
      <formula>NOT(ISERROR(SEARCH("RECHAZADA",K868)))</formula>
    </cfRule>
    <cfRule type="containsText" dxfId="5936" priority="5974" operator="containsText" text="Atendida">
      <formula>NOT(ISERROR(SEARCH("Atendida",K868)))</formula>
    </cfRule>
  </conditionalFormatting>
  <conditionalFormatting sqref="K868">
    <cfRule type="containsText" dxfId="5935" priority="5942" operator="containsText" text="Reasignación">
      <formula>NOT(ISERROR(SEARCH("Reasignación",K868)))</formula>
    </cfRule>
    <cfRule type="containsText" dxfId="5934" priority="5943" operator="containsText" text="RECHAZADA">
      <formula>NOT(ISERROR(SEARCH("RECHAZADA",K868)))</formula>
    </cfRule>
    <cfRule type="containsText" dxfId="5933" priority="5944" operator="containsText" text="Atendida">
      <formula>NOT(ISERROR(SEARCH("Atendida",K868)))</formula>
    </cfRule>
  </conditionalFormatting>
  <conditionalFormatting sqref="K869">
    <cfRule type="containsText" dxfId="5932" priority="5939" operator="containsText" text="Reasignación">
      <formula>NOT(ISERROR(SEARCH("Reasignación",K869)))</formula>
    </cfRule>
    <cfRule type="containsText" dxfId="5931" priority="5940" operator="containsText" text="RECHAZADA">
      <formula>NOT(ISERROR(SEARCH("RECHAZADA",K869)))</formula>
    </cfRule>
    <cfRule type="containsText" dxfId="5930" priority="5941" operator="containsText" text="Atendida">
      <formula>NOT(ISERROR(SEARCH("Atendida",K869)))</formula>
    </cfRule>
  </conditionalFormatting>
  <conditionalFormatting sqref="K869">
    <cfRule type="containsText" dxfId="5929" priority="5909" operator="containsText" text="Reasignación">
      <formula>NOT(ISERROR(SEARCH("Reasignación",K869)))</formula>
    </cfRule>
    <cfRule type="containsText" dxfId="5928" priority="5910" operator="containsText" text="RECHAZADA">
      <formula>NOT(ISERROR(SEARCH("RECHAZADA",K869)))</formula>
    </cfRule>
    <cfRule type="containsText" dxfId="5927" priority="5911" operator="containsText" text="Atendida">
      <formula>NOT(ISERROR(SEARCH("Atendida",K869)))</formula>
    </cfRule>
    <cfRule type="containsText" dxfId="5926" priority="5912" operator="containsText" text="Reasignación">
      <formula>NOT(ISERROR(SEARCH("Reasignación",K869)))</formula>
    </cfRule>
    <cfRule type="containsText" dxfId="5925" priority="5913" operator="containsText" text="RECHAZADA">
      <formula>NOT(ISERROR(SEARCH("RECHAZADA",K869)))</formula>
    </cfRule>
    <cfRule type="containsText" dxfId="5924" priority="5914" operator="containsText" text="Atendida">
      <formula>NOT(ISERROR(SEARCH("Atendida",K869)))</formula>
    </cfRule>
    <cfRule type="containsText" dxfId="5923" priority="5915" operator="containsText" text="Reasignación">
      <formula>NOT(ISERROR(SEARCH("Reasignación",K869)))</formula>
    </cfRule>
    <cfRule type="containsText" dxfId="5922" priority="5916" operator="containsText" text="RECHAZADA">
      <formula>NOT(ISERROR(SEARCH("RECHAZADA",K869)))</formula>
    </cfRule>
    <cfRule type="containsText" dxfId="5921" priority="5917" operator="containsText" text="Atendida">
      <formula>NOT(ISERROR(SEARCH("Atendida",K869)))</formula>
    </cfRule>
    <cfRule type="containsText" dxfId="5920" priority="5918" operator="containsText" text="Reasignación">
      <formula>NOT(ISERROR(SEARCH("Reasignación",K869)))</formula>
    </cfRule>
    <cfRule type="containsText" dxfId="5919" priority="5919" operator="containsText" text="RECHAZADA">
      <formula>NOT(ISERROR(SEARCH("RECHAZADA",K869)))</formula>
    </cfRule>
    <cfRule type="containsText" dxfId="5918" priority="5920" operator="containsText" text="Atendida">
      <formula>NOT(ISERROR(SEARCH("Atendida",K869)))</formula>
    </cfRule>
    <cfRule type="containsText" dxfId="5917" priority="5921" operator="containsText" text="Reasignación">
      <formula>NOT(ISERROR(SEARCH("Reasignación",K869)))</formula>
    </cfRule>
    <cfRule type="containsText" dxfId="5916" priority="5922" operator="containsText" text="RECHAZADA">
      <formula>NOT(ISERROR(SEARCH("RECHAZADA",K869)))</formula>
    </cfRule>
    <cfRule type="containsText" dxfId="5915" priority="5923" operator="containsText" text="Atendida">
      <formula>NOT(ISERROR(SEARCH("Atendida",K869)))</formula>
    </cfRule>
    <cfRule type="containsText" dxfId="5914" priority="5924" operator="containsText" text="Reasignación">
      <formula>NOT(ISERROR(SEARCH("Reasignación",K869)))</formula>
    </cfRule>
    <cfRule type="containsText" dxfId="5913" priority="5925" operator="containsText" text="RECHAZADA">
      <formula>NOT(ISERROR(SEARCH("RECHAZADA",K869)))</formula>
    </cfRule>
    <cfRule type="containsText" dxfId="5912" priority="5926" operator="containsText" text="Atendida">
      <formula>NOT(ISERROR(SEARCH("Atendida",K869)))</formula>
    </cfRule>
    <cfRule type="containsText" dxfId="5911" priority="5927" operator="containsText" text="Reasignación">
      <formula>NOT(ISERROR(SEARCH("Reasignación",K869)))</formula>
    </cfRule>
    <cfRule type="containsText" dxfId="5910" priority="5928" operator="containsText" text="RECHAZADA">
      <formula>NOT(ISERROR(SEARCH("RECHAZADA",K869)))</formula>
    </cfRule>
    <cfRule type="containsText" dxfId="5909" priority="5929" operator="containsText" text="Atendida">
      <formula>NOT(ISERROR(SEARCH("Atendida",K869)))</formula>
    </cfRule>
    <cfRule type="containsText" dxfId="5908" priority="5930" operator="containsText" text="Reasignación">
      <formula>NOT(ISERROR(SEARCH("Reasignación",K869)))</formula>
    </cfRule>
    <cfRule type="containsText" dxfId="5907" priority="5931" operator="containsText" text="RECHAZADA">
      <formula>NOT(ISERROR(SEARCH("RECHAZADA",K869)))</formula>
    </cfRule>
    <cfRule type="containsText" dxfId="5906" priority="5932" operator="containsText" text="Atendida">
      <formula>NOT(ISERROR(SEARCH("Atendida",K869)))</formula>
    </cfRule>
    <cfRule type="containsText" dxfId="5905" priority="5933" operator="containsText" text="Reasignación">
      <formula>NOT(ISERROR(SEARCH("Reasignación",K869)))</formula>
    </cfRule>
    <cfRule type="containsText" dxfId="5904" priority="5934" operator="containsText" text="RECHAZADA">
      <formula>NOT(ISERROR(SEARCH("RECHAZADA",K869)))</formula>
    </cfRule>
    <cfRule type="containsText" dxfId="5903" priority="5935" operator="containsText" text="Atendida">
      <formula>NOT(ISERROR(SEARCH("Atendida",K869)))</formula>
    </cfRule>
    <cfRule type="containsText" dxfId="5902" priority="5936" operator="containsText" text="Reasignación">
      <formula>NOT(ISERROR(SEARCH("Reasignación",K869)))</formula>
    </cfRule>
    <cfRule type="containsText" dxfId="5901" priority="5937" operator="containsText" text="RECHAZADA">
      <formula>NOT(ISERROR(SEARCH("RECHAZADA",K869)))</formula>
    </cfRule>
    <cfRule type="containsText" dxfId="5900" priority="5938" operator="containsText" text="Atendida">
      <formula>NOT(ISERROR(SEARCH("Atendida",K869)))</formula>
    </cfRule>
  </conditionalFormatting>
  <conditionalFormatting sqref="K869">
    <cfRule type="containsText" dxfId="5899" priority="5906" operator="containsText" text="Reasignación">
      <formula>NOT(ISERROR(SEARCH("Reasignación",K869)))</formula>
    </cfRule>
    <cfRule type="containsText" dxfId="5898" priority="5907" operator="containsText" text="RECHAZADA">
      <formula>NOT(ISERROR(SEARCH("RECHAZADA",K869)))</formula>
    </cfRule>
    <cfRule type="containsText" dxfId="5897" priority="5908" operator="containsText" text="Atendida">
      <formula>NOT(ISERROR(SEARCH("Atendida",K869)))</formula>
    </cfRule>
  </conditionalFormatting>
  <conditionalFormatting sqref="K870">
    <cfRule type="containsText" dxfId="5896" priority="5904" operator="containsText" text="RECHAZADA">
      <formula>NOT(ISERROR(SEARCH("RECHAZADA",K870)))</formula>
    </cfRule>
    <cfRule type="containsText" dxfId="5895" priority="5905" operator="containsText" text="Atendida">
      <formula>NOT(ISERROR(SEARCH("Atendida",K870)))</formula>
    </cfRule>
  </conditionalFormatting>
  <conditionalFormatting sqref="K870">
    <cfRule type="containsText" dxfId="5894" priority="5903" operator="containsText" text="Reasignación">
      <formula>NOT(ISERROR(SEARCH("Reasignación",K870)))</formula>
    </cfRule>
  </conditionalFormatting>
  <conditionalFormatting sqref="K870">
    <cfRule type="containsText" dxfId="5893" priority="5900" operator="containsText" text="Reasignación">
      <formula>NOT(ISERROR(SEARCH("Reasignación",K870)))</formula>
    </cfRule>
    <cfRule type="containsText" dxfId="5892" priority="5901" operator="containsText" text="RECHAZADA">
      <formula>NOT(ISERROR(SEARCH("RECHAZADA",K870)))</formula>
    </cfRule>
    <cfRule type="containsText" dxfId="5891" priority="5902" operator="containsText" text="Atendida">
      <formula>NOT(ISERROR(SEARCH("Atendida",K870)))</formula>
    </cfRule>
  </conditionalFormatting>
  <conditionalFormatting sqref="K870">
    <cfRule type="containsText" dxfId="5890" priority="5891" operator="containsText" text="Reasignación">
      <formula>NOT(ISERROR(SEARCH("Reasignación",K870)))</formula>
    </cfRule>
    <cfRule type="containsText" dxfId="5889" priority="5892" operator="containsText" text="RECHAZADA">
      <formula>NOT(ISERROR(SEARCH("RECHAZADA",K870)))</formula>
    </cfRule>
    <cfRule type="containsText" dxfId="5888" priority="5893" operator="containsText" text="Atendida">
      <formula>NOT(ISERROR(SEARCH("Atendida",K870)))</formula>
    </cfRule>
    <cfRule type="containsText" dxfId="5887" priority="5894" operator="containsText" text="Reasignación">
      <formula>NOT(ISERROR(SEARCH("Reasignación",K870)))</formula>
    </cfRule>
    <cfRule type="containsText" dxfId="5886" priority="5895" operator="containsText" text="RECHAZADA">
      <formula>NOT(ISERROR(SEARCH("RECHAZADA",K870)))</formula>
    </cfRule>
    <cfRule type="containsText" dxfId="5885" priority="5896" operator="containsText" text="Atendida">
      <formula>NOT(ISERROR(SEARCH("Atendida",K870)))</formula>
    </cfRule>
    <cfRule type="containsText" dxfId="5884" priority="5897" operator="containsText" text="Reasignación">
      <formula>NOT(ISERROR(SEARCH("Reasignación",K870)))</formula>
    </cfRule>
    <cfRule type="containsText" dxfId="5883" priority="5898" operator="containsText" text="RECHAZADA">
      <formula>NOT(ISERROR(SEARCH("RECHAZADA",K870)))</formula>
    </cfRule>
    <cfRule type="containsText" dxfId="5882" priority="5899" operator="containsText" text="Atendida">
      <formula>NOT(ISERROR(SEARCH("Atendida",K870)))</formula>
    </cfRule>
  </conditionalFormatting>
  <conditionalFormatting sqref="K870">
    <cfRule type="containsText" dxfId="5881" priority="5855" operator="containsText" text="Reasignación">
      <formula>NOT(ISERROR(SEARCH("Reasignación",K870)))</formula>
    </cfRule>
    <cfRule type="containsText" dxfId="5880" priority="5856" operator="containsText" text="RECHAZADA">
      <formula>NOT(ISERROR(SEARCH("RECHAZADA",K870)))</formula>
    </cfRule>
    <cfRule type="containsText" dxfId="5879" priority="5857" operator="containsText" text="Atendida">
      <formula>NOT(ISERROR(SEARCH("Atendida",K870)))</formula>
    </cfRule>
  </conditionalFormatting>
  <conditionalFormatting sqref="K870">
    <cfRule type="containsText" dxfId="5878" priority="5888" operator="containsText" text="Reasignación">
      <formula>NOT(ISERROR(SEARCH("Reasignación",K870)))</formula>
    </cfRule>
    <cfRule type="containsText" dxfId="5877" priority="5889" operator="containsText" text="RECHAZADA">
      <formula>NOT(ISERROR(SEARCH("RECHAZADA",K870)))</formula>
    </cfRule>
    <cfRule type="containsText" dxfId="5876" priority="5890" operator="containsText" text="Atendida">
      <formula>NOT(ISERROR(SEARCH("Atendida",K870)))</formula>
    </cfRule>
  </conditionalFormatting>
  <conditionalFormatting sqref="K870">
    <cfRule type="containsText" dxfId="5875" priority="5858" operator="containsText" text="Reasignación">
      <formula>NOT(ISERROR(SEARCH("Reasignación",K870)))</formula>
    </cfRule>
    <cfRule type="containsText" dxfId="5874" priority="5859" operator="containsText" text="RECHAZADA">
      <formula>NOT(ISERROR(SEARCH("RECHAZADA",K870)))</formula>
    </cfRule>
    <cfRule type="containsText" dxfId="5873" priority="5860" operator="containsText" text="Atendida">
      <formula>NOT(ISERROR(SEARCH("Atendida",K870)))</formula>
    </cfRule>
    <cfRule type="containsText" dxfId="5872" priority="5861" operator="containsText" text="Reasignación">
      <formula>NOT(ISERROR(SEARCH("Reasignación",K870)))</formula>
    </cfRule>
    <cfRule type="containsText" dxfId="5871" priority="5862" operator="containsText" text="RECHAZADA">
      <formula>NOT(ISERROR(SEARCH("RECHAZADA",K870)))</formula>
    </cfRule>
    <cfRule type="containsText" dxfId="5870" priority="5863" operator="containsText" text="Atendida">
      <formula>NOT(ISERROR(SEARCH("Atendida",K870)))</formula>
    </cfRule>
    <cfRule type="containsText" dxfId="5869" priority="5864" operator="containsText" text="Reasignación">
      <formula>NOT(ISERROR(SEARCH("Reasignación",K870)))</formula>
    </cfRule>
    <cfRule type="containsText" dxfId="5868" priority="5865" operator="containsText" text="RECHAZADA">
      <formula>NOT(ISERROR(SEARCH("RECHAZADA",K870)))</formula>
    </cfRule>
    <cfRule type="containsText" dxfId="5867" priority="5866" operator="containsText" text="Atendida">
      <formula>NOT(ISERROR(SEARCH("Atendida",K870)))</formula>
    </cfRule>
    <cfRule type="containsText" dxfId="5866" priority="5867" operator="containsText" text="Reasignación">
      <formula>NOT(ISERROR(SEARCH("Reasignación",K870)))</formula>
    </cfRule>
    <cfRule type="containsText" dxfId="5865" priority="5868" operator="containsText" text="RECHAZADA">
      <formula>NOT(ISERROR(SEARCH("RECHAZADA",K870)))</formula>
    </cfRule>
    <cfRule type="containsText" dxfId="5864" priority="5869" operator="containsText" text="Atendida">
      <formula>NOT(ISERROR(SEARCH("Atendida",K870)))</formula>
    </cfRule>
    <cfRule type="containsText" dxfId="5863" priority="5870" operator="containsText" text="Reasignación">
      <formula>NOT(ISERROR(SEARCH("Reasignación",K870)))</formula>
    </cfRule>
    <cfRule type="containsText" dxfId="5862" priority="5871" operator="containsText" text="RECHAZADA">
      <formula>NOT(ISERROR(SEARCH("RECHAZADA",K870)))</formula>
    </cfRule>
    <cfRule type="containsText" dxfId="5861" priority="5872" operator="containsText" text="Atendida">
      <formula>NOT(ISERROR(SEARCH("Atendida",K870)))</formula>
    </cfRule>
    <cfRule type="containsText" dxfId="5860" priority="5873" operator="containsText" text="Reasignación">
      <formula>NOT(ISERROR(SEARCH("Reasignación",K870)))</formula>
    </cfRule>
    <cfRule type="containsText" dxfId="5859" priority="5874" operator="containsText" text="RECHAZADA">
      <formula>NOT(ISERROR(SEARCH("RECHAZADA",K870)))</formula>
    </cfRule>
    <cfRule type="containsText" dxfId="5858" priority="5875" operator="containsText" text="Atendida">
      <formula>NOT(ISERROR(SEARCH("Atendida",K870)))</formula>
    </cfRule>
    <cfRule type="containsText" dxfId="5857" priority="5876" operator="containsText" text="Reasignación">
      <formula>NOT(ISERROR(SEARCH("Reasignación",K870)))</formula>
    </cfRule>
    <cfRule type="containsText" dxfId="5856" priority="5877" operator="containsText" text="RECHAZADA">
      <formula>NOT(ISERROR(SEARCH("RECHAZADA",K870)))</formula>
    </cfRule>
    <cfRule type="containsText" dxfId="5855" priority="5878" operator="containsText" text="Atendida">
      <formula>NOT(ISERROR(SEARCH("Atendida",K870)))</formula>
    </cfRule>
    <cfRule type="containsText" dxfId="5854" priority="5879" operator="containsText" text="Reasignación">
      <formula>NOT(ISERROR(SEARCH("Reasignación",K870)))</formula>
    </cfRule>
    <cfRule type="containsText" dxfId="5853" priority="5880" operator="containsText" text="RECHAZADA">
      <formula>NOT(ISERROR(SEARCH("RECHAZADA",K870)))</formula>
    </cfRule>
    <cfRule type="containsText" dxfId="5852" priority="5881" operator="containsText" text="Atendida">
      <formula>NOT(ISERROR(SEARCH("Atendida",K870)))</formula>
    </cfRule>
    <cfRule type="containsText" dxfId="5851" priority="5882" operator="containsText" text="Reasignación">
      <formula>NOT(ISERROR(SEARCH("Reasignación",K870)))</formula>
    </cfRule>
    <cfRule type="containsText" dxfId="5850" priority="5883" operator="containsText" text="RECHAZADA">
      <formula>NOT(ISERROR(SEARCH("RECHAZADA",K870)))</formula>
    </cfRule>
    <cfRule type="containsText" dxfId="5849" priority="5884" operator="containsText" text="Atendida">
      <formula>NOT(ISERROR(SEARCH("Atendida",K870)))</formula>
    </cfRule>
    <cfRule type="containsText" dxfId="5848" priority="5885" operator="containsText" text="Reasignación">
      <formula>NOT(ISERROR(SEARCH("Reasignación",K870)))</formula>
    </cfRule>
    <cfRule type="containsText" dxfId="5847" priority="5886" operator="containsText" text="RECHAZADA">
      <formula>NOT(ISERROR(SEARCH("RECHAZADA",K870)))</formula>
    </cfRule>
    <cfRule type="containsText" dxfId="5846" priority="5887" operator="containsText" text="Atendida">
      <formula>NOT(ISERROR(SEARCH("Atendida",K870)))</formula>
    </cfRule>
  </conditionalFormatting>
  <conditionalFormatting sqref="B871">
    <cfRule type="duplicateValues" dxfId="5845" priority="5851"/>
  </conditionalFormatting>
  <conditionalFormatting sqref="E871">
    <cfRule type="duplicateValues" dxfId="5844" priority="5846"/>
  </conditionalFormatting>
  <conditionalFormatting sqref="K875:K876 K871">
    <cfRule type="containsText" dxfId="5843" priority="5854" operator="containsText" text="Atendida">
      <formula>NOT(ISERROR(SEARCH("Atendida",K871)))</formula>
    </cfRule>
  </conditionalFormatting>
  <conditionalFormatting sqref="K875:K876 K871">
    <cfRule type="containsText" dxfId="5842" priority="5853" operator="containsText" text="RECHAZADA">
      <formula>NOT(ISERROR(SEARCH("RECHAZADA",K871)))</formula>
    </cfRule>
  </conditionalFormatting>
  <conditionalFormatting sqref="K875:K876 K871">
    <cfRule type="containsText" dxfId="5841" priority="5852" operator="containsText" text="Reasignación">
      <formula>NOT(ISERROR(SEARCH("Reasignación",K871)))</formula>
    </cfRule>
  </conditionalFormatting>
  <conditionalFormatting sqref="K871">
    <cfRule type="containsText" dxfId="5840" priority="5803" operator="containsText" text="Atendida">
      <formula>NOT(ISERROR(SEARCH("Atendida",K871)))</formula>
    </cfRule>
    <cfRule type="containsText" dxfId="5839" priority="5804" operator="containsText" text="Reasignación">
      <formula>NOT(ISERROR(SEARCH("Reasignación",K871)))</formula>
    </cfRule>
    <cfRule type="containsText" dxfId="5838" priority="5805" operator="containsText" text="RECHAZADA">
      <formula>NOT(ISERROR(SEARCH("RECHAZADA",K871)))</formula>
    </cfRule>
    <cfRule type="containsText" dxfId="5837" priority="5806" operator="containsText" text="Atendida">
      <formula>NOT(ISERROR(SEARCH("Atendida",K871)))</formula>
    </cfRule>
    <cfRule type="containsText" dxfId="5836" priority="5807" operator="containsText" text="Reasignación">
      <formula>NOT(ISERROR(SEARCH("Reasignación",K871)))</formula>
    </cfRule>
    <cfRule type="containsText" dxfId="5835" priority="5808" operator="containsText" text="RECHAZADA">
      <formula>NOT(ISERROR(SEARCH("RECHAZADA",K871)))</formula>
    </cfRule>
    <cfRule type="containsText" dxfId="5834" priority="5809" operator="containsText" text="Atendida">
      <formula>NOT(ISERROR(SEARCH("Atendida",K871)))</formula>
    </cfRule>
    <cfRule type="containsText" dxfId="5833" priority="5810" operator="containsText" text="Reasignación">
      <formula>NOT(ISERROR(SEARCH("Reasignación",K871)))</formula>
    </cfRule>
    <cfRule type="containsText" dxfId="5832" priority="5811" operator="containsText" text="RECHAZADA">
      <formula>NOT(ISERROR(SEARCH("RECHAZADA",K871)))</formula>
    </cfRule>
    <cfRule type="containsText" dxfId="5831" priority="5812" operator="containsText" text="Atendida">
      <formula>NOT(ISERROR(SEARCH("Atendida",K871)))</formula>
    </cfRule>
    <cfRule type="containsText" dxfId="5830" priority="5813" operator="containsText" text="Reasignación">
      <formula>NOT(ISERROR(SEARCH("Reasignación",K871)))</formula>
    </cfRule>
    <cfRule type="containsText" dxfId="5829" priority="5814" operator="containsText" text="RECHAZADA">
      <formula>NOT(ISERROR(SEARCH("RECHAZADA",K871)))</formula>
    </cfRule>
    <cfRule type="containsText" dxfId="5828" priority="5815" operator="containsText" text="Atendida">
      <formula>NOT(ISERROR(SEARCH("Atendida",K871)))</formula>
    </cfRule>
    <cfRule type="containsText" dxfId="5827" priority="5816" operator="containsText" text="Reasignación">
      <formula>NOT(ISERROR(SEARCH("Reasignación",K871)))</formula>
    </cfRule>
    <cfRule type="containsText" dxfId="5826" priority="5817" operator="containsText" text="RECHAZADA">
      <formula>NOT(ISERROR(SEARCH("RECHAZADA",K871)))</formula>
    </cfRule>
    <cfRule type="containsText" dxfId="5825" priority="5818" operator="containsText" text="Atendida">
      <formula>NOT(ISERROR(SEARCH("Atendida",K871)))</formula>
    </cfRule>
    <cfRule type="containsText" dxfId="5824" priority="5819" operator="containsText" text="Reasignación">
      <formula>NOT(ISERROR(SEARCH("Reasignación",K871)))</formula>
    </cfRule>
    <cfRule type="containsText" dxfId="5823" priority="5820" operator="containsText" text="RECHAZADA">
      <formula>NOT(ISERROR(SEARCH("RECHAZADA",K871)))</formula>
    </cfRule>
    <cfRule type="containsText" dxfId="5822" priority="5821" operator="containsText" text="Atendida">
      <formula>NOT(ISERROR(SEARCH("Atendida",K871)))</formula>
    </cfRule>
    <cfRule type="containsText" dxfId="5821" priority="5822" operator="containsText" text="Reasignación">
      <formula>NOT(ISERROR(SEARCH("Reasignación",K871)))</formula>
    </cfRule>
    <cfRule type="containsText" dxfId="5820" priority="5823" operator="containsText" text="RECHAZADA">
      <formula>NOT(ISERROR(SEARCH("RECHAZADA",K871)))</formula>
    </cfRule>
    <cfRule type="containsText" dxfId="5819" priority="5824" operator="containsText" text="Atendida">
      <formula>NOT(ISERROR(SEARCH("Atendida",K871)))</formula>
    </cfRule>
    <cfRule type="containsText" dxfId="5818" priority="5825" operator="containsText" text="Reasignación">
      <formula>NOT(ISERROR(SEARCH("Reasignación",K871)))</formula>
    </cfRule>
    <cfRule type="containsText" dxfId="5817" priority="5826" operator="containsText" text="RECHAZADA">
      <formula>NOT(ISERROR(SEARCH("RECHAZADA",K871)))</formula>
    </cfRule>
    <cfRule type="containsText" dxfId="5816" priority="5827" operator="containsText" text="Atendida">
      <formula>NOT(ISERROR(SEARCH("Atendida",K871)))</formula>
    </cfRule>
    <cfRule type="containsText" dxfId="5815" priority="5828" operator="containsText" text="Reasignación">
      <formula>NOT(ISERROR(SEARCH("Reasignación",K871)))</formula>
    </cfRule>
    <cfRule type="containsText" dxfId="5814" priority="5829" operator="containsText" text="RECHAZADA">
      <formula>NOT(ISERROR(SEARCH("RECHAZADA",K871)))</formula>
    </cfRule>
    <cfRule type="containsText" dxfId="5813" priority="5830" operator="containsText" text="Atendida">
      <formula>NOT(ISERROR(SEARCH("Atendida",K871)))</formula>
    </cfRule>
    <cfRule type="containsText" dxfId="5812" priority="5831" operator="containsText" text="Reasignación">
      <formula>NOT(ISERROR(SEARCH("Reasignación",K871)))</formula>
    </cfRule>
    <cfRule type="containsText" dxfId="5811" priority="5832" operator="containsText" text="RECHAZADA">
      <formula>NOT(ISERROR(SEARCH("RECHAZADA",K871)))</formula>
    </cfRule>
    <cfRule type="containsText" dxfId="5810" priority="5833" operator="containsText" text="Atendida">
      <formula>NOT(ISERROR(SEARCH("Atendida",K871)))</formula>
    </cfRule>
    <cfRule type="containsText" dxfId="5809" priority="5834" operator="containsText" text="Reasignación">
      <formula>NOT(ISERROR(SEARCH("Reasignación",K871)))</formula>
    </cfRule>
    <cfRule type="containsText" dxfId="5808" priority="5835" operator="containsText" text="RECHAZADA">
      <formula>NOT(ISERROR(SEARCH("RECHAZADA",K871)))</formula>
    </cfRule>
    <cfRule type="containsText" dxfId="5807" priority="5836" operator="containsText" text="Atendida">
      <formula>NOT(ISERROR(SEARCH("Atendida",K871)))</formula>
    </cfRule>
    <cfRule type="containsText" dxfId="5806" priority="5837" operator="containsText" text="Reasignación">
      <formula>NOT(ISERROR(SEARCH("Reasignación",K871)))</formula>
    </cfRule>
    <cfRule type="containsText" dxfId="5805" priority="5838" operator="containsText" text="RECHAZADA">
      <formula>NOT(ISERROR(SEARCH("RECHAZADA",K871)))</formula>
    </cfRule>
    <cfRule type="containsText" dxfId="5804" priority="5839" operator="containsText" text="Atendida">
      <formula>NOT(ISERROR(SEARCH("Atendida",K871)))</formula>
    </cfRule>
    <cfRule type="containsText" dxfId="5803" priority="5840" operator="containsText" text="Reasignación">
      <formula>NOT(ISERROR(SEARCH("Reasignación",K871)))</formula>
    </cfRule>
    <cfRule type="containsText" dxfId="5802" priority="5841" operator="containsText" text="RECHAZADA">
      <formula>NOT(ISERROR(SEARCH("RECHAZADA",K871)))</formula>
    </cfRule>
    <cfRule type="containsText" dxfId="5801" priority="5842" operator="containsText" text="Atendida">
      <formula>NOT(ISERROR(SEARCH("Atendida",K871)))</formula>
    </cfRule>
    <cfRule type="containsText" dxfId="5800" priority="5843" operator="containsText" text="Reasignación">
      <formula>NOT(ISERROR(SEARCH("Reasignación",K871)))</formula>
    </cfRule>
    <cfRule type="containsText" dxfId="5799" priority="5844" operator="containsText" text="RECHAZADA">
      <formula>NOT(ISERROR(SEARCH("RECHAZADA",K871)))</formula>
    </cfRule>
    <cfRule type="containsText" dxfId="5798" priority="5845" operator="containsText" text="Atendida">
      <formula>NOT(ISERROR(SEARCH("Atendida",K871)))</formula>
    </cfRule>
  </conditionalFormatting>
  <conditionalFormatting sqref="K871">
    <cfRule type="containsText" dxfId="5797" priority="5801" operator="containsText" text="Reasignación">
      <formula>NOT(ISERROR(SEARCH("Reasignación",K871)))</formula>
    </cfRule>
    <cfRule type="containsText" dxfId="5796" priority="5802" operator="containsText" text="RECHAZADA">
      <formula>NOT(ISERROR(SEARCH("RECHAZADA",K871)))</formula>
    </cfRule>
  </conditionalFormatting>
  <conditionalFormatting sqref="M871">
    <cfRule type="containsText" dxfId="5795" priority="5847" operator="containsText" text="OBSERVADO">
      <formula>NOT(ISERROR(SEARCH("OBSERVADO",M871)))</formula>
    </cfRule>
    <cfRule type="containsText" dxfId="5794" priority="5848" operator="containsText" text="CONFORME">
      <formula>NOT(ISERROR(SEARCH("CONFORME",M871)))</formula>
    </cfRule>
    <cfRule type="containsText" dxfId="5793" priority="5849" operator="containsText" text="RECHAZADA">
      <formula>NOT(ISERROR(SEARCH("RECHAZADA",M871)))</formula>
    </cfRule>
    <cfRule type="containsText" dxfId="5792" priority="5850" operator="containsText" text="Atendida">
      <formula>NOT(ISERROR(SEARCH("Atendida",M871)))</formula>
    </cfRule>
  </conditionalFormatting>
  <conditionalFormatting sqref="E872">
    <cfRule type="duplicateValues" dxfId="5791" priority="5800"/>
  </conditionalFormatting>
  <conditionalFormatting sqref="K872">
    <cfRule type="containsText" dxfId="5790" priority="5793" operator="containsText" text="Reasignación">
      <formula>NOT(ISERROR(SEARCH("Reasignación",K872)))</formula>
    </cfRule>
    <cfRule type="containsText" dxfId="5789" priority="5794" operator="containsText" text="RECHAZADA">
      <formula>NOT(ISERROR(SEARCH("RECHAZADA",K872)))</formula>
    </cfRule>
    <cfRule type="containsText" dxfId="5788" priority="5795" operator="containsText" text="Atendida">
      <formula>NOT(ISERROR(SEARCH("Atendida",K872)))</formula>
    </cfRule>
  </conditionalFormatting>
  <conditionalFormatting sqref="K872">
    <cfRule type="containsText" dxfId="5787" priority="5772" operator="containsText" text="Reasignación">
      <formula>NOT(ISERROR(SEARCH("Reasignación",K872)))</formula>
    </cfRule>
    <cfRule type="containsText" dxfId="5786" priority="5773" operator="containsText" text="RECHAZADA">
      <formula>NOT(ISERROR(SEARCH("RECHAZADA",K872)))</formula>
    </cfRule>
    <cfRule type="containsText" dxfId="5785" priority="5774" operator="containsText" text="Atendida">
      <formula>NOT(ISERROR(SEARCH("Atendida",K872)))</formula>
    </cfRule>
    <cfRule type="containsText" dxfId="5784" priority="5775" operator="containsText" text="Reasignación">
      <formula>NOT(ISERROR(SEARCH("Reasignación",K872)))</formula>
    </cfRule>
    <cfRule type="containsText" dxfId="5783" priority="5776" operator="containsText" text="RECHAZADA">
      <formula>NOT(ISERROR(SEARCH("RECHAZADA",K872)))</formula>
    </cfRule>
    <cfRule type="containsText" dxfId="5782" priority="5777" operator="containsText" text="Atendida">
      <formula>NOT(ISERROR(SEARCH("Atendida",K872)))</formula>
    </cfRule>
    <cfRule type="containsText" dxfId="5781" priority="5778" operator="containsText" text="Reasignación">
      <formula>NOT(ISERROR(SEARCH("Reasignación",K872)))</formula>
    </cfRule>
    <cfRule type="containsText" dxfId="5780" priority="5779" operator="containsText" text="RECHAZADA">
      <formula>NOT(ISERROR(SEARCH("RECHAZADA",K872)))</formula>
    </cfRule>
    <cfRule type="containsText" dxfId="5779" priority="5780" operator="containsText" text="Atendida">
      <formula>NOT(ISERROR(SEARCH("Atendida",K872)))</formula>
    </cfRule>
    <cfRule type="containsText" dxfId="5778" priority="5781" operator="containsText" text="Reasignación">
      <formula>NOT(ISERROR(SEARCH("Reasignación",K872)))</formula>
    </cfRule>
    <cfRule type="containsText" dxfId="5777" priority="5782" operator="containsText" text="RECHAZADA">
      <formula>NOT(ISERROR(SEARCH("RECHAZADA",K872)))</formula>
    </cfRule>
    <cfRule type="containsText" dxfId="5776" priority="5783" operator="containsText" text="Atendida">
      <formula>NOT(ISERROR(SEARCH("Atendida",K872)))</formula>
    </cfRule>
    <cfRule type="containsText" dxfId="5775" priority="5784" operator="containsText" text="Reasignación">
      <formula>NOT(ISERROR(SEARCH("Reasignación",K872)))</formula>
    </cfRule>
    <cfRule type="containsText" dxfId="5774" priority="5785" operator="containsText" text="RECHAZADA">
      <formula>NOT(ISERROR(SEARCH("RECHAZADA",K872)))</formula>
    </cfRule>
    <cfRule type="containsText" dxfId="5773" priority="5786" operator="containsText" text="Atendida">
      <formula>NOT(ISERROR(SEARCH("Atendida",K872)))</formula>
    </cfRule>
    <cfRule type="containsText" dxfId="5772" priority="5787" operator="containsText" text="Reasignación">
      <formula>NOT(ISERROR(SEARCH("Reasignación",K872)))</formula>
    </cfRule>
    <cfRule type="containsText" dxfId="5771" priority="5788" operator="containsText" text="RECHAZADA">
      <formula>NOT(ISERROR(SEARCH("RECHAZADA",K872)))</formula>
    </cfRule>
    <cfRule type="containsText" dxfId="5770" priority="5789" operator="containsText" text="Atendida">
      <formula>NOT(ISERROR(SEARCH("Atendida",K872)))</formula>
    </cfRule>
    <cfRule type="containsText" dxfId="5769" priority="5790" operator="containsText" text="Reasignación">
      <formula>NOT(ISERROR(SEARCH("Reasignación",K872)))</formula>
    </cfRule>
    <cfRule type="containsText" dxfId="5768" priority="5791" operator="containsText" text="RECHAZADA">
      <formula>NOT(ISERROR(SEARCH("RECHAZADA",K872)))</formula>
    </cfRule>
    <cfRule type="containsText" dxfId="5767" priority="5792" operator="containsText" text="Atendida">
      <formula>NOT(ISERROR(SEARCH("Atendida",K872)))</formula>
    </cfRule>
  </conditionalFormatting>
  <conditionalFormatting sqref="M872">
    <cfRule type="containsText" dxfId="5766" priority="5797" operator="containsText" text="CONFORME">
      <formula>NOT(ISERROR(SEARCH("CONFORME",M872)))</formula>
    </cfRule>
    <cfRule type="containsText" dxfId="5765" priority="5798" operator="containsText" text="RECHAZADA">
      <formula>NOT(ISERROR(SEARCH("RECHAZADA",M872)))</formula>
    </cfRule>
    <cfRule type="containsText" dxfId="5764" priority="5799" operator="containsText" text="Atendida">
      <formula>NOT(ISERROR(SEARCH("Atendida",M872)))</formula>
    </cfRule>
  </conditionalFormatting>
  <conditionalFormatting sqref="M872">
    <cfRule type="containsText" dxfId="5763" priority="5796" operator="containsText" text="OBSERVADO">
      <formula>NOT(ISERROR(SEARCH("OBSERVADO",M872)))</formula>
    </cfRule>
  </conditionalFormatting>
  <conditionalFormatting sqref="B873:B876">
    <cfRule type="duplicateValues" dxfId="5762" priority="5771"/>
  </conditionalFormatting>
  <conditionalFormatting sqref="E873:E876">
    <cfRule type="duplicateValues" dxfId="5761" priority="5770"/>
  </conditionalFormatting>
  <conditionalFormatting sqref="M875:M876 M873">
    <cfRule type="containsText" dxfId="5760" priority="5768" operator="containsText" text="Atendida">
      <formula>NOT(ISERROR(SEARCH("Atendida",M873)))</formula>
    </cfRule>
  </conditionalFormatting>
  <conditionalFormatting sqref="K873">
    <cfRule type="containsText" dxfId="5759" priority="5730" operator="containsText" text="Reasignación">
      <formula>NOT(ISERROR(SEARCH("Reasignación",K873)))</formula>
    </cfRule>
    <cfRule type="containsText" dxfId="5758" priority="5731" operator="containsText" text="RECHAZADA">
      <formula>NOT(ISERROR(SEARCH("RECHAZADA",K873)))</formula>
    </cfRule>
    <cfRule type="containsText" dxfId="5757" priority="5732" operator="containsText" text="Atendida">
      <formula>NOT(ISERROR(SEARCH("Atendida",K873)))</formula>
    </cfRule>
  </conditionalFormatting>
  <conditionalFormatting sqref="K873">
    <cfRule type="containsText" dxfId="5756" priority="5733" operator="containsText" text="Reasignación">
      <formula>NOT(ISERROR(SEARCH("Reasignación",K873)))</formula>
    </cfRule>
    <cfRule type="containsText" dxfId="5755" priority="5734" operator="containsText" text="RECHAZADA">
      <formula>NOT(ISERROR(SEARCH("RECHAZADA",K873)))</formula>
    </cfRule>
    <cfRule type="containsText" dxfId="5754" priority="5735" operator="containsText" text="Atendida">
      <formula>NOT(ISERROR(SEARCH("Atendida",K873)))</formula>
    </cfRule>
    <cfRule type="containsText" dxfId="5753" priority="5736" operator="containsText" text="Reasignación">
      <formula>NOT(ISERROR(SEARCH("Reasignación",K873)))</formula>
    </cfRule>
    <cfRule type="containsText" dxfId="5752" priority="5737" operator="containsText" text="RECHAZADA">
      <formula>NOT(ISERROR(SEARCH("RECHAZADA",K873)))</formula>
    </cfRule>
    <cfRule type="containsText" dxfId="5751" priority="5738" operator="containsText" text="Atendida">
      <formula>NOT(ISERROR(SEARCH("Atendida",K873)))</formula>
    </cfRule>
    <cfRule type="containsText" dxfId="5750" priority="5739" operator="containsText" text="Reasignación">
      <formula>NOT(ISERROR(SEARCH("Reasignación",K873)))</formula>
    </cfRule>
    <cfRule type="containsText" dxfId="5749" priority="5740" operator="containsText" text="RECHAZADA">
      <formula>NOT(ISERROR(SEARCH("RECHAZADA",K873)))</formula>
    </cfRule>
    <cfRule type="containsText" dxfId="5748" priority="5741" operator="containsText" text="Atendida">
      <formula>NOT(ISERROR(SEARCH("Atendida",K873)))</formula>
    </cfRule>
    <cfRule type="containsText" dxfId="5747" priority="5742" operator="containsText" text="Reasignación">
      <formula>NOT(ISERROR(SEARCH("Reasignación",K873)))</formula>
    </cfRule>
    <cfRule type="containsText" dxfId="5746" priority="5743" operator="containsText" text="RECHAZADA">
      <formula>NOT(ISERROR(SEARCH("RECHAZADA",K873)))</formula>
    </cfRule>
    <cfRule type="containsText" dxfId="5745" priority="5744" operator="containsText" text="Atendida">
      <formula>NOT(ISERROR(SEARCH("Atendida",K873)))</formula>
    </cfRule>
    <cfRule type="containsText" dxfId="5744" priority="5745" operator="containsText" text="Reasignación">
      <formula>NOT(ISERROR(SEARCH("Reasignación",K873)))</formula>
    </cfRule>
    <cfRule type="containsText" dxfId="5743" priority="5746" operator="containsText" text="RECHAZADA">
      <formula>NOT(ISERROR(SEARCH("RECHAZADA",K873)))</formula>
    </cfRule>
    <cfRule type="containsText" dxfId="5742" priority="5747" operator="containsText" text="Atendida">
      <formula>NOT(ISERROR(SEARCH("Atendida",K873)))</formula>
    </cfRule>
    <cfRule type="containsText" dxfId="5741" priority="5748" operator="containsText" text="Reasignación">
      <formula>NOT(ISERROR(SEARCH("Reasignación",K873)))</formula>
    </cfRule>
    <cfRule type="containsText" dxfId="5740" priority="5749" operator="containsText" text="RECHAZADA">
      <formula>NOT(ISERROR(SEARCH("RECHAZADA",K873)))</formula>
    </cfRule>
    <cfRule type="containsText" dxfId="5739" priority="5750" operator="containsText" text="Atendida">
      <formula>NOT(ISERROR(SEARCH("Atendida",K873)))</formula>
    </cfRule>
    <cfRule type="containsText" dxfId="5738" priority="5751" operator="containsText" text="Reasignación">
      <formula>NOT(ISERROR(SEARCH("Reasignación",K873)))</formula>
    </cfRule>
    <cfRule type="containsText" dxfId="5737" priority="5752" operator="containsText" text="RECHAZADA">
      <formula>NOT(ISERROR(SEARCH("RECHAZADA",K873)))</formula>
    </cfRule>
    <cfRule type="containsText" dxfId="5736" priority="5753" operator="containsText" text="Atendida">
      <formula>NOT(ISERROR(SEARCH("Atendida",K873)))</formula>
    </cfRule>
    <cfRule type="containsText" dxfId="5735" priority="5754" operator="containsText" text="Reasignación">
      <formula>NOT(ISERROR(SEARCH("Reasignación",K873)))</formula>
    </cfRule>
    <cfRule type="containsText" dxfId="5734" priority="5755" operator="containsText" text="RECHAZADA">
      <formula>NOT(ISERROR(SEARCH("RECHAZADA",K873)))</formula>
    </cfRule>
    <cfRule type="containsText" dxfId="5733" priority="5756" operator="containsText" text="Atendida">
      <formula>NOT(ISERROR(SEARCH("Atendida",K873)))</formula>
    </cfRule>
    <cfRule type="containsText" dxfId="5732" priority="5757" operator="containsText" text="Reasignación">
      <formula>NOT(ISERROR(SEARCH("Reasignación",K873)))</formula>
    </cfRule>
    <cfRule type="containsText" dxfId="5731" priority="5758" operator="containsText" text="RECHAZADA">
      <formula>NOT(ISERROR(SEARCH("RECHAZADA",K873)))</formula>
    </cfRule>
    <cfRule type="containsText" dxfId="5730" priority="5759" operator="containsText" text="Atendida">
      <formula>NOT(ISERROR(SEARCH("Atendida",K873)))</formula>
    </cfRule>
    <cfRule type="containsText" dxfId="5729" priority="5760" operator="containsText" text="Reasignación">
      <formula>NOT(ISERROR(SEARCH("Reasignación",K873)))</formula>
    </cfRule>
    <cfRule type="containsText" dxfId="5728" priority="5761" operator="containsText" text="RECHAZADA">
      <formula>NOT(ISERROR(SEARCH("RECHAZADA",K873)))</formula>
    </cfRule>
    <cfRule type="containsText" dxfId="5727" priority="5762" operator="containsText" text="Atendida">
      <formula>NOT(ISERROR(SEARCH("Atendida",K873)))</formula>
    </cfRule>
  </conditionalFormatting>
  <conditionalFormatting sqref="K873">
    <cfRule type="containsText" dxfId="5726" priority="5763" operator="containsText" text="Reasignación">
      <formula>NOT(ISERROR(SEARCH("Reasignación",K873)))</formula>
    </cfRule>
    <cfRule type="containsText" dxfId="5725" priority="5764" operator="containsText" text="RECHAZADA">
      <formula>NOT(ISERROR(SEARCH("RECHAZADA",K873)))</formula>
    </cfRule>
    <cfRule type="containsText" dxfId="5724" priority="5765" operator="containsText" text="Atendida">
      <formula>NOT(ISERROR(SEARCH("Atendida",K873)))</formula>
    </cfRule>
  </conditionalFormatting>
  <conditionalFormatting sqref="M873:M876">
    <cfRule type="containsText" dxfId="5723" priority="5769" operator="containsText" text="RECHAZADA">
      <formula>NOT(ISERROR(SEARCH("RECHAZADA",M873)))</formula>
    </cfRule>
  </conditionalFormatting>
  <conditionalFormatting sqref="M875:M876 M873">
    <cfRule type="containsText" dxfId="5722" priority="5766" operator="containsText" text="OBSERVADO">
      <formula>NOT(ISERROR(SEARCH("OBSERVADO",M873)))</formula>
    </cfRule>
  </conditionalFormatting>
  <conditionalFormatting sqref="M873:M876">
    <cfRule type="containsText" dxfId="5721" priority="5767" operator="containsText" text="CONFORME">
      <formula>NOT(ISERROR(SEARCH("CONFORME",M873)))</formula>
    </cfRule>
  </conditionalFormatting>
  <conditionalFormatting sqref="K874">
    <cfRule type="containsText" dxfId="5720" priority="5725" operator="containsText" text="Reasignación">
      <formula>NOT(ISERROR(SEARCH("Reasignación",K874)))</formula>
    </cfRule>
    <cfRule type="containsText" dxfId="5719" priority="5726" operator="containsText" text="RECHAZADA">
      <formula>NOT(ISERROR(SEARCH("RECHAZADA",K874)))</formula>
    </cfRule>
  </conditionalFormatting>
  <conditionalFormatting sqref="K874">
    <cfRule type="containsText" dxfId="5718" priority="5694" operator="containsText" text="Atendida">
      <formula>NOT(ISERROR(SEARCH("Atendida",K874)))</formula>
    </cfRule>
    <cfRule type="containsText" dxfId="5717" priority="5695" operator="containsText" text="Reasignación">
      <formula>NOT(ISERROR(SEARCH("Reasignación",K874)))</formula>
    </cfRule>
    <cfRule type="containsText" dxfId="5716" priority="5696" operator="containsText" text="RECHAZADA">
      <formula>NOT(ISERROR(SEARCH("RECHAZADA",K874)))</formula>
    </cfRule>
    <cfRule type="containsText" dxfId="5715" priority="5697" operator="containsText" text="Atendida">
      <formula>NOT(ISERROR(SEARCH("Atendida",K874)))</formula>
    </cfRule>
    <cfRule type="containsText" dxfId="5714" priority="5698" operator="containsText" text="Reasignación">
      <formula>NOT(ISERROR(SEARCH("Reasignación",K874)))</formula>
    </cfRule>
    <cfRule type="containsText" dxfId="5713" priority="5699" operator="containsText" text="RECHAZADA">
      <formula>NOT(ISERROR(SEARCH("RECHAZADA",K874)))</formula>
    </cfRule>
    <cfRule type="containsText" dxfId="5712" priority="5700" operator="containsText" text="Atendida">
      <formula>NOT(ISERROR(SEARCH("Atendida",K874)))</formula>
    </cfRule>
    <cfRule type="containsText" dxfId="5711" priority="5701" operator="containsText" text="Reasignación">
      <formula>NOT(ISERROR(SEARCH("Reasignación",K874)))</formula>
    </cfRule>
    <cfRule type="containsText" dxfId="5710" priority="5702" operator="containsText" text="RECHAZADA">
      <formula>NOT(ISERROR(SEARCH("RECHAZADA",K874)))</formula>
    </cfRule>
    <cfRule type="containsText" dxfId="5709" priority="5703" operator="containsText" text="Atendida">
      <formula>NOT(ISERROR(SEARCH("Atendida",K874)))</formula>
    </cfRule>
    <cfRule type="containsText" dxfId="5708" priority="5704" operator="containsText" text="Reasignación">
      <formula>NOT(ISERROR(SEARCH("Reasignación",K874)))</formula>
    </cfRule>
    <cfRule type="containsText" dxfId="5707" priority="5705" operator="containsText" text="RECHAZADA">
      <formula>NOT(ISERROR(SEARCH("RECHAZADA",K874)))</formula>
    </cfRule>
    <cfRule type="containsText" dxfId="5706" priority="5706" operator="containsText" text="Atendida">
      <formula>NOT(ISERROR(SEARCH("Atendida",K874)))</formula>
    </cfRule>
    <cfRule type="containsText" dxfId="5705" priority="5707" operator="containsText" text="Reasignación">
      <formula>NOT(ISERROR(SEARCH("Reasignación",K874)))</formula>
    </cfRule>
    <cfRule type="containsText" dxfId="5704" priority="5708" operator="containsText" text="RECHAZADA">
      <formula>NOT(ISERROR(SEARCH("RECHAZADA",K874)))</formula>
    </cfRule>
    <cfRule type="containsText" dxfId="5703" priority="5709" operator="containsText" text="Atendida">
      <formula>NOT(ISERROR(SEARCH("Atendida",K874)))</formula>
    </cfRule>
    <cfRule type="containsText" dxfId="5702" priority="5710" operator="containsText" text="Reasignación">
      <formula>NOT(ISERROR(SEARCH("Reasignación",K874)))</formula>
    </cfRule>
    <cfRule type="containsText" dxfId="5701" priority="5711" operator="containsText" text="RECHAZADA">
      <formula>NOT(ISERROR(SEARCH("RECHAZADA",K874)))</formula>
    </cfRule>
    <cfRule type="containsText" dxfId="5700" priority="5712" operator="containsText" text="Atendida">
      <formula>NOT(ISERROR(SEARCH("Atendida",K874)))</formula>
    </cfRule>
    <cfRule type="containsText" dxfId="5699" priority="5713" operator="containsText" text="Reasignación">
      <formula>NOT(ISERROR(SEARCH("Reasignación",K874)))</formula>
    </cfRule>
    <cfRule type="containsText" dxfId="5698" priority="5714" operator="containsText" text="RECHAZADA">
      <formula>NOT(ISERROR(SEARCH("RECHAZADA",K874)))</formula>
    </cfRule>
    <cfRule type="containsText" dxfId="5697" priority="5715" operator="containsText" text="Atendida">
      <formula>NOT(ISERROR(SEARCH("Atendida",K874)))</formula>
    </cfRule>
    <cfRule type="containsText" dxfId="5696" priority="5716" operator="containsText" text="Reasignación">
      <formula>NOT(ISERROR(SEARCH("Reasignación",K874)))</formula>
    </cfRule>
    <cfRule type="containsText" dxfId="5695" priority="5717" operator="containsText" text="RECHAZADA">
      <formula>NOT(ISERROR(SEARCH("RECHAZADA",K874)))</formula>
    </cfRule>
    <cfRule type="containsText" dxfId="5694" priority="5718" operator="containsText" text="Atendida">
      <formula>NOT(ISERROR(SEARCH("Atendida",K874)))</formula>
    </cfRule>
    <cfRule type="containsText" dxfId="5693" priority="5719" operator="containsText" text="Reasignación">
      <formula>NOT(ISERROR(SEARCH("Reasignación",K874)))</formula>
    </cfRule>
    <cfRule type="containsText" dxfId="5692" priority="5720" operator="containsText" text="RECHAZADA">
      <formula>NOT(ISERROR(SEARCH("RECHAZADA",K874)))</formula>
    </cfRule>
    <cfRule type="containsText" dxfId="5691" priority="5721" operator="containsText" text="Atendida">
      <formula>NOT(ISERROR(SEARCH("Atendida",K874)))</formula>
    </cfRule>
    <cfRule type="containsText" dxfId="5690" priority="5722" operator="containsText" text="Reasignación">
      <formula>NOT(ISERROR(SEARCH("Reasignación",K874)))</formula>
    </cfRule>
    <cfRule type="containsText" dxfId="5689" priority="5723" operator="containsText" text="RECHAZADA">
      <formula>NOT(ISERROR(SEARCH("RECHAZADA",K874)))</formula>
    </cfRule>
    <cfRule type="containsText" dxfId="5688" priority="5724" operator="containsText" text="Atendida">
      <formula>NOT(ISERROR(SEARCH("Atendida",K874)))</formula>
    </cfRule>
    <cfRule type="containsText" dxfId="5687" priority="5727" operator="containsText" text="Atendida">
      <formula>NOT(ISERROR(SEARCH("Atendida",K874)))</formula>
    </cfRule>
  </conditionalFormatting>
  <conditionalFormatting sqref="K874">
    <cfRule type="containsText" dxfId="5686" priority="5692" operator="containsText" text="Reasignación">
      <formula>NOT(ISERROR(SEARCH("Reasignación",K874)))</formula>
    </cfRule>
    <cfRule type="containsText" dxfId="5685" priority="5693" operator="containsText" text="RECHAZADA">
      <formula>NOT(ISERROR(SEARCH("RECHAZADA",K874)))</formula>
    </cfRule>
  </conditionalFormatting>
  <conditionalFormatting sqref="M874">
    <cfRule type="containsText" dxfId="5684" priority="5729" operator="containsText" text="Atendida">
      <formula>NOT(ISERROR(SEARCH("Atendida",M874)))</formula>
    </cfRule>
  </conditionalFormatting>
  <conditionalFormatting sqref="M874">
    <cfRule type="containsText" dxfId="5683" priority="5728" operator="containsText" text="OBSERVADO">
      <formula>NOT(ISERROR(SEARCH("OBSERVADO",M874)))</formula>
    </cfRule>
  </conditionalFormatting>
  <conditionalFormatting sqref="K875:K876">
    <cfRule type="containsText" dxfId="5682" priority="5690" operator="containsText" text="RECHAZADA">
      <formula>NOT(ISERROR(SEARCH("RECHAZADA",K875)))</formula>
    </cfRule>
    <cfRule type="containsText" dxfId="5681" priority="5691" operator="containsText" text="Atendida">
      <formula>NOT(ISERROR(SEARCH("Atendida",K875)))</formula>
    </cfRule>
  </conditionalFormatting>
  <conditionalFormatting sqref="K875:K876">
    <cfRule type="containsText" dxfId="5680" priority="5689" operator="containsText" text="Reasignación">
      <formula>NOT(ISERROR(SEARCH("Reasignación",K875)))</formula>
    </cfRule>
  </conditionalFormatting>
  <conditionalFormatting sqref="K875:K876">
    <cfRule type="containsText" dxfId="5679" priority="5686" operator="containsText" text="Reasignación">
      <formula>NOT(ISERROR(SEARCH("Reasignación",K875)))</formula>
    </cfRule>
    <cfRule type="containsText" dxfId="5678" priority="5687" operator="containsText" text="RECHAZADA">
      <formula>NOT(ISERROR(SEARCH("RECHAZADA",K875)))</formula>
    </cfRule>
  </conditionalFormatting>
  <conditionalFormatting sqref="K875">
    <cfRule type="containsText" dxfId="5677" priority="5682" operator="containsText" text="Atendida">
      <formula>NOT(ISERROR(SEARCH("Atendida",K875)))</formula>
    </cfRule>
    <cfRule type="containsText" dxfId="5676" priority="5683" operator="containsText" text="Reasignación">
      <formula>NOT(ISERROR(SEARCH("Reasignación",K875)))</formula>
    </cfRule>
    <cfRule type="containsText" dxfId="5675" priority="5684" operator="containsText" text="RECHAZADA">
      <formula>NOT(ISERROR(SEARCH("RECHAZADA",K875)))</formula>
    </cfRule>
    <cfRule type="containsText" dxfId="5674" priority="5685" operator="containsText" text="Atendida">
      <formula>NOT(ISERROR(SEARCH("Atendida",K875)))</formula>
    </cfRule>
    <cfRule type="containsText" dxfId="5673" priority="5688" operator="containsText" text="Atendida">
      <formula>NOT(ISERROR(SEARCH("Atendida",K875)))</formula>
    </cfRule>
  </conditionalFormatting>
  <conditionalFormatting sqref="K875">
    <cfRule type="containsText" dxfId="5672" priority="5680" operator="containsText" text="Reasignación">
      <formula>NOT(ISERROR(SEARCH("Reasignación",K875)))</formula>
    </cfRule>
    <cfRule type="containsText" dxfId="5671" priority="5681" operator="containsText" text="RECHAZADA">
      <formula>NOT(ISERROR(SEARCH("RECHAZADA",K875)))</formula>
    </cfRule>
  </conditionalFormatting>
  <conditionalFormatting sqref="K875">
    <cfRule type="containsText" dxfId="5670" priority="5677" operator="containsText" text="Reasignación">
      <formula>NOT(ISERROR(SEARCH("Reasignación",K875)))</formula>
    </cfRule>
  </conditionalFormatting>
  <conditionalFormatting sqref="K875">
    <cfRule type="containsText" dxfId="5669" priority="5600" operator="containsText" text="RECHAZADA">
      <formula>NOT(ISERROR(SEARCH("RECHAZADA",K875)))</formula>
    </cfRule>
    <cfRule type="containsText" dxfId="5668" priority="5601" operator="containsText" text="Atendida">
      <formula>NOT(ISERROR(SEARCH("Atendida",K875)))</formula>
    </cfRule>
    <cfRule type="containsText" dxfId="5667" priority="5602" operator="containsText" text="Reasignación">
      <formula>NOT(ISERROR(SEARCH("Reasignación",K875)))</formula>
    </cfRule>
    <cfRule type="containsText" dxfId="5666" priority="5603" operator="containsText" text="RECHAZADA">
      <formula>NOT(ISERROR(SEARCH("RECHAZADA",K875)))</formula>
    </cfRule>
    <cfRule type="containsText" dxfId="5665" priority="5604" operator="containsText" text="Atendida">
      <formula>NOT(ISERROR(SEARCH("Atendida",K875)))</formula>
    </cfRule>
    <cfRule type="containsText" dxfId="5664" priority="5605" operator="containsText" text="Reasignación">
      <formula>NOT(ISERROR(SEARCH("Reasignación",K875)))</formula>
    </cfRule>
    <cfRule type="containsText" dxfId="5663" priority="5606" operator="containsText" text="RECHAZADA">
      <formula>NOT(ISERROR(SEARCH("RECHAZADA",K875)))</formula>
    </cfRule>
    <cfRule type="containsText" dxfId="5662" priority="5607" operator="containsText" text="Atendida">
      <formula>NOT(ISERROR(SEARCH("Atendida",K875)))</formula>
    </cfRule>
    <cfRule type="containsText" dxfId="5661" priority="5608" operator="containsText" text="Reasignación">
      <formula>NOT(ISERROR(SEARCH("Reasignación",K875)))</formula>
    </cfRule>
    <cfRule type="containsText" dxfId="5660" priority="5609" operator="containsText" text="RECHAZADA">
      <formula>NOT(ISERROR(SEARCH("RECHAZADA",K875)))</formula>
    </cfRule>
    <cfRule type="containsText" dxfId="5659" priority="5610" operator="containsText" text="Atendida">
      <formula>NOT(ISERROR(SEARCH("Atendida",K875)))</formula>
    </cfRule>
    <cfRule type="containsText" dxfId="5658" priority="5611" operator="containsText" text="Reasignación">
      <formula>NOT(ISERROR(SEARCH("Reasignación",K875)))</formula>
    </cfRule>
    <cfRule type="containsText" dxfId="5657" priority="5612" operator="containsText" text="RECHAZADA">
      <formula>NOT(ISERROR(SEARCH("RECHAZADA",K875)))</formula>
    </cfRule>
    <cfRule type="containsText" dxfId="5656" priority="5613" operator="containsText" text="Atendida">
      <formula>NOT(ISERROR(SEARCH("Atendida",K875)))</formula>
    </cfRule>
    <cfRule type="containsText" dxfId="5655" priority="5614" operator="containsText" text="Reasignación">
      <formula>NOT(ISERROR(SEARCH("Reasignación",K875)))</formula>
    </cfRule>
    <cfRule type="containsText" dxfId="5654" priority="5615" operator="containsText" text="RECHAZADA">
      <formula>NOT(ISERROR(SEARCH("RECHAZADA",K875)))</formula>
    </cfRule>
    <cfRule type="containsText" dxfId="5653" priority="5616" operator="containsText" text="Atendida">
      <formula>NOT(ISERROR(SEARCH("Atendida",K875)))</formula>
    </cfRule>
    <cfRule type="containsText" dxfId="5652" priority="5617" operator="containsText" text="Reasignación">
      <formula>NOT(ISERROR(SEARCH("Reasignación",K875)))</formula>
    </cfRule>
    <cfRule type="containsText" dxfId="5651" priority="5618" operator="containsText" text="RECHAZADA">
      <formula>NOT(ISERROR(SEARCH("RECHAZADA",K875)))</formula>
    </cfRule>
    <cfRule type="containsText" dxfId="5650" priority="5619" operator="containsText" text="Atendida">
      <formula>NOT(ISERROR(SEARCH("Atendida",K875)))</formula>
    </cfRule>
    <cfRule type="containsText" dxfId="5649" priority="5620" operator="containsText" text="Reasignación">
      <formula>NOT(ISERROR(SEARCH("Reasignación",K875)))</formula>
    </cfRule>
    <cfRule type="containsText" dxfId="5648" priority="5621" operator="containsText" text="RECHAZADA">
      <formula>NOT(ISERROR(SEARCH("RECHAZADA",K875)))</formula>
    </cfRule>
    <cfRule type="containsText" dxfId="5647" priority="5622" operator="containsText" text="Atendida">
      <formula>NOT(ISERROR(SEARCH("Atendida",K875)))</formula>
    </cfRule>
    <cfRule type="containsText" dxfId="5646" priority="5623" operator="containsText" text="Reasignación">
      <formula>NOT(ISERROR(SEARCH("Reasignación",K875)))</formula>
    </cfRule>
    <cfRule type="containsText" dxfId="5645" priority="5624" operator="containsText" text="RECHAZADA">
      <formula>NOT(ISERROR(SEARCH("RECHAZADA",K875)))</formula>
    </cfRule>
    <cfRule type="containsText" dxfId="5644" priority="5625" operator="containsText" text="Atendida">
      <formula>NOT(ISERROR(SEARCH("Atendida",K875)))</formula>
    </cfRule>
    <cfRule type="containsText" dxfId="5643" priority="5626" operator="containsText" text="Reasignación">
      <formula>NOT(ISERROR(SEARCH("Reasignación",K875)))</formula>
    </cfRule>
    <cfRule type="containsText" dxfId="5642" priority="5627" operator="containsText" text="RECHAZADA">
      <formula>NOT(ISERROR(SEARCH("RECHAZADA",K875)))</formula>
    </cfRule>
    <cfRule type="containsText" dxfId="5641" priority="5628" operator="containsText" text="Atendida">
      <formula>NOT(ISERROR(SEARCH("Atendida",K875)))</formula>
    </cfRule>
    <cfRule type="containsText" dxfId="5640" priority="5629" operator="containsText" text="Reasignación">
      <formula>NOT(ISERROR(SEARCH("Reasignación",K875)))</formula>
    </cfRule>
    <cfRule type="containsText" dxfId="5639" priority="5630" operator="containsText" text="RECHAZADA">
      <formula>NOT(ISERROR(SEARCH("RECHAZADA",K875)))</formula>
    </cfRule>
    <cfRule type="containsText" dxfId="5638" priority="5631" operator="containsText" text="Atendida">
      <formula>NOT(ISERROR(SEARCH("Atendida",K875)))</formula>
    </cfRule>
    <cfRule type="containsText" dxfId="5637" priority="5632" operator="containsText" text="Reasignación">
      <formula>NOT(ISERROR(SEARCH("Reasignación",K875)))</formula>
    </cfRule>
    <cfRule type="containsText" dxfId="5636" priority="5633" operator="containsText" text="RECHAZADA">
      <formula>NOT(ISERROR(SEARCH("RECHAZADA",K875)))</formula>
    </cfRule>
    <cfRule type="containsText" dxfId="5635" priority="5634" operator="containsText" text="Atendida">
      <formula>NOT(ISERROR(SEARCH("Atendida",K875)))</formula>
    </cfRule>
    <cfRule type="containsText" dxfId="5634" priority="5635" operator="containsText" text="Reasignación">
      <formula>NOT(ISERROR(SEARCH("Reasignación",K875)))</formula>
    </cfRule>
    <cfRule type="containsText" dxfId="5633" priority="5636" operator="containsText" text="RECHAZADA">
      <formula>NOT(ISERROR(SEARCH("RECHAZADA",K875)))</formula>
    </cfRule>
    <cfRule type="containsText" dxfId="5632" priority="5637" operator="containsText" text="Atendida">
      <formula>NOT(ISERROR(SEARCH("Atendida",K875)))</formula>
    </cfRule>
    <cfRule type="containsText" dxfId="5631" priority="5638" operator="containsText" text="Reasignación">
      <formula>NOT(ISERROR(SEARCH("Reasignación",K875)))</formula>
    </cfRule>
    <cfRule type="containsText" dxfId="5630" priority="5639" operator="containsText" text="RECHAZADA">
      <formula>NOT(ISERROR(SEARCH("RECHAZADA",K875)))</formula>
    </cfRule>
    <cfRule type="containsText" dxfId="5629" priority="5640" operator="containsText" text="Atendida">
      <formula>NOT(ISERROR(SEARCH("Atendida",K875)))</formula>
    </cfRule>
    <cfRule type="containsText" dxfId="5628" priority="5641" operator="containsText" text="Reasignación">
      <formula>NOT(ISERROR(SEARCH("Reasignación",K875)))</formula>
    </cfRule>
    <cfRule type="containsText" dxfId="5627" priority="5642" operator="containsText" text="RECHAZADA">
      <formula>NOT(ISERROR(SEARCH("RECHAZADA",K875)))</formula>
    </cfRule>
    <cfRule type="containsText" dxfId="5626" priority="5643" operator="containsText" text="Atendida">
      <formula>NOT(ISERROR(SEARCH("Atendida",K875)))</formula>
    </cfRule>
    <cfRule type="containsText" dxfId="5625" priority="5644" operator="containsText" text="Reasignación">
      <formula>NOT(ISERROR(SEARCH("Reasignación",K875)))</formula>
    </cfRule>
    <cfRule type="containsText" dxfId="5624" priority="5645" operator="containsText" text="RECHAZADA">
      <formula>NOT(ISERROR(SEARCH("RECHAZADA",K875)))</formula>
    </cfRule>
    <cfRule type="containsText" dxfId="5623" priority="5646" operator="containsText" text="Atendida">
      <formula>NOT(ISERROR(SEARCH("Atendida",K875)))</formula>
    </cfRule>
    <cfRule type="containsText" dxfId="5622" priority="5647" operator="containsText" text="Reasignación">
      <formula>NOT(ISERROR(SEARCH("Reasignación",K875)))</formula>
    </cfRule>
    <cfRule type="containsText" dxfId="5621" priority="5648" operator="containsText" text="RECHAZADA">
      <formula>NOT(ISERROR(SEARCH("RECHAZADA",K875)))</formula>
    </cfRule>
    <cfRule type="containsText" dxfId="5620" priority="5649" operator="containsText" text="Atendida">
      <formula>NOT(ISERROR(SEARCH("Atendida",K875)))</formula>
    </cfRule>
    <cfRule type="containsText" dxfId="5619" priority="5650" operator="containsText" text="Reasignación">
      <formula>NOT(ISERROR(SEARCH("Reasignación",K875)))</formula>
    </cfRule>
    <cfRule type="containsText" dxfId="5618" priority="5651" operator="containsText" text="RECHAZADA">
      <formula>NOT(ISERROR(SEARCH("RECHAZADA",K875)))</formula>
    </cfRule>
    <cfRule type="containsText" dxfId="5617" priority="5652" operator="containsText" text="Atendida">
      <formula>NOT(ISERROR(SEARCH("Atendida",K875)))</formula>
    </cfRule>
    <cfRule type="containsText" dxfId="5616" priority="5653" operator="containsText" text="Reasignación">
      <formula>NOT(ISERROR(SEARCH("Reasignación",K875)))</formula>
    </cfRule>
    <cfRule type="containsText" dxfId="5615" priority="5654" operator="containsText" text="RECHAZADA">
      <formula>NOT(ISERROR(SEARCH("RECHAZADA",K875)))</formula>
    </cfRule>
    <cfRule type="containsText" dxfId="5614" priority="5655" operator="containsText" text="Atendida">
      <formula>NOT(ISERROR(SEARCH("Atendida",K875)))</formula>
    </cfRule>
    <cfRule type="containsText" dxfId="5613" priority="5656" operator="containsText" text="Reasignación">
      <formula>NOT(ISERROR(SEARCH("Reasignación",K875)))</formula>
    </cfRule>
    <cfRule type="containsText" dxfId="5612" priority="5657" operator="containsText" text="RECHAZADA">
      <formula>NOT(ISERROR(SEARCH("RECHAZADA",K875)))</formula>
    </cfRule>
    <cfRule type="containsText" dxfId="5611" priority="5658" operator="containsText" text="Atendida">
      <formula>NOT(ISERROR(SEARCH("Atendida",K875)))</formula>
    </cfRule>
    <cfRule type="containsText" dxfId="5610" priority="5659" operator="containsText" text="Reasignación">
      <formula>NOT(ISERROR(SEARCH("Reasignación",K875)))</formula>
    </cfRule>
    <cfRule type="containsText" dxfId="5609" priority="5660" operator="containsText" text="RECHAZADA">
      <formula>NOT(ISERROR(SEARCH("RECHAZADA",K875)))</formula>
    </cfRule>
    <cfRule type="containsText" dxfId="5608" priority="5661" operator="containsText" text="Atendida">
      <formula>NOT(ISERROR(SEARCH("Atendida",K875)))</formula>
    </cfRule>
    <cfRule type="containsText" dxfId="5607" priority="5662" operator="containsText" text="Reasignación">
      <formula>NOT(ISERROR(SEARCH("Reasignación",K875)))</formula>
    </cfRule>
    <cfRule type="containsText" dxfId="5606" priority="5663" operator="containsText" text="RECHAZADA">
      <formula>NOT(ISERROR(SEARCH("RECHAZADA",K875)))</formula>
    </cfRule>
    <cfRule type="containsText" dxfId="5605" priority="5664" operator="containsText" text="Atendida">
      <formula>NOT(ISERROR(SEARCH("Atendida",K875)))</formula>
    </cfRule>
    <cfRule type="containsText" dxfId="5604" priority="5665" operator="containsText" text="Reasignación">
      <formula>NOT(ISERROR(SEARCH("Reasignación",K875)))</formula>
    </cfRule>
    <cfRule type="containsText" dxfId="5603" priority="5666" operator="containsText" text="RECHAZADA">
      <formula>NOT(ISERROR(SEARCH("RECHAZADA",K875)))</formula>
    </cfRule>
    <cfRule type="containsText" dxfId="5602" priority="5667" operator="containsText" text="Atendida">
      <formula>NOT(ISERROR(SEARCH("Atendida",K875)))</formula>
    </cfRule>
    <cfRule type="containsText" dxfId="5601" priority="5668" operator="containsText" text="Reasignación">
      <formula>NOT(ISERROR(SEARCH("Reasignación",K875)))</formula>
    </cfRule>
    <cfRule type="containsText" dxfId="5600" priority="5669" operator="containsText" text="RECHAZADA">
      <formula>NOT(ISERROR(SEARCH("RECHAZADA",K875)))</formula>
    </cfRule>
    <cfRule type="containsText" dxfId="5599" priority="5670" operator="containsText" text="Atendida">
      <formula>NOT(ISERROR(SEARCH("Atendida",K875)))</formula>
    </cfRule>
    <cfRule type="containsText" dxfId="5598" priority="5671" operator="containsText" text="Reasignación">
      <formula>NOT(ISERROR(SEARCH("Reasignación",K875)))</formula>
    </cfRule>
    <cfRule type="containsText" dxfId="5597" priority="5672" operator="containsText" text="RECHAZADA">
      <formula>NOT(ISERROR(SEARCH("RECHAZADA",K875)))</formula>
    </cfRule>
    <cfRule type="containsText" dxfId="5596" priority="5673" operator="containsText" text="Atendida">
      <formula>NOT(ISERROR(SEARCH("Atendida",K875)))</formula>
    </cfRule>
    <cfRule type="containsText" dxfId="5595" priority="5674" operator="containsText" text="Reasignación">
      <formula>NOT(ISERROR(SEARCH("Reasignación",K875)))</formula>
    </cfRule>
    <cfRule type="containsText" dxfId="5594" priority="5675" operator="containsText" text="RECHAZADA">
      <formula>NOT(ISERROR(SEARCH("RECHAZADA",K875)))</formula>
    </cfRule>
    <cfRule type="containsText" dxfId="5593" priority="5676" operator="containsText" text="Atendida">
      <formula>NOT(ISERROR(SEARCH("Atendida",K875)))</formula>
    </cfRule>
    <cfRule type="containsText" dxfId="5592" priority="5678" operator="containsText" text="RECHAZADA">
      <formula>NOT(ISERROR(SEARCH("RECHAZADA",K875)))</formula>
    </cfRule>
    <cfRule type="containsText" dxfId="5591" priority="5679" operator="containsText" text="Atendida">
      <formula>NOT(ISERROR(SEARCH("Atendida",K875)))</formula>
    </cfRule>
  </conditionalFormatting>
  <conditionalFormatting sqref="K875">
    <cfRule type="containsText" dxfId="5590" priority="5599" operator="containsText" text="Reasignación">
      <formula>NOT(ISERROR(SEARCH("Reasignación",K875)))</formula>
    </cfRule>
  </conditionalFormatting>
  <conditionalFormatting sqref="K876">
    <cfRule type="containsText" dxfId="5589" priority="5592" operator="containsText" text="Atendida">
      <formula>NOT(ISERROR(SEARCH("Atendida",K876)))</formula>
    </cfRule>
    <cfRule type="containsText" dxfId="5588" priority="5593" operator="containsText" text="Reasignación">
      <formula>NOT(ISERROR(SEARCH("Reasignación",K876)))</formula>
    </cfRule>
    <cfRule type="containsText" dxfId="5587" priority="5594" operator="containsText" text="RECHAZADA">
      <formula>NOT(ISERROR(SEARCH("RECHAZADA",K876)))</formula>
    </cfRule>
    <cfRule type="containsText" dxfId="5586" priority="5595" operator="containsText" text="Atendida">
      <formula>NOT(ISERROR(SEARCH("Atendida",K876)))</formula>
    </cfRule>
    <cfRule type="containsText" dxfId="5585" priority="5596" operator="containsText" text="Reasignación">
      <formula>NOT(ISERROR(SEARCH("Reasignación",K876)))</formula>
    </cfRule>
    <cfRule type="containsText" dxfId="5584" priority="5597" operator="containsText" text="RECHAZADA">
      <formula>NOT(ISERROR(SEARCH("RECHAZADA",K876)))</formula>
    </cfRule>
    <cfRule type="containsText" dxfId="5583" priority="5598" operator="containsText" text="Atendida">
      <formula>NOT(ISERROR(SEARCH("Atendida",K876)))</formula>
    </cfRule>
  </conditionalFormatting>
  <conditionalFormatting sqref="K876">
    <cfRule type="containsText" dxfId="5582" priority="5589" operator="containsText" text="Reasignación">
      <formula>NOT(ISERROR(SEARCH("Reasignación",K876)))</formula>
    </cfRule>
  </conditionalFormatting>
  <conditionalFormatting sqref="K876">
    <cfRule type="containsText" dxfId="5581" priority="5376" operator="containsText" text="Reasignación">
      <formula>NOT(ISERROR(SEARCH("Reasignación",K876)))</formula>
    </cfRule>
    <cfRule type="containsText" dxfId="5580" priority="5377" operator="containsText" text="RECHAZADA">
      <formula>NOT(ISERROR(SEARCH("RECHAZADA",K876)))</formula>
    </cfRule>
    <cfRule type="containsText" dxfId="5579" priority="5378" operator="containsText" text="Atendida">
      <formula>NOT(ISERROR(SEARCH("Atendida",K876)))</formula>
    </cfRule>
    <cfRule type="containsText" dxfId="5578" priority="5379" operator="containsText" text="Reasignación">
      <formula>NOT(ISERROR(SEARCH("Reasignación",K876)))</formula>
    </cfRule>
    <cfRule type="containsText" dxfId="5577" priority="5380" operator="containsText" text="RECHAZADA">
      <formula>NOT(ISERROR(SEARCH("RECHAZADA",K876)))</formula>
    </cfRule>
    <cfRule type="containsText" dxfId="5576" priority="5381" operator="containsText" text="Atendida">
      <formula>NOT(ISERROR(SEARCH("Atendida",K876)))</formula>
    </cfRule>
    <cfRule type="containsText" dxfId="5575" priority="5382" operator="containsText" text="Reasignación">
      <formula>NOT(ISERROR(SEARCH("Reasignación",K876)))</formula>
    </cfRule>
    <cfRule type="containsText" dxfId="5574" priority="5383" operator="containsText" text="RECHAZADA">
      <formula>NOT(ISERROR(SEARCH("RECHAZADA",K876)))</formula>
    </cfRule>
    <cfRule type="containsText" dxfId="5573" priority="5384" operator="containsText" text="Atendida">
      <formula>NOT(ISERROR(SEARCH("Atendida",K876)))</formula>
    </cfRule>
    <cfRule type="containsText" dxfId="5572" priority="5385" operator="containsText" text="Reasignación">
      <formula>NOT(ISERROR(SEARCH("Reasignación",K876)))</formula>
    </cfRule>
    <cfRule type="containsText" dxfId="5571" priority="5386" operator="containsText" text="RECHAZADA">
      <formula>NOT(ISERROR(SEARCH("RECHAZADA",K876)))</formula>
    </cfRule>
    <cfRule type="containsText" dxfId="5570" priority="5387" operator="containsText" text="Atendida">
      <formula>NOT(ISERROR(SEARCH("Atendida",K876)))</formula>
    </cfRule>
    <cfRule type="containsText" dxfId="5569" priority="5388" operator="containsText" text="Reasignación">
      <formula>NOT(ISERROR(SEARCH("Reasignación",K876)))</formula>
    </cfRule>
    <cfRule type="containsText" dxfId="5568" priority="5389" operator="containsText" text="RECHAZADA">
      <formula>NOT(ISERROR(SEARCH("RECHAZADA",K876)))</formula>
    </cfRule>
    <cfRule type="containsText" dxfId="5567" priority="5390" operator="containsText" text="Atendida">
      <formula>NOT(ISERROR(SEARCH("Atendida",K876)))</formula>
    </cfRule>
    <cfRule type="containsText" dxfId="5566" priority="5391" operator="containsText" text="Reasignación">
      <formula>NOT(ISERROR(SEARCH("Reasignación",K876)))</formula>
    </cfRule>
    <cfRule type="containsText" dxfId="5565" priority="5392" operator="containsText" text="RECHAZADA">
      <formula>NOT(ISERROR(SEARCH("RECHAZADA",K876)))</formula>
    </cfRule>
    <cfRule type="containsText" dxfId="5564" priority="5393" operator="containsText" text="Atendida">
      <formula>NOT(ISERROR(SEARCH("Atendida",K876)))</formula>
    </cfRule>
    <cfRule type="containsText" dxfId="5563" priority="5394" operator="containsText" text="Reasignación">
      <formula>NOT(ISERROR(SEARCH("Reasignación",K876)))</formula>
    </cfRule>
    <cfRule type="containsText" dxfId="5562" priority="5395" operator="containsText" text="RECHAZADA">
      <formula>NOT(ISERROR(SEARCH("RECHAZADA",K876)))</formula>
    </cfRule>
    <cfRule type="containsText" dxfId="5561" priority="5396" operator="containsText" text="Atendida">
      <formula>NOT(ISERROR(SEARCH("Atendida",K876)))</formula>
    </cfRule>
    <cfRule type="containsText" dxfId="5560" priority="5397" operator="containsText" text="Reasignación">
      <formula>NOT(ISERROR(SEARCH("Reasignación",K876)))</formula>
    </cfRule>
    <cfRule type="containsText" dxfId="5559" priority="5398" operator="containsText" text="RECHAZADA">
      <formula>NOT(ISERROR(SEARCH("RECHAZADA",K876)))</formula>
    </cfRule>
    <cfRule type="containsText" dxfId="5558" priority="5399" operator="containsText" text="Atendida">
      <formula>NOT(ISERROR(SEARCH("Atendida",K876)))</formula>
    </cfRule>
    <cfRule type="containsText" dxfId="5557" priority="5400" operator="containsText" text="Reasignación">
      <formula>NOT(ISERROR(SEARCH("Reasignación",K876)))</formula>
    </cfRule>
    <cfRule type="containsText" dxfId="5556" priority="5401" operator="containsText" text="RECHAZADA">
      <formula>NOT(ISERROR(SEARCH("RECHAZADA",K876)))</formula>
    </cfRule>
    <cfRule type="containsText" dxfId="5555" priority="5402" operator="containsText" text="Atendida">
      <formula>NOT(ISERROR(SEARCH("Atendida",K876)))</formula>
    </cfRule>
    <cfRule type="containsText" dxfId="5554" priority="5403" operator="containsText" text="Reasignación">
      <formula>NOT(ISERROR(SEARCH("Reasignación",K876)))</formula>
    </cfRule>
    <cfRule type="containsText" dxfId="5553" priority="5404" operator="containsText" text="RECHAZADA">
      <formula>NOT(ISERROR(SEARCH("RECHAZADA",K876)))</formula>
    </cfRule>
    <cfRule type="containsText" dxfId="5552" priority="5405" operator="containsText" text="Atendida">
      <formula>NOT(ISERROR(SEARCH("Atendida",K876)))</formula>
    </cfRule>
    <cfRule type="containsText" dxfId="5551" priority="5406" operator="containsText" text="Reasignación">
      <formula>NOT(ISERROR(SEARCH("Reasignación",K876)))</formula>
    </cfRule>
    <cfRule type="containsText" dxfId="5550" priority="5407" operator="containsText" text="RECHAZADA">
      <formula>NOT(ISERROR(SEARCH("RECHAZADA",K876)))</formula>
    </cfRule>
    <cfRule type="containsText" dxfId="5549" priority="5408" operator="containsText" text="Atendida">
      <formula>NOT(ISERROR(SEARCH("Atendida",K876)))</formula>
    </cfRule>
    <cfRule type="containsText" dxfId="5548" priority="5409" operator="containsText" text="Reasignación">
      <formula>NOT(ISERROR(SEARCH("Reasignación",K876)))</formula>
    </cfRule>
    <cfRule type="containsText" dxfId="5547" priority="5410" operator="containsText" text="RECHAZADA">
      <formula>NOT(ISERROR(SEARCH("RECHAZADA",K876)))</formula>
    </cfRule>
    <cfRule type="containsText" dxfId="5546" priority="5411" operator="containsText" text="Atendida">
      <formula>NOT(ISERROR(SEARCH("Atendida",K876)))</formula>
    </cfRule>
    <cfRule type="containsText" dxfId="5545" priority="5412" operator="containsText" text="Reasignación">
      <formula>NOT(ISERROR(SEARCH("Reasignación",K876)))</formula>
    </cfRule>
    <cfRule type="containsText" dxfId="5544" priority="5413" operator="containsText" text="RECHAZADA">
      <formula>NOT(ISERROR(SEARCH("RECHAZADA",K876)))</formula>
    </cfRule>
    <cfRule type="containsText" dxfId="5543" priority="5414" operator="containsText" text="Atendida">
      <formula>NOT(ISERROR(SEARCH("Atendida",K876)))</formula>
    </cfRule>
    <cfRule type="containsText" dxfId="5542" priority="5415" operator="containsText" text="Reasignación">
      <formula>NOT(ISERROR(SEARCH("Reasignación",K876)))</formula>
    </cfRule>
    <cfRule type="containsText" dxfId="5541" priority="5416" operator="containsText" text="RECHAZADA">
      <formula>NOT(ISERROR(SEARCH("RECHAZADA",K876)))</formula>
    </cfRule>
    <cfRule type="containsText" dxfId="5540" priority="5417" operator="containsText" text="Atendida">
      <formula>NOT(ISERROR(SEARCH("Atendida",K876)))</formula>
    </cfRule>
    <cfRule type="containsText" dxfId="5539" priority="5418" operator="containsText" text="Reasignación">
      <formula>NOT(ISERROR(SEARCH("Reasignación",K876)))</formula>
    </cfRule>
    <cfRule type="containsText" dxfId="5538" priority="5419" operator="containsText" text="RECHAZADA">
      <formula>NOT(ISERROR(SEARCH("RECHAZADA",K876)))</formula>
    </cfRule>
    <cfRule type="containsText" dxfId="5537" priority="5420" operator="containsText" text="Atendida">
      <formula>NOT(ISERROR(SEARCH("Atendida",K876)))</formula>
    </cfRule>
    <cfRule type="containsText" dxfId="5536" priority="5421" operator="containsText" text="Reasignación">
      <formula>NOT(ISERROR(SEARCH("Reasignación",K876)))</formula>
    </cfRule>
    <cfRule type="containsText" dxfId="5535" priority="5422" operator="containsText" text="RECHAZADA">
      <formula>NOT(ISERROR(SEARCH("RECHAZADA",K876)))</formula>
    </cfRule>
    <cfRule type="containsText" dxfId="5534" priority="5423" operator="containsText" text="Atendida">
      <formula>NOT(ISERROR(SEARCH("Atendida",K876)))</formula>
    </cfRule>
    <cfRule type="containsText" dxfId="5533" priority="5424" operator="containsText" text="Reasignación">
      <formula>NOT(ISERROR(SEARCH("Reasignación",K876)))</formula>
    </cfRule>
    <cfRule type="containsText" dxfId="5532" priority="5425" operator="containsText" text="RECHAZADA">
      <formula>NOT(ISERROR(SEARCH("RECHAZADA",K876)))</formula>
    </cfRule>
    <cfRule type="containsText" dxfId="5531" priority="5426" operator="containsText" text="Atendida">
      <formula>NOT(ISERROR(SEARCH("Atendida",K876)))</formula>
    </cfRule>
    <cfRule type="containsText" dxfId="5530" priority="5427" operator="containsText" text="Reasignación">
      <formula>NOT(ISERROR(SEARCH("Reasignación",K876)))</formula>
    </cfRule>
    <cfRule type="containsText" dxfId="5529" priority="5428" operator="containsText" text="RECHAZADA">
      <formula>NOT(ISERROR(SEARCH("RECHAZADA",K876)))</formula>
    </cfRule>
    <cfRule type="containsText" dxfId="5528" priority="5429" operator="containsText" text="Atendida">
      <formula>NOT(ISERROR(SEARCH("Atendida",K876)))</formula>
    </cfRule>
    <cfRule type="containsText" dxfId="5527" priority="5430" operator="containsText" text="Reasignación">
      <formula>NOT(ISERROR(SEARCH("Reasignación",K876)))</formula>
    </cfRule>
    <cfRule type="containsText" dxfId="5526" priority="5431" operator="containsText" text="RECHAZADA">
      <formula>NOT(ISERROR(SEARCH("RECHAZADA",K876)))</formula>
    </cfRule>
    <cfRule type="containsText" dxfId="5525" priority="5432" operator="containsText" text="Atendida">
      <formula>NOT(ISERROR(SEARCH("Atendida",K876)))</formula>
    </cfRule>
    <cfRule type="containsText" dxfId="5524" priority="5433" operator="containsText" text="Reasignación">
      <formula>NOT(ISERROR(SEARCH("Reasignación",K876)))</formula>
    </cfRule>
    <cfRule type="containsText" dxfId="5523" priority="5434" operator="containsText" text="RECHAZADA">
      <formula>NOT(ISERROR(SEARCH("RECHAZADA",K876)))</formula>
    </cfRule>
    <cfRule type="containsText" dxfId="5522" priority="5435" operator="containsText" text="Atendida">
      <formula>NOT(ISERROR(SEARCH("Atendida",K876)))</formula>
    </cfRule>
    <cfRule type="containsText" dxfId="5521" priority="5436" operator="containsText" text="Reasignación">
      <formula>NOT(ISERROR(SEARCH("Reasignación",K876)))</formula>
    </cfRule>
    <cfRule type="containsText" dxfId="5520" priority="5437" operator="containsText" text="RECHAZADA">
      <formula>NOT(ISERROR(SEARCH("RECHAZADA",K876)))</formula>
    </cfRule>
    <cfRule type="containsText" dxfId="5519" priority="5438" operator="containsText" text="Atendida">
      <formula>NOT(ISERROR(SEARCH("Atendida",K876)))</formula>
    </cfRule>
    <cfRule type="containsText" dxfId="5518" priority="5439" operator="containsText" text="Reasignación">
      <formula>NOT(ISERROR(SEARCH("Reasignación",K876)))</formula>
    </cfRule>
    <cfRule type="containsText" dxfId="5517" priority="5440" operator="containsText" text="RECHAZADA">
      <formula>NOT(ISERROR(SEARCH("RECHAZADA",K876)))</formula>
    </cfRule>
    <cfRule type="containsText" dxfId="5516" priority="5441" operator="containsText" text="Atendida">
      <formula>NOT(ISERROR(SEARCH("Atendida",K876)))</formula>
    </cfRule>
    <cfRule type="containsText" dxfId="5515" priority="5442" operator="containsText" text="Reasignación">
      <formula>NOT(ISERROR(SEARCH("Reasignación",K876)))</formula>
    </cfRule>
    <cfRule type="containsText" dxfId="5514" priority="5443" operator="containsText" text="RECHAZADA">
      <formula>NOT(ISERROR(SEARCH("RECHAZADA",K876)))</formula>
    </cfRule>
    <cfRule type="containsText" dxfId="5513" priority="5444" operator="containsText" text="Atendida">
      <formula>NOT(ISERROR(SEARCH("Atendida",K876)))</formula>
    </cfRule>
    <cfRule type="containsText" dxfId="5512" priority="5445" operator="containsText" text="Reasignación">
      <formula>NOT(ISERROR(SEARCH("Reasignación",K876)))</formula>
    </cfRule>
    <cfRule type="containsText" dxfId="5511" priority="5446" operator="containsText" text="RECHAZADA">
      <formula>NOT(ISERROR(SEARCH("RECHAZADA",K876)))</formula>
    </cfRule>
    <cfRule type="containsText" dxfId="5510" priority="5447" operator="containsText" text="Atendida">
      <formula>NOT(ISERROR(SEARCH("Atendida",K876)))</formula>
    </cfRule>
    <cfRule type="containsText" dxfId="5509" priority="5448" operator="containsText" text="Reasignación">
      <formula>NOT(ISERROR(SEARCH("Reasignación",K876)))</formula>
    </cfRule>
    <cfRule type="containsText" dxfId="5508" priority="5449" operator="containsText" text="RECHAZADA">
      <formula>NOT(ISERROR(SEARCH("RECHAZADA",K876)))</formula>
    </cfRule>
    <cfRule type="containsText" dxfId="5507" priority="5450" operator="containsText" text="Atendida">
      <formula>NOT(ISERROR(SEARCH("Atendida",K876)))</formula>
    </cfRule>
    <cfRule type="containsText" dxfId="5506" priority="5451" operator="containsText" text="Reasignación">
      <formula>NOT(ISERROR(SEARCH("Reasignación",K876)))</formula>
    </cfRule>
    <cfRule type="containsText" dxfId="5505" priority="5452" operator="containsText" text="RECHAZADA">
      <formula>NOT(ISERROR(SEARCH("RECHAZADA",K876)))</formula>
    </cfRule>
    <cfRule type="containsText" dxfId="5504" priority="5453" operator="containsText" text="Atendida">
      <formula>NOT(ISERROR(SEARCH("Atendida",K876)))</formula>
    </cfRule>
    <cfRule type="containsText" dxfId="5503" priority="5454" operator="containsText" text="Reasignación">
      <formula>NOT(ISERROR(SEARCH("Reasignación",K876)))</formula>
    </cfRule>
    <cfRule type="containsText" dxfId="5502" priority="5455" operator="containsText" text="RECHAZADA">
      <formula>NOT(ISERROR(SEARCH("RECHAZADA",K876)))</formula>
    </cfRule>
    <cfRule type="containsText" dxfId="5501" priority="5456" operator="containsText" text="Atendida">
      <formula>NOT(ISERROR(SEARCH("Atendida",K876)))</formula>
    </cfRule>
    <cfRule type="containsText" dxfId="5500" priority="5457" operator="containsText" text="Reasignación">
      <formula>NOT(ISERROR(SEARCH("Reasignación",K876)))</formula>
    </cfRule>
    <cfRule type="containsText" dxfId="5499" priority="5458" operator="containsText" text="RECHAZADA">
      <formula>NOT(ISERROR(SEARCH("RECHAZADA",K876)))</formula>
    </cfRule>
    <cfRule type="containsText" dxfId="5498" priority="5459" operator="containsText" text="Atendida">
      <formula>NOT(ISERROR(SEARCH("Atendida",K876)))</formula>
    </cfRule>
    <cfRule type="containsText" dxfId="5497" priority="5460" operator="containsText" text="Reasignación">
      <formula>NOT(ISERROR(SEARCH("Reasignación",K876)))</formula>
    </cfRule>
    <cfRule type="containsText" dxfId="5496" priority="5461" operator="containsText" text="RECHAZADA">
      <formula>NOT(ISERROR(SEARCH("RECHAZADA",K876)))</formula>
    </cfRule>
    <cfRule type="containsText" dxfId="5495" priority="5462" operator="containsText" text="Atendida">
      <formula>NOT(ISERROR(SEARCH("Atendida",K876)))</formula>
    </cfRule>
    <cfRule type="containsText" dxfId="5494" priority="5463" operator="containsText" text="Reasignación">
      <formula>NOT(ISERROR(SEARCH("Reasignación",K876)))</formula>
    </cfRule>
    <cfRule type="containsText" dxfId="5493" priority="5464" operator="containsText" text="RECHAZADA">
      <formula>NOT(ISERROR(SEARCH("RECHAZADA",K876)))</formula>
    </cfRule>
    <cfRule type="containsText" dxfId="5492" priority="5465" operator="containsText" text="Atendida">
      <formula>NOT(ISERROR(SEARCH("Atendida",K876)))</formula>
    </cfRule>
    <cfRule type="containsText" dxfId="5491" priority="5466" operator="containsText" text="Reasignación">
      <formula>NOT(ISERROR(SEARCH("Reasignación",K876)))</formula>
    </cfRule>
    <cfRule type="containsText" dxfId="5490" priority="5467" operator="containsText" text="RECHAZADA">
      <formula>NOT(ISERROR(SEARCH("RECHAZADA",K876)))</formula>
    </cfRule>
    <cfRule type="containsText" dxfId="5489" priority="5468" operator="containsText" text="Atendida">
      <formula>NOT(ISERROR(SEARCH("Atendida",K876)))</formula>
    </cfRule>
    <cfRule type="containsText" dxfId="5488" priority="5469" operator="containsText" text="Reasignación">
      <formula>NOT(ISERROR(SEARCH("Reasignación",K876)))</formula>
    </cfRule>
    <cfRule type="containsText" dxfId="5487" priority="5470" operator="containsText" text="RECHAZADA">
      <formula>NOT(ISERROR(SEARCH("RECHAZADA",K876)))</formula>
    </cfRule>
    <cfRule type="containsText" dxfId="5486" priority="5471" operator="containsText" text="Atendida">
      <formula>NOT(ISERROR(SEARCH("Atendida",K876)))</formula>
    </cfRule>
    <cfRule type="containsText" dxfId="5485" priority="5472" operator="containsText" text="Reasignación">
      <formula>NOT(ISERROR(SEARCH("Reasignación",K876)))</formula>
    </cfRule>
    <cfRule type="containsText" dxfId="5484" priority="5473" operator="containsText" text="RECHAZADA">
      <formula>NOT(ISERROR(SEARCH("RECHAZADA",K876)))</formula>
    </cfRule>
    <cfRule type="containsText" dxfId="5483" priority="5474" operator="containsText" text="Atendida">
      <formula>NOT(ISERROR(SEARCH("Atendida",K876)))</formula>
    </cfRule>
    <cfRule type="containsText" dxfId="5482" priority="5475" operator="containsText" text="Reasignación">
      <formula>NOT(ISERROR(SEARCH("Reasignación",K876)))</formula>
    </cfRule>
    <cfRule type="containsText" dxfId="5481" priority="5476" operator="containsText" text="RECHAZADA">
      <formula>NOT(ISERROR(SEARCH("RECHAZADA",K876)))</formula>
    </cfRule>
    <cfRule type="containsText" dxfId="5480" priority="5477" operator="containsText" text="Atendida">
      <formula>NOT(ISERROR(SEARCH("Atendida",K876)))</formula>
    </cfRule>
    <cfRule type="containsText" dxfId="5479" priority="5478" operator="containsText" text="Reasignación">
      <formula>NOT(ISERROR(SEARCH("Reasignación",K876)))</formula>
    </cfRule>
    <cfRule type="containsText" dxfId="5478" priority="5479" operator="containsText" text="RECHAZADA">
      <formula>NOT(ISERROR(SEARCH("RECHAZADA",K876)))</formula>
    </cfRule>
    <cfRule type="containsText" dxfId="5477" priority="5480" operator="containsText" text="Atendida">
      <formula>NOT(ISERROR(SEARCH("Atendida",K876)))</formula>
    </cfRule>
    <cfRule type="containsText" dxfId="5476" priority="5482" operator="containsText" text="RECHAZADA">
      <formula>NOT(ISERROR(SEARCH("RECHAZADA",K876)))</formula>
    </cfRule>
    <cfRule type="containsText" dxfId="5475" priority="5483" operator="containsText" text="Atendida">
      <formula>NOT(ISERROR(SEARCH("Atendida",K876)))</formula>
    </cfRule>
    <cfRule type="containsText" dxfId="5474" priority="5485" operator="containsText" text="RECHAZADA">
      <formula>NOT(ISERROR(SEARCH("RECHAZADA",K876)))</formula>
    </cfRule>
    <cfRule type="containsText" dxfId="5473" priority="5486" operator="containsText" text="Atendida">
      <formula>NOT(ISERROR(SEARCH("Atendida",K876)))</formula>
    </cfRule>
    <cfRule type="containsText" dxfId="5472" priority="5487" operator="containsText" text="Reasignación">
      <formula>NOT(ISERROR(SEARCH("Reasignación",K876)))</formula>
    </cfRule>
    <cfRule type="containsText" dxfId="5471" priority="5488" operator="containsText" text="RECHAZADA">
      <formula>NOT(ISERROR(SEARCH("RECHAZADA",K876)))</formula>
    </cfRule>
    <cfRule type="containsText" dxfId="5470" priority="5489" operator="containsText" text="Atendida">
      <formula>NOT(ISERROR(SEARCH("Atendida",K876)))</formula>
    </cfRule>
    <cfRule type="containsText" dxfId="5469" priority="5490" operator="containsText" text="Reasignación">
      <formula>NOT(ISERROR(SEARCH("Reasignación",K876)))</formula>
    </cfRule>
    <cfRule type="containsText" dxfId="5468" priority="5491" operator="containsText" text="RECHAZADA">
      <formula>NOT(ISERROR(SEARCH("RECHAZADA",K876)))</formula>
    </cfRule>
    <cfRule type="containsText" dxfId="5467" priority="5492" operator="containsText" text="Atendida">
      <formula>NOT(ISERROR(SEARCH("Atendida",K876)))</formula>
    </cfRule>
    <cfRule type="containsText" dxfId="5466" priority="5493" operator="containsText" text="Reasignación">
      <formula>NOT(ISERROR(SEARCH("Reasignación",K876)))</formula>
    </cfRule>
    <cfRule type="containsText" dxfId="5465" priority="5494" operator="containsText" text="RECHAZADA">
      <formula>NOT(ISERROR(SEARCH("RECHAZADA",K876)))</formula>
    </cfRule>
    <cfRule type="containsText" dxfId="5464" priority="5495" operator="containsText" text="Atendida">
      <formula>NOT(ISERROR(SEARCH("Atendida",K876)))</formula>
    </cfRule>
    <cfRule type="containsText" dxfId="5463" priority="5496" operator="containsText" text="Reasignación">
      <formula>NOT(ISERROR(SEARCH("Reasignación",K876)))</formula>
    </cfRule>
    <cfRule type="containsText" dxfId="5462" priority="5497" operator="containsText" text="RECHAZADA">
      <formula>NOT(ISERROR(SEARCH("RECHAZADA",K876)))</formula>
    </cfRule>
    <cfRule type="containsText" dxfId="5461" priority="5498" operator="containsText" text="Atendida">
      <formula>NOT(ISERROR(SEARCH("Atendida",K876)))</formula>
    </cfRule>
    <cfRule type="containsText" dxfId="5460" priority="5499" operator="containsText" text="Reasignación">
      <formula>NOT(ISERROR(SEARCH("Reasignación",K876)))</formula>
    </cfRule>
    <cfRule type="containsText" dxfId="5459" priority="5500" operator="containsText" text="RECHAZADA">
      <formula>NOT(ISERROR(SEARCH("RECHAZADA",K876)))</formula>
    </cfRule>
    <cfRule type="containsText" dxfId="5458" priority="5501" operator="containsText" text="Atendida">
      <formula>NOT(ISERROR(SEARCH("Atendida",K876)))</formula>
    </cfRule>
    <cfRule type="containsText" dxfId="5457" priority="5502" operator="containsText" text="Reasignación">
      <formula>NOT(ISERROR(SEARCH("Reasignación",K876)))</formula>
    </cfRule>
    <cfRule type="containsText" dxfId="5456" priority="5503" operator="containsText" text="RECHAZADA">
      <formula>NOT(ISERROR(SEARCH("RECHAZADA",K876)))</formula>
    </cfRule>
    <cfRule type="containsText" dxfId="5455" priority="5504" operator="containsText" text="Atendida">
      <formula>NOT(ISERROR(SEARCH("Atendida",K876)))</formula>
    </cfRule>
    <cfRule type="containsText" dxfId="5454" priority="5505" operator="containsText" text="Reasignación">
      <formula>NOT(ISERROR(SEARCH("Reasignación",K876)))</formula>
    </cfRule>
    <cfRule type="containsText" dxfId="5453" priority="5506" operator="containsText" text="RECHAZADA">
      <formula>NOT(ISERROR(SEARCH("RECHAZADA",K876)))</formula>
    </cfRule>
    <cfRule type="containsText" dxfId="5452" priority="5507" operator="containsText" text="Atendida">
      <formula>NOT(ISERROR(SEARCH("Atendida",K876)))</formula>
    </cfRule>
    <cfRule type="containsText" dxfId="5451" priority="5508" operator="containsText" text="Reasignación">
      <formula>NOT(ISERROR(SEARCH("Reasignación",K876)))</formula>
    </cfRule>
    <cfRule type="containsText" dxfId="5450" priority="5509" operator="containsText" text="RECHAZADA">
      <formula>NOT(ISERROR(SEARCH("RECHAZADA",K876)))</formula>
    </cfRule>
    <cfRule type="containsText" dxfId="5449" priority="5510" operator="containsText" text="Atendida">
      <formula>NOT(ISERROR(SEARCH("Atendida",K876)))</formula>
    </cfRule>
    <cfRule type="containsText" dxfId="5448" priority="5511" operator="containsText" text="Reasignación">
      <formula>NOT(ISERROR(SEARCH("Reasignación",K876)))</formula>
    </cfRule>
    <cfRule type="containsText" dxfId="5447" priority="5512" operator="containsText" text="RECHAZADA">
      <formula>NOT(ISERROR(SEARCH("RECHAZADA",K876)))</formula>
    </cfRule>
    <cfRule type="containsText" dxfId="5446" priority="5513" operator="containsText" text="Atendida">
      <formula>NOT(ISERROR(SEARCH("Atendida",K876)))</formula>
    </cfRule>
    <cfRule type="containsText" dxfId="5445" priority="5514" operator="containsText" text="Reasignación">
      <formula>NOT(ISERROR(SEARCH("Reasignación",K876)))</formula>
    </cfRule>
    <cfRule type="containsText" dxfId="5444" priority="5515" operator="containsText" text="RECHAZADA">
      <formula>NOT(ISERROR(SEARCH("RECHAZADA",K876)))</formula>
    </cfRule>
    <cfRule type="containsText" dxfId="5443" priority="5516" operator="containsText" text="Atendida">
      <formula>NOT(ISERROR(SEARCH("Atendida",K876)))</formula>
    </cfRule>
    <cfRule type="containsText" dxfId="5442" priority="5517" operator="containsText" text="Reasignación">
      <formula>NOT(ISERROR(SEARCH("Reasignación",K876)))</formula>
    </cfRule>
    <cfRule type="containsText" dxfId="5441" priority="5518" operator="containsText" text="RECHAZADA">
      <formula>NOT(ISERROR(SEARCH("RECHAZADA",K876)))</formula>
    </cfRule>
    <cfRule type="containsText" dxfId="5440" priority="5519" operator="containsText" text="Atendida">
      <formula>NOT(ISERROR(SEARCH("Atendida",K876)))</formula>
    </cfRule>
    <cfRule type="containsText" dxfId="5439" priority="5520" operator="containsText" text="Reasignación">
      <formula>NOT(ISERROR(SEARCH("Reasignación",K876)))</formula>
    </cfRule>
    <cfRule type="containsText" dxfId="5438" priority="5521" operator="containsText" text="RECHAZADA">
      <formula>NOT(ISERROR(SEARCH("RECHAZADA",K876)))</formula>
    </cfRule>
    <cfRule type="containsText" dxfId="5437" priority="5522" operator="containsText" text="Atendida">
      <formula>NOT(ISERROR(SEARCH("Atendida",K876)))</formula>
    </cfRule>
    <cfRule type="containsText" dxfId="5436" priority="5523" operator="containsText" text="Reasignación">
      <formula>NOT(ISERROR(SEARCH("Reasignación",K876)))</formula>
    </cfRule>
    <cfRule type="containsText" dxfId="5435" priority="5524" operator="containsText" text="RECHAZADA">
      <formula>NOT(ISERROR(SEARCH("RECHAZADA",K876)))</formula>
    </cfRule>
    <cfRule type="containsText" dxfId="5434" priority="5525" operator="containsText" text="Atendida">
      <formula>NOT(ISERROR(SEARCH("Atendida",K876)))</formula>
    </cfRule>
    <cfRule type="containsText" dxfId="5433" priority="5526" operator="containsText" text="Reasignación">
      <formula>NOT(ISERROR(SEARCH("Reasignación",K876)))</formula>
    </cfRule>
    <cfRule type="containsText" dxfId="5432" priority="5527" operator="containsText" text="RECHAZADA">
      <formula>NOT(ISERROR(SEARCH("RECHAZADA",K876)))</formula>
    </cfRule>
    <cfRule type="containsText" dxfId="5431" priority="5528" operator="containsText" text="Atendida">
      <formula>NOT(ISERROR(SEARCH("Atendida",K876)))</formula>
    </cfRule>
    <cfRule type="containsText" dxfId="5430" priority="5529" operator="containsText" text="Reasignación">
      <formula>NOT(ISERROR(SEARCH("Reasignación",K876)))</formula>
    </cfRule>
    <cfRule type="containsText" dxfId="5429" priority="5530" operator="containsText" text="RECHAZADA">
      <formula>NOT(ISERROR(SEARCH("RECHAZADA",K876)))</formula>
    </cfRule>
    <cfRule type="containsText" dxfId="5428" priority="5531" operator="containsText" text="Atendida">
      <formula>NOT(ISERROR(SEARCH("Atendida",K876)))</formula>
    </cfRule>
    <cfRule type="containsText" dxfId="5427" priority="5532" operator="containsText" text="Reasignación">
      <formula>NOT(ISERROR(SEARCH("Reasignación",K876)))</formula>
    </cfRule>
    <cfRule type="containsText" dxfId="5426" priority="5533" operator="containsText" text="RECHAZADA">
      <formula>NOT(ISERROR(SEARCH("RECHAZADA",K876)))</formula>
    </cfRule>
    <cfRule type="containsText" dxfId="5425" priority="5534" operator="containsText" text="Atendida">
      <formula>NOT(ISERROR(SEARCH("Atendida",K876)))</formula>
    </cfRule>
    <cfRule type="containsText" dxfId="5424" priority="5535" operator="containsText" text="Reasignación">
      <formula>NOT(ISERROR(SEARCH("Reasignación",K876)))</formula>
    </cfRule>
    <cfRule type="containsText" dxfId="5423" priority="5536" operator="containsText" text="RECHAZADA">
      <formula>NOT(ISERROR(SEARCH("RECHAZADA",K876)))</formula>
    </cfRule>
    <cfRule type="containsText" dxfId="5422" priority="5537" operator="containsText" text="Atendida">
      <formula>NOT(ISERROR(SEARCH("Atendida",K876)))</formula>
    </cfRule>
    <cfRule type="containsText" dxfId="5421" priority="5538" operator="containsText" text="Reasignación">
      <formula>NOT(ISERROR(SEARCH("Reasignación",K876)))</formula>
    </cfRule>
    <cfRule type="containsText" dxfId="5420" priority="5539" operator="containsText" text="RECHAZADA">
      <formula>NOT(ISERROR(SEARCH("RECHAZADA",K876)))</formula>
    </cfRule>
    <cfRule type="containsText" dxfId="5419" priority="5540" operator="containsText" text="Atendida">
      <formula>NOT(ISERROR(SEARCH("Atendida",K876)))</formula>
    </cfRule>
    <cfRule type="containsText" dxfId="5418" priority="5541" operator="containsText" text="Reasignación">
      <formula>NOT(ISERROR(SEARCH("Reasignación",K876)))</formula>
    </cfRule>
    <cfRule type="containsText" dxfId="5417" priority="5542" operator="containsText" text="RECHAZADA">
      <formula>NOT(ISERROR(SEARCH("RECHAZADA",K876)))</formula>
    </cfRule>
    <cfRule type="containsText" dxfId="5416" priority="5543" operator="containsText" text="Atendida">
      <formula>NOT(ISERROR(SEARCH("Atendida",K876)))</formula>
    </cfRule>
    <cfRule type="containsText" dxfId="5415" priority="5544" operator="containsText" text="Reasignación">
      <formula>NOT(ISERROR(SEARCH("Reasignación",K876)))</formula>
    </cfRule>
    <cfRule type="containsText" dxfId="5414" priority="5545" operator="containsText" text="RECHAZADA">
      <formula>NOT(ISERROR(SEARCH("RECHAZADA",K876)))</formula>
    </cfRule>
    <cfRule type="containsText" dxfId="5413" priority="5546" operator="containsText" text="Atendida">
      <formula>NOT(ISERROR(SEARCH("Atendida",K876)))</formula>
    </cfRule>
    <cfRule type="containsText" dxfId="5412" priority="5547" operator="containsText" text="Reasignación">
      <formula>NOT(ISERROR(SEARCH("Reasignación",K876)))</formula>
    </cfRule>
    <cfRule type="containsText" dxfId="5411" priority="5548" operator="containsText" text="RECHAZADA">
      <formula>NOT(ISERROR(SEARCH("RECHAZADA",K876)))</formula>
    </cfRule>
    <cfRule type="containsText" dxfId="5410" priority="5549" operator="containsText" text="Atendida">
      <formula>NOT(ISERROR(SEARCH("Atendida",K876)))</formula>
    </cfRule>
    <cfRule type="containsText" dxfId="5409" priority="5550" operator="containsText" text="Reasignación">
      <formula>NOT(ISERROR(SEARCH("Reasignación",K876)))</formula>
    </cfRule>
    <cfRule type="containsText" dxfId="5408" priority="5551" operator="containsText" text="RECHAZADA">
      <formula>NOT(ISERROR(SEARCH("RECHAZADA",K876)))</formula>
    </cfRule>
    <cfRule type="containsText" dxfId="5407" priority="5552" operator="containsText" text="Atendida">
      <formula>NOT(ISERROR(SEARCH("Atendida",K876)))</formula>
    </cfRule>
    <cfRule type="containsText" dxfId="5406" priority="5553" operator="containsText" text="Reasignación">
      <formula>NOT(ISERROR(SEARCH("Reasignación",K876)))</formula>
    </cfRule>
    <cfRule type="containsText" dxfId="5405" priority="5554" operator="containsText" text="RECHAZADA">
      <formula>NOT(ISERROR(SEARCH("RECHAZADA",K876)))</formula>
    </cfRule>
    <cfRule type="containsText" dxfId="5404" priority="5555" operator="containsText" text="Atendida">
      <formula>NOT(ISERROR(SEARCH("Atendida",K876)))</formula>
    </cfRule>
    <cfRule type="containsText" dxfId="5403" priority="5556" operator="containsText" text="Reasignación">
      <formula>NOT(ISERROR(SEARCH("Reasignación",K876)))</formula>
    </cfRule>
    <cfRule type="containsText" dxfId="5402" priority="5557" operator="containsText" text="RECHAZADA">
      <formula>NOT(ISERROR(SEARCH("RECHAZADA",K876)))</formula>
    </cfRule>
    <cfRule type="containsText" dxfId="5401" priority="5558" operator="containsText" text="Atendida">
      <formula>NOT(ISERROR(SEARCH("Atendida",K876)))</formula>
    </cfRule>
    <cfRule type="containsText" dxfId="5400" priority="5559" operator="containsText" text="Reasignación">
      <formula>NOT(ISERROR(SEARCH("Reasignación",K876)))</formula>
    </cfRule>
    <cfRule type="containsText" dxfId="5399" priority="5560" operator="containsText" text="RECHAZADA">
      <formula>NOT(ISERROR(SEARCH("RECHAZADA",K876)))</formula>
    </cfRule>
    <cfRule type="containsText" dxfId="5398" priority="5561" operator="containsText" text="Atendida">
      <formula>NOT(ISERROR(SEARCH("Atendida",K876)))</formula>
    </cfRule>
    <cfRule type="containsText" dxfId="5397" priority="5562" operator="containsText" text="Reasignación">
      <formula>NOT(ISERROR(SEARCH("Reasignación",K876)))</formula>
    </cfRule>
    <cfRule type="containsText" dxfId="5396" priority="5563" operator="containsText" text="RECHAZADA">
      <formula>NOT(ISERROR(SEARCH("RECHAZADA",K876)))</formula>
    </cfRule>
    <cfRule type="containsText" dxfId="5395" priority="5564" operator="containsText" text="Atendida">
      <formula>NOT(ISERROR(SEARCH("Atendida",K876)))</formula>
    </cfRule>
    <cfRule type="containsText" dxfId="5394" priority="5565" operator="containsText" text="Reasignación">
      <formula>NOT(ISERROR(SEARCH("Reasignación",K876)))</formula>
    </cfRule>
    <cfRule type="containsText" dxfId="5393" priority="5566" operator="containsText" text="RECHAZADA">
      <formula>NOT(ISERROR(SEARCH("RECHAZADA",K876)))</formula>
    </cfRule>
    <cfRule type="containsText" dxfId="5392" priority="5567" operator="containsText" text="Atendida">
      <formula>NOT(ISERROR(SEARCH("Atendida",K876)))</formula>
    </cfRule>
    <cfRule type="containsText" dxfId="5391" priority="5568" operator="containsText" text="Reasignación">
      <formula>NOT(ISERROR(SEARCH("Reasignación",K876)))</formula>
    </cfRule>
    <cfRule type="containsText" dxfId="5390" priority="5569" operator="containsText" text="RECHAZADA">
      <formula>NOT(ISERROR(SEARCH("RECHAZADA",K876)))</formula>
    </cfRule>
    <cfRule type="containsText" dxfId="5389" priority="5570" operator="containsText" text="Atendida">
      <formula>NOT(ISERROR(SEARCH("Atendida",K876)))</formula>
    </cfRule>
    <cfRule type="containsText" dxfId="5388" priority="5571" operator="containsText" text="Reasignación">
      <formula>NOT(ISERROR(SEARCH("Reasignación",K876)))</formula>
    </cfRule>
    <cfRule type="containsText" dxfId="5387" priority="5572" operator="containsText" text="RECHAZADA">
      <formula>NOT(ISERROR(SEARCH("RECHAZADA",K876)))</formula>
    </cfRule>
    <cfRule type="containsText" dxfId="5386" priority="5573" operator="containsText" text="Atendida">
      <formula>NOT(ISERROR(SEARCH("Atendida",K876)))</formula>
    </cfRule>
    <cfRule type="containsText" dxfId="5385" priority="5574" operator="containsText" text="Reasignación">
      <formula>NOT(ISERROR(SEARCH("Reasignación",K876)))</formula>
    </cfRule>
    <cfRule type="containsText" dxfId="5384" priority="5575" operator="containsText" text="RECHAZADA">
      <formula>NOT(ISERROR(SEARCH("RECHAZADA",K876)))</formula>
    </cfRule>
    <cfRule type="containsText" dxfId="5383" priority="5576" operator="containsText" text="Atendida">
      <formula>NOT(ISERROR(SEARCH("Atendida",K876)))</formula>
    </cfRule>
    <cfRule type="containsText" dxfId="5382" priority="5577" operator="containsText" text="Reasignación">
      <formula>NOT(ISERROR(SEARCH("Reasignación",K876)))</formula>
    </cfRule>
    <cfRule type="containsText" dxfId="5381" priority="5578" operator="containsText" text="RECHAZADA">
      <formula>NOT(ISERROR(SEARCH("RECHAZADA",K876)))</formula>
    </cfRule>
    <cfRule type="containsText" dxfId="5380" priority="5579" operator="containsText" text="Atendida">
      <formula>NOT(ISERROR(SEARCH("Atendida",K876)))</formula>
    </cfRule>
    <cfRule type="containsText" dxfId="5379" priority="5580" operator="containsText" text="Reasignación">
      <formula>NOT(ISERROR(SEARCH("Reasignación",K876)))</formula>
    </cfRule>
    <cfRule type="containsText" dxfId="5378" priority="5581" operator="containsText" text="RECHAZADA">
      <formula>NOT(ISERROR(SEARCH("RECHAZADA",K876)))</formula>
    </cfRule>
    <cfRule type="containsText" dxfId="5377" priority="5582" operator="containsText" text="Atendida">
      <formula>NOT(ISERROR(SEARCH("Atendida",K876)))</formula>
    </cfRule>
    <cfRule type="containsText" dxfId="5376" priority="5583" operator="containsText" text="Reasignación">
      <formula>NOT(ISERROR(SEARCH("Reasignación",K876)))</formula>
    </cfRule>
    <cfRule type="containsText" dxfId="5375" priority="5584" operator="containsText" text="RECHAZADA">
      <formula>NOT(ISERROR(SEARCH("RECHAZADA",K876)))</formula>
    </cfRule>
    <cfRule type="containsText" dxfId="5374" priority="5585" operator="containsText" text="Atendida">
      <formula>NOT(ISERROR(SEARCH("Atendida",K876)))</formula>
    </cfRule>
    <cfRule type="containsText" dxfId="5373" priority="5586" operator="containsText" text="Reasignación">
      <formula>NOT(ISERROR(SEARCH("Reasignación",K876)))</formula>
    </cfRule>
    <cfRule type="containsText" dxfId="5372" priority="5587" operator="containsText" text="RECHAZADA">
      <formula>NOT(ISERROR(SEARCH("RECHAZADA",K876)))</formula>
    </cfRule>
    <cfRule type="containsText" dxfId="5371" priority="5588" operator="containsText" text="Atendida">
      <formula>NOT(ISERROR(SEARCH("Atendida",K876)))</formula>
    </cfRule>
    <cfRule type="containsText" dxfId="5370" priority="5590" operator="containsText" text="RECHAZADA">
      <formula>NOT(ISERROR(SEARCH("RECHAZADA",K876)))</formula>
    </cfRule>
    <cfRule type="containsText" dxfId="5369" priority="5591" operator="containsText" text="Atendida">
      <formula>NOT(ISERROR(SEARCH("Atendida",K876)))</formula>
    </cfRule>
  </conditionalFormatting>
  <conditionalFormatting sqref="K876">
    <cfRule type="containsText" dxfId="5368" priority="5481" operator="containsText" text="Reasignación">
      <formula>NOT(ISERROR(SEARCH("Reasignación",K876)))</formula>
    </cfRule>
    <cfRule type="containsText" dxfId="5367" priority="5484" operator="containsText" text="Reasignación">
      <formula>NOT(ISERROR(SEARCH("Reasignación",K876)))</formula>
    </cfRule>
  </conditionalFormatting>
  <conditionalFormatting sqref="B877:B884">
    <cfRule type="duplicateValues" dxfId="5366" priority="5334"/>
  </conditionalFormatting>
  <conditionalFormatting sqref="E887:E896 E877:E884">
    <cfRule type="duplicateValues" dxfId="5365" priority="5375"/>
  </conditionalFormatting>
  <conditionalFormatting sqref="L880:L882 L877:L878">
    <cfRule type="containsText" dxfId="5364" priority="5373" operator="containsText" text="RECHAZADA">
      <formula>NOT(ISERROR(SEARCH("RECHAZADA",L877)))</formula>
    </cfRule>
    <cfRule type="containsText" dxfId="5363" priority="5374" operator="containsText" text="Atendida">
      <formula>NOT(ISERROR(SEARCH("Atendida",L877)))</formula>
    </cfRule>
  </conditionalFormatting>
  <conditionalFormatting sqref="L880:L882 L877:L878">
    <cfRule type="containsText" dxfId="5362" priority="5372" operator="containsText" text="Reasignación">
      <formula>NOT(ISERROR(SEARCH("Reasignación",L877)))</formula>
    </cfRule>
  </conditionalFormatting>
  <conditionalFormatting sqref="L877">
    <cfRule type="containsText" dxfId="5361" priority="5335" operator="containsText" text="Reasignación">
      <formula>NOT(ISERROR(SEARCH("Reasignación",L877)))</formula>
    </cfRule>
    <cfRule type="containsText" dxfId="5360" priority="5336" operator="containsText" text="RECHAZADA">
      <formula>NOT(ISERROR(SEARCH("RECHAZADA",L877)))</formula>
    </cfRule>
    <cfRule type="containsText" dxfId="5359" priority="5337" operator="containsText" text="Atendida">
      <formula>NOT(ISERROR(SEARCH("Atendida",L877)))</formula>
    </cfRule>
  </conditionalFormatting>
  <conditionalFormatting sqref="L881:L882 L877">
    <cfRule type="containsText" dxfId="5358" priority="5366" operator="containsText" text="RECHAZADA">
      <formula>NOT(ISERROR(SEARCH("RECHAZADA",L877)))</formula>
    </cfRule>
    <cfRule type="containsText" dxfId="5357" priority="5367" operator="containsText" text="Atendida">
      <formula>NOT(ISERROR(SEARCH("Atendida",L877)))</formula>
    </cfRule>
    <cfRule type="containsText" dxfId="5356" priority="5368" operator="containsText" text="Reasignación">
      <formula>NOT(ISERROR(SEARCH("Reasignación",L877)))</formula>
    </cfRule>
    <cfRule type="containsText" dxfId="5355" priority="5369" operator="containsText" text="RECHAZADA">
      <formula>NOT(ISERROR(SEARCH("RECHAZADA",L877)))</formula>
    </cfRule>
    <cfRule type="containsText" dxfId="5354" priority="5370" operator="containsText" text="Atendida">
      <formula>NOT(ISERROR(SEARCH("Atendida",L877)))</formula>
    </cfRule>
  </conditionalFormatting>
  <conditionalFormatting sqref="L881:L882 L877">
    <cfRule type="containsText" dxfId="5353" priority="5365" operator="containsText" text="Reasignación">
      <formula>NOT(ISERROR(SEARCH("Reasignación",L877)))</formula>
    </cfRule>
  </conditionalFormatting>
  <conditionalFormatting sqref="L877">
    <cfRule type="containsText" dxfId="5352" priority="5359" operator="containsText" text="Reasignación">
      <formula>NOT(ISERROR(SEARCH("Reasignación",L877)))</formula>
    </cfRule>
    <cfRule type="containsText" dxfId="5351" priority="5360" operator="containsText" text="RECHAZADA">
      <formula>NOT(ISERROR(SEARCH("RECHAZADA",L877)))</formula>
    </cfRule>
    <cfRule type="containsText" dxfId="5350" priority="5361" operator="containsText" text="Atendida">
      <formula>NOT(ISERROR(SEARCH("Atendida",L877)))</formula>
    </cfRule>
    <cfRule type="containsText" dxfId="5349" priority="5362" operator="containsText" text="Reasignación">
      <formula>NOT(ISERROR(SEARCH("Reasignación",L877)))</formula>
    </cfRule>
    <cfRule type="containsText" dxfId="5348" priority="5363" operator="containsText" text="RECHAZADA">
      <formula>NOT(ISERROR(SEARCH("RECHAZADA",L877)))</formula>
    </cfRule>
    <cfRule type="containsText" dxfId="5347" priority="5364" operator="containsText" text="Atendida">
      <formula>NOT(ISERROR(SEARCH("Atendida",L877)))</formula>
    </cfRule>
  </conditionalFormatting>
  <conditionalFormatting sqref="L877">
    <cfRule type="containsText" dxfId="5346" priority="5338" operator="containsText" text="Reasignación">
      <formula>NOT(ISERROR(SEARCH("Reasignación",L877)))</formula>
    </cfRule>
    <cfRule type="containsText" dxfId="5345" priority="5339" operator="containsText" text="RECHAZADA">
      <formula>NOT(ISERROR(SEARCH("RECHAZADA",L877)))</formula>
    </cfRule>
    <cfRule type="containsText" dxfId="5344" priority="5340" operator="containsText" text="Atendida">
      <formula>NOT(ISERROR(SEARCH("Atendida",L877)))</formula>
    </cfRule>
    <cfRule type="containsText" dxfId="5343" priority="5341" operator="containsText" text="Reasignación">
      <formula>NOT(ISERROR(SEARCH("Reasignación",L877)))</formula>
    </cfRule>
    <cfRule type="containsText" dxfId="5342" priority="5342" operator="containsText" text="RECHAZADA">
      <formula>NOT(ISERROR(SEARCH("RECHAZADA",L877)))</formula>
    </cfRule>
    <cfRule type="containsText" dxfId="5341" priority="5343" operator="containsText" text="Atendida">
      <formula>NOT(ISERROR(SEARCH("Atendida",L877)))</formula>
    </cfRule>
    <cfRule type="containsText" dxfId="5340" priority="5344" operator="containsText" text="Reasignación">
      <formula>NOT(ISERROR(SEARCH("Reasignación",L877)))</formula>
    </cfRule>
    <cfRule type="containsText" dxfId="5339" priority="5345" operator="containsText" text="RECHAZADA">
      <formula>NOT(ISERROR(SEARCH("RECHAZADA",L877)))</formula>
    </cfRule>
    <cfRule type="containsText" dxfId="5338" priority="5346" operator="containsText" text="Atendida">
      <formula>NOT(ISERROR(SEARCH("Atendida",L877)))</formula>
    </cfRule>
    <cfRule type="containsText" dxfId="5337" priority="5347" operator="containsText" text="Reasignación">
      <formula>NOT(ISERROR(SEARCH("Reasignación",L877)))</formula>
    </cfRule>
    <cfRule type="containsText" dxfId="5336" priority="5348" operator="containsText" text="RECHAZADA">
      <formula>NOT(ISERROR(SEARCH("RECHAZADA",L877)))</formula>
    </cfRule>
    <cfRule type="containsText" dxfId="5335" priority="5349" operator="containsText" text="Atendida">
      <formula>NOT(ISERROR(SEARCH("Atendida",L877)))</formula>
    </cfRule>
    <cfRule type="containsText" dxfId="5334" priority="5350" operator="containsText" text="Reasignación">
      <formula>NOT(ISERROR(SEARCH("Reasignación",L877)))</formula>
    </cfRule>
    <cfRule type="containsText" dxfId="5333" priority="5351" operator="containsText" text="RECHAZADA">
      <formula>NOT(ISERROR(SEARCH("RECHAZADA",L877)))</formula>
    </cfRule>
    <cfRule type="containsText" dxfId="5332" priority="5352" operator="containsText" text="Atendida">
      <formula>NOT(ISERROR(SEARCH("Atendida",L877)))</formula>
    </cfRule>
    <cfRule type="containsText" dxfId="5331" priority="5353" operator="containsText" text="Reasignación">
      <formula>NOT(ISERROR(SEARCH("Reasignación",L877)))</formula>
    </cfRule>
    <cfRule type="containsText" dxfId="5330" priority="5354" operator="containsText" text="RECHAZADA">
      <formula>NOT(ISERROR(SEARCH("RECHAZADA",L877)))</formula>
    </cfRule>
    <cfRule type="containsText" dxfId="5329" priority="5355" operator="containsText" text="Atendida">
      <formula>NOT(ISERROR(SEARCH("Atendida",L877)))</formula>
    </cfRule>
  </conditionalFormatting>
  <conditionalFormatting sqref="N877:N878">
    <cfRule type="containsText" dxfId="5328" priority="5358" operator="containsText" text="RECHAZADA">
      <formula>NOT(ISERROR(SEARCH("RECHAZADA",N877)))</formula>
    </cfRule>
  </conditionalFormatting>
  <conditionalFormatting sqref="N877:N878">
    <cfRule type="containsText" dxfId="5327" priority="5371" operator="containsText" text="Atendida">
      <formula>NOT(ISERROR(SEARCH("Atendida",N877)))</formula>
    </cfRule>
  </conditionalFormatting>
  <conditionalFormatting sqref="N887 N877:N884">
    <cfRule type="containsText" dxfId="5326" priority="5357" operator="containsText" text="CONFORME">
      <formula>NOT(ISERROR(SEARCH("CONFORME",N877)))</formula>
    </cfRule>
  </conditionalFormatting>
  <conditionalFormatting sqref="N877:N878">
    <cfRule type="containsText" dxfId="5325" priority="5356" operator="containsText" text="OBSERVADO">
      <formula>NOT(ISERROR(SEARCH("OBSERVADO",N877)))</formula>
    </cfRule>
  </conditionalFormatting>
  <conditionalFormatting sqref="N887 L880:L882 N879:N884 L878">
    <cfRule type="containsText" dxfId="5324" priority="5333" operator="containsText" text="Atendida">
      <formula>NOT(ISERROR(SEARCH("Atendida",L878)))</formula>
    </cfRule>
  </conditionalFormatting>
  <conditionalFormatting sqref="L880:L882 L878">
    <cfRule type="containsText" dxfId="5323" priority="5332" operator="containsText" text="RECHAZADA">
      <formula>NOT(ISERROR(SEARCH("RECHAZADA",L878)))</formula>
    </cfRule>
  </conditionalFormatting>
  <conditionalFormatting sqref="L880:L882 L878">
    <cfRule type="containsText" dxfId="5322" priority="5331" operator="containsText" text="Reasignación">
      <formula>NOT(ISERROR(SEARCH("Reasignación",L878)))</formula>
    </cfRule>
  </conditionalFormatting>
  <conditionalFormatting sqref="L878">
    <cfRule type="containsText" dxfId="5321" priority="5292" operator="containsText" text="Reasignación">
      <formula>NOT(ISERROR(SEARCH("Reasignación",L878)))</formula>
    </cfRule>
    <cfRule type="containsText" dxfId="5320" priority="5293" operator="containsText" text="RECHAZADA">
      <formula>NOT(ISERROR(SEARCH("RECHAZADA",L878)))</formula>
    </cfRule>
    <cfRule type="containsText" dxfId="5319" priority="5294" operator="containsText" text="Atendida">
      <formula>NOT(ISERROR(SEARCH("Atendida",L878)))</formula>
    </cfRule>
    <cfRule type="containsText" dxfId="5318" priority="5295" operator="containsText" text="Reasignación">
      <formula>NOT(ISERROR(SEARCH("Reasignación",L878)))</formula>
    </cfRule>
    <cfRule type="containsText" dxfId="5317" priority="5296" operator="containsText" text="RECHAZADA">
      <formula>NOT(ISERROR(SEARCH("RECHAZADA",L878)))</formula>
    </cfRule>
    <cfRule type="containsText" dxfId="5316" priority="5297" operator="containsText" text="Atendida">
      <formula>NOT(ISERROR(SEARCH("Atendida",L878)))</formula>
    </cfRule>
    <cfRule type="containsText" dxfId="5315" priority="5298" operator="containsText" text="Reasignación">
      <formula>NOT(ISERROR(SEARCH("Reasignación",L878)))</formula>
    </cfRule>
    <cfRule type="containsText" dxfId="5314" priority="5299" operator="containsText" text="RECHAZADA">
      <formula>NOT(ISERROR(SEARCH("RECHAZADA",L878)))</formula>
    </cfRule>
    <cfRule type="containsText" dxfId="5313" priority="5300" operator="containsText" text="Atendida">
      <formula>NOT(ISERROR(SEARCH("Atendida",L878)))</formula>
    </cfRule>
    <cfRule type="containsText" dxfId="5312" priority="5301" operator="containsText" text="Reasignación">
      <formula>NOT(ISERROR(SEARCH("Reasignación",L878)))</formula>
    </cfRule>
    <cfRule type="containsText" dxfId="5311" priority="5302" operator="containsText" text="RECHAZADA">
      <formula>NOT(ISERROR(SEARCH("RECHAZADA",L878)))</formula>
    </cfRule>
    <cfRule type="containsText" dxfId="5310" priority="5303" operator="containsText" text="Atendida">
      <formula>NOT(ISERROR(SEARCH("Atendida",L878)))</formula>
    </cfRule>
    <cfRule type="containsText" dxfId="5309" priority="5304" operator="containsText" text="Reasignación">
      <formula>NOT(ISERROR(SEARCH("Reasignación",L878)))</formula>
    </cfRule>
    <cfRule type="containsText" dxfId="5308" priority="5305" operator="containsText" text="RECHAZADA">
      <formula>NOT(ISERROR(SEARCH("RECHAZADA",L878)))</formula>
    </cfRule>
    <cfRule type="containsText" dxfId="5307" priority="5306" operator="containsText" text="Atendida">
      <formula>NOT(ISERROR(SEARCH("Atendida",L878)))</formula>
    </cfRule>
    <cfRule type="containsText" dxfId="5306" priority="5307" operator="containsText" text="Reasignación">
      <formula>NOT(ISERROR(SEARCH("Reasignación",L878)))</formula>
    </cfRule>
    <cfRule type="containsText" dxfId="5305" priority="5308" operator="containsText" text="RECHAZADA">
      <formula>NOT(ISERROR(SEARCH("RECHAZADA",L878)))</formula>
    </cfRule>
    <cfRule type="containsText" dxfId="5304" priority="5309" operator="containsText" text="Atendida">
      <formula>NOT(ISERROR(SEARCH("Atendida",L878)))</formula>
    </cfRule>
    <cfRule type="containsText" dxfId="5303" priority="5310" operator="containsText" text="Reasignación">
      <formula>NOT(ISERROR(SEARCH("Reasignación",L878)))</formula>
    </cfRule>
    <cfRule type="containsText" dxfId="5302" priority="5311" operator="containsText" text="RECHAZADA">
      <formula>NOT(ISERROR(SEARCH("RECHAZADA",L878)))</formula>
    </cfRule>
    <cfRule type="containsText" dxfId="5301" priority="5312" operator="containsText" text="Atendida">
      <formula>NOT(ISERROR(SEARCH("Atendida",L878)))</formula>
    </cfRule>
    <cfRule type="containsText" dxfId="5300" priority="5313" operator="containsText" text="Reasignación">
      <formula>NOT(ISERROR(SEARCH("Reasignación",L878)))</formula>
    </cfRule>
    <cfRule type="containsText" dxfId="5299" priority="5314" operator="containsText" text="RECHAZADA">
      <formula>NOT(ISERROR(SEARCH("RECHAZADA",L878)))</formula>
    </cfRule>
    <cfRule type="containsText" dxfId="5298" priority="5315" operator="containsText" text="Atendida">
      <formula>NOT(ISERROR(SEARCH("Atendida",L878)))</formula>
    </cfRule>
    <cfRule type="containsText" dxfId="5297" priority="5316" operator="containsText" text="Reasignación">
      <formula>NOT(ISERROR(SEARCH("Reasignación",L878)))</formula>
    </cfRule>
    <cfRule type="containsText" dxfId="5296" priority="5317" operator="containsText" text="RECHAZADA">
      <formula>NOT(ISERROR(SEARCH("RECHAZADA",L878)))</formula>
    </cfRule>
    <cfRule type="containsText" dxfId="5295" priority="5318" operator="containsText" text="Atendida">
      <formula>NOT(ISERROR(SEARCH("Atendida",L878)))</formula>
    </cfRule>
    <cfRule type="containsText" dxfId="5294" priority="5319" operator="containsText" text="Reasignación">
      <formula>NOT(ISERROR(SEARCH("Reasignación",L878)))</formula>
    </cfRule>
    <cfRule type="containsText" dxfId="5293" priority="5320" operator="containsText" text="RECHAZADA">
      <formula>NOT(ISERROR(SEARCH("RECHAZADA",L878)))</formula>
    </cfRule>
    <cfRule type="containsText" dxfId="5292" priority="5321" operator="containsText" text="Atendida">
      <formula>NOT(ISERROR(SEARCH("Atendida",L878)))</formula>
    </cfRule>
    <cfRule type="containsText" dxfId="5291" priority="5322" operator="containsText" text="Reasignación">
      <formula>NOT(ISERROR(SEARCH("Reasignación",L878)))</formula>
    </cfRule>
    <cfRule type="containsText" dxfId="5290" priority="5323" operator="containsText" text="RECHAZADA">
      <formula>NOT(ISERROR(SEARCH("RECHAZADA",L878)))</formula>
    </cfRule>
    <cfRule type="containsText" dxfId="5289" priority="5324" operator="containsText" text="Atendida">
      <formula>NOT(ISERROR(SEARCH("Atendida",L878)))</formula>
    </cfRule>
    <cfRule type="containsText" dxfId="5288" priority="5325" operator="containsText" text="Reasignación">
      <formula>NOT(ISERROR(SEARCH("Reasignación",L878)))</formula>
    </cfRule>
    <cfRule type="containsText" dxfId="5287" priority="5326" operator="containsText" text="RECHAZADA">
      <formula>NOT(ISERROR(SEARCH("RECHAZADA",L878)))</formula>
    </cfRule>
    <cfRule type="containsText" dxfId="5286" priority="5327" operator="containsText" text="Atendida">
      <formula>NOT(ISERROR(SEARCH("Atendida",L878)))</formula>
    </cfRule>
    <cfRule type="containsText" dxfId="5285" priority="5328" operator="containsText" text="Reasignación">
      <formula>NOT(ISERROR(SEARCH("Reasignación",L878)))</formula>
    </cfRule>
    <cfRule type="containsText" dxfId="5284" priority="5329" operator="containsText" text="RECHAZADA">
      <formula>NOT(ISERROR(SEARCH("RECHAZADA",L878)))</formula>
    </cfRule>
    <cfRule type="containsText" dxfId="5283" priority="5330" operator="containsText" text="Atendida">
      <formula>NOT(ISERROR(SEARCH("Atendida",L878)))</formula>
    </cfRule>
  </conditionalFormatting>
  <conditionalFormatting sqref="L878">
    <cfRule type="containsText" dxfId="5282" priority="5289" operator="containsText" text="Reasignación">
      <formula>NOT(ISERROR(SEARCH("Reasignación",L878)))</formula>
    </cfRule>
    <cfRule type="containsText" dxfId="5281" priority="5290" operator="containsText" text="RECHAZADA">
      <formula>NOT(ISERROR(SEARCH("RECHAZADA",L878)))</formula>
    </cfRule>
    <cfRule type="containsText" dxfId="5280" priority="5291" operator="containsText" text="Atendida">
      <formula>NOT(ISERROR(SEARCH("Atendida",L878)))</formula>
    </cfRule>
  </conditionalFormatting>
  <conditionalFormatting sqref="N887 L880:L882 N879:N884">
    <cfRule type="containsText" dxfId="5279" priority="5288" operator="containsText" text="RECHAZADA">
      <formula>NOT(ISERROR(SEARCH("RECHAZADA",L879)))</formula>
    </cfRule>
  </conditionalFormatting>
  <conditionalFormatting sqref="L879">
    <cfRule type="containsText" dxfId="5278" priority="5254" operator="containsText" text="Reasignación">
      <formula>NOT(ISERROR(SEARCH("Reasignación",L879)))</formula>
    </cfRule>
    <cfRule type="containsText" dxfId="5277" priority="5255" operator="containsText" text="RECHAZADA">
      <formula>NOT(ISERROR(SEARCH("RECHAZADA",L879)))</formula>
    </cfRule>
    <cfRule type="containsText" dxfId="5276" priority="5256" operator="containsText" text="Atendida">
      <formula>NOT(ISERROR(SEARCH("Atendida",L879)))</formula>
    </cfRule>
    <cfRule type="containsText" dxfId="5275" priority="5257" operator="containsText" text="Reasignación">
      <formula>NOT(ISERROR(SEARCH("Reasignación",L879)))</formula>
    </cfRule>
    <cfRule type="containsText" dxfId="5274" priority="5258" operator="containsText" text="RECHAZADA">
      <formula>NOT(ISERROR(SEARCH("RECHAZADA",L879)))</formula>
    </cfRule>
    <cfRule type="containsText" dxfId="5273" priority="5259" operator="containsText" text="Atendida">
      <formula>NOT(ISERROR(SEARCH("Atendida",L879)))</formula>
    </cfRule>
    <cfRule type="containsText" dxfId="5272" priority="5260" operator="containsText" text="Reasignación">
      <formula>NOT(ISERROR(SEARCH("Reasignación",L879)))</formula>
    </cfRule>
    <cfRule type="containsText" dxfId="5271" priority="5261" operator="containsText" text="RECHAZADA">
      <formula>NOT(ISERROR(SEARCH("RECHAZADA",L879)))</formula>
    </cfRule>
    <cfRule type="containsText" dxfId="5270" priority="5262" operator="containsText" text="Atendida">
      <formula>NOT(ISERROR(SEARCH("Atendida",L879)))</formula>
    </cfRule>
    <cfRule type="containsText" dxfId="5269" priority="5263" operator="containsText" text="Reasignación">
      <formula>NOT(ISERROR(SEARCH("Reasignación",L879)))</formula>
    </cfRule>
    <cfRule type="containsText" dxfId="5268" priority="5264" operator="containsText" text="RECHAZADA">
      <formula>NOT(ISERROR(SEARCH("RECHAZADA",L879)))</formula>
    </cfRule>
    <cfRule type="containsText" dxfId="5267" priority="5265" operator="containsText" text="Atendida">
      <formula>NOT(ISERROR(SEARCH("Atendida",L879)))</formula>
    </cfRule>
    <cfRule type="containsText" dxfId="5266" priority="5266" operator="containsText" text="Reasignación">
      <formula>NOT(ISERROR(SEARCH("Reasignación",L879)))</formula>
    </cfRule>
    <cfRule type="containsText" dxfId="5265" priority="5267" operator="containsText" text="RECHAZADA">
      <formula>NOT(ISERROR(SEARCH("RECHAZADA",L879)))</formula>
    </cfRule>
    <cfRule type="containsText" dxfId="5264" priority="5268" operator="containsText" text="Atendida">
      <formula>NOT(ISERROR(SEARCH("Atendida",L879)))</formula>
    </cfRule>
    <cfRule type="containsText" dxfId="5263" priority="5269" operator="containsText" text="Reasignación">
      <formula>NOT(ISERROR(SEARCH("Reasignación",L879)))</formula>
    </cfRule>
    <cfRule type="containsText" dxfId="5262" priority="5270" operator="containsText" text="RECHAZADA">
      <formula>NOT(ISERROR(SEARCH("RECHAZADA",L879)))</formula>
    </cfRule>
    <cfRule type="containsText" dxfId="5261" priority="5271" operator="containsText" text="Atendida">
      <formula>NOT(ISERROR(SEARCH("Atendida",L879)))</formula>
    </cfRule>
    <cfRule type="containsText" dxfId="5260" priority="5272" operator="containsText" text="Reasignación">
      <formula>NOT(ISERROR(SEARCH("Reasignación",L879)))</formula>
    </cfRule>
    <cfRule type="containsText" dxfId="5259" priority="5273" operator="containsText" text="RECHAZADA">
      <formula>NOT(ISERROR(SEARCH("RECHAZADA",L879)))</formula>
    </cfRule>
    <cfRule type="containsText" dxfId="5258" priority="5274" operator="containsText" text="Atendida">
      <formula>NOT(ISERROR(SEARCH("Atendida",L879)))</formula>
    </cfRule>
    <cfRule type="containsText" dxfId="5257" priority="5275" operator="containsText" text="Reasignación">
      <formula>NOT(ISERROR(SEARCH("Reasignación",L879)))</formula>
    </cfRule>
    <cfRule type="containsText" dxfId="5256" priority="5276" operator="containsText" text="RECHAZADA">
      <formula>NOT(ISERROR(SEARCH("RECHAZADA",L879)))</formula>
    </cfRule>
    <cfRule type="containsText" dxfId="5255" priority="5277" operator="containsText" text="Atendida">
      <formula>NOT(ISERROR(SEARCH("Atendida",L879)))</formula>
    </cfRule>
    <cfRule type="containsText" dxfId="5254" priority="5278" operator="containsText" text="Reasignación">
      <formula>NOT(ISERROR(SEARCH("Reasignación",L879)))</formula>
    </cfRule>
    <cfRule type="containsText" dxfId="5253" priority="5279" operator="containsText" text="RECHAZADA">
      <formula>NOT(ISERROR(SEARCH("RECHAZADA",L879)))</formula>
    </cfRule>
    <cfRule type="containsText" dxfId="5252" priority="5280" operator="containsText" text="Atendida">
      <formula>NOT(ISERROR(SEARCH("Atendida",L879)))</formula>
    </cfRule>
    <cfRule type="containsText" dxfId="5251" priority="5281" operator="containsText" text="Reasignación">
      <formula>NOT(ISERROR(SEARCH("Reasignación",L879)))</formula>
    </cfRule>
    <cfRule type="containsText" dxfId="5250" priority="5282" operator="containsText" text="RECHAZADA">
      <formula>NOT(ISERROR(SEARCH("RECHAZADA",L879)))</formula>
    </cfRule>
    <cfRule type="containsText" dxfId="5249" priority="5283" operator="containsText" text="Atendida">
      <formula>NOT(ISERROR(SEARCH("Atendida",L879)))</formula>
    </cfRule>
    <cfRule type="containsText" dxfId="5248" priority="5284" operator="containsText" text="Reasignación">
      <formula>NOT(ISERROR(SEARCH("Reasignación",L879)))</formula>
    </cfRule>
    <cfRule type="containsText" dxfId="5247" priority="5285" operator="containsText" text="RECHAZADA">
      <formula>NOT(ISERROR(SEARCH("RECHAZADA",L879)))</formula>
    </cfRule>
    <cfRule type="containsText" dxfId="5246" priority="5286" operator="containsText" text="Atendida">
      <formula>NOT(ISERROR(SEARCH("Atendida",L879)))</formula>
    </cfRule>
  </conditionalFormatting>
  <conditionalFormatting sqref="L879">
    <cfRule type="containsText" dxfId="5245" priority="5251" operator="containsText" text="Reasignación">
      <formula>NOT(ISERROR(SEARCH("Reasignación",L879)))</formula>
    </cfRule>
    <cfRule type="containsText" dxfId="5244" priority="5252" operator="containsText" text="RECHAZADA">
      <formula>NOT(ISERROR(SEARCH("RECHAZADA",L879)))</formula>
    </cfRule>
    <cfRule type="containsText" dxfId="5243" priority="5253" operator="containsText" text="Atendida">
      <formula>NOT(ISERROR(SEARCH("Atendida",L879)))</formula>
    </cfRule>
  </conditionalFormatting>
  <conditionalFormatting sqref="N887 N879:N884">
    <cfRule type="containsText" dxfId="5242" priority="5287" operator="containsText" text="OBSERVADO">
      <formula>NOT(ISERROR(SEARCH("OBSERVADO",N879)))</formula>
    </cfRule>
  </conditionalFormatting>
  <conditionalFormatting sqref="L880">
    <cfRule type="containsText" dxfId="5241" priority="5249" operator="containsText" text="RECHAZADA">
      <formula>NOT(ISERROR(SEARCH("RECHAZADA",L880)))</formula>
    </cfRule>
  </conditionalFormatting>
  <conditionalFormatting sqref="L880:L882">
    <cfRule type="containsText" dxfId="5240" priority="5250" operator="containsText" text="Atendida">
      <formula>NOT(ISERROR(SEARCH("Atendida",L880)))</formula>
    </cfRule>
  </conditionalFormatting>
  <conditionalFormatting sqref="L880">
    <cfRule type="containsText" dxfId="5239" priority="5248" operator="containsText" text="Reasignación">
      <formula>NOT(ISERROR(SEARCH("Reasignación",L880)))</formula>
    </cfRule>
  </conditionalFormatting>
  <conditionalFormatting sqref="L880">
    <cfRule type="containsText" dxfId="5238" priority="5247" operator="containsText" text="Atendida">
      <formula>NOT(ISERROR(SEARCH("Atendida",L880)))</formula>
    </cfRule>
  </conditionalFormatting>
  <conditionalFormatting sqref="L880">
    <cfRule type="containsText" dxfId="5237" priority="5245" operator="containsText" text="Reasignación">
      <formula>NOT(ISERROR(SEARCH("Reasignación",L880)))</formula>
    </cfRule>
    <cfRule type="containsText" dxfId="5236" priority="5246" operator="containsText" text="RECHAZADA">
      <formula>NOT(ISERROR(SEARCH("RECHAZADA",L880)))</formula>
    </cfRule>
  </conditionalFormatting>
  <conditionalFormatting sqref="L880">
    <cfRule type="containsText" dxfId="5235" priority="5167" operator="containsText" text="Reasignación">
      <formula>NOT(ISERROR(SEARCH("Reasignación",L880)))</formula>
    </cfRule>
    <cfRule type="containsText" dxfId="5234" priority="5168" operator="containsText" text="RECHAZADA">
      <formula>NOT(ISERROR(SEARCH("RECHAZADA",L880)))</formula>
    </cfRule>
    <cfRule type="containsText" dxfId="5233" priority="5169" operator="containsText" text="Atendida">
      <formula>NOT(ISERROR(SEARCH("Atendida",L880)))</formula>
    </cfRule>
    <cfRule type="containsText" dxfId="5232" priority="5170" operator="containsText" text="Reasignación">
      <formula>NOT(ISERROR(SEARCH("Reasignación",L880)))</formula>
    </cfRule>
    <cfRule type="containsText" dxfId="5231" priority="5171" operator="containsText" text="RECHAZADA">
      <formula>NOT(ISERROR(SEARCH("RECHAZADA",L880)))</formula>
    </cfRule>
    <cfRule type="containsText" dxfId="5230" priority="5172" operator="containsText" text="Atendida">
      <formula>NOT(ISERROR(SEARCH("Atendida",L880)))</formula>
    </cfRule>
    <cfRule type="containsText" dxfId="5229" priority="5173" operator="containsText" text="Reasignación">
      <formula>NOT(ISERROR(SEARCH("Reasignación",L880)))</formula>
    </cfRule>
    <cfRule type="containsText" dxfId="5228" priority="5174" operator="containsText" text="RECHAZADA">
      <formula>NOT(ISERROR(SEARCH("RECHAZADA",L880)))</formula>
    </cfRule>
    <cfRule type="containsText" dxfId="5227" priority="5175" operator="containsText" text="Atendida">
      <formula>NOT(ISERROR(SEARCH("Atendida",L880)))</formula>
    </cfRule>
    <cfRule type="containsText" dxfId="5226" priority="5176" operator="containsText" text="Reasignación">
      <formula>NOT(ISERROR(SEARCH("Reasignación",L880)))</formula>
    </cfRule>
    <cfRule type="containsText" dxfId="5225" priority="5177" operator="containsText" text="RECHAZADA">
      <formula>NOT(ISERROR(SEARCH("RECHAZADA",L880)))</formula>
    </cfRule>
    <cfRule type="containsText" dxfId="5224" priority="5178" operator="containsText" text="Atendida">
      <formula>NOT(ISERROR(SEARCH("Atendida",L880)))</formula>
    </cfRule>
    <cfRule type="containsText" dxfId="5223" priority="5179" operator="containsText" text="Reasignación">
      <formula>NOT(ISERROR(SEARCH("Reasignación",L880)))</formula>
    </cfRule>
    <cfRule type="containsText" dxfId="5222" priority="5180" operator="containsText" text="RECHAZADA">
      <formula>NOT(ISERROR(SEARCH("RECHAZADA",L880)))</formula>
    </cfRule>
    <cfRule type="containsText" dxfId="5221" priority="5181" operator="containsText" text="Atendida">
      <formula>NOT(ISERROR(SEARCH("Atendida",L880)))</formula>
    </cfRule>
    <cfRule type="containsText" dxfId="5220" priority="5182" operator="containsText" text="Reasignación">
      <formula>NOT(ISERROR(SEARCH("Reasignación",L880)))</formula>
    </cfRule>
    <cfRule type="containsText" dxfId="5219" priority="5183" operator="containsText" text="RECHAZADA">
      <formula>NOT(ISERROR(SEARCH("RECHAZADA",L880)))</formula>
    </cfRule>
    <cfRule type="containsText" dxfId="5218" priority="5184" operator="containsText" text="Atendida">
      <formula>NOT(ISERROR(SEARCH("Atendida",L880)))</formula>
    </cfRule>
    <cfRule type="containsText" dxfId="5217" priority="5185" operator="containsText" text="Reasignación">
      <formula>NOT(ISERROR(SEARCH("Reasignación",L880)))</formula>
    </cfRule>
    <cfRule type="containsText" dxfId="5216" priority="5186" operator="containsText" text="RECHAZADA">
      <formula>NOT(ISERROR(SEARCH("RECHAZADA",L880)))</formula>
    </cfRule>
    <cfRule type="containsText" dxfId="5215" priority="5187" operator="containsText" text="Atendida">
      <formula>NOT(ISERROR(SEARCH("Atendida",L880)))</formula>
    </cfRule>
    <cfRule type="containsText" dxfId="5214" priority="5188" operator="containsText" text="Reasignación">
      <formula>NOT(ISERROR(SEARCH("Reasignación",L880)))</formula>
    </cfRule>
    <cfRule type="containsText" dxfId="5213" priority="5189" operator="containsText" text="RECHAZADA">
      <formula>NOT(ISERROR(SEARCH("RECHAZADA",L880)))</formula>
    </cfRule>
    <cfRule type="containsText" dxfId="5212" priority="5190" operator="containsText" text="Atendida">
      <formula>NOT(ISERROR(SEARCH("Atendida",L880)))</formula>
    </cfRule>
    <cfRule type="containsText" dxfId="5211" priority="5191" operator="containsText" text="Reasignación">
      <formula>NOT(ISERROR(SEARCH("Reasignación",L880)))</formula>
    </cfRule>
    <cfRule type="containsText" dxfId="5210" priority="5192" operator="containsText" text="RECHAZADA">
      <formula>NOT(ISERROR(SEARCH("RECHAZADA",L880)))</formula>
    </cfRule>
    <cfRule type="containsText" dxfId="5209" priority="5193" operator="containsText" text="Atendida">
      <formula>NOT(ISERROR(SEARCH("Atendida",L880)))</formula>
    </cfRule>
    <cfRule type="containsText" dxfId="5208" priority="5194" operator="containsText" text="Reasignación">
      <formula>NOT(ISERROR(SEARCH("Reasignación",L880)))</formula>
    </cfRule>
    <cfRule type="containsText" dxfId="5207" priority="5195" operator="containsText" text="RECHAZADA">
      <formula>NOT(ISERROR(SEARCH("RECHAZADA",L880)))</formula>
    </cfRule>
    <cfRule type="containsText" dxfId="5206" priority="5196" operator="containsText" text="Atendida">
      <formula>NOT(ISERROR(SEARCH("Atendida",L880)))</formula>
    </cfRule>
    <cfRule type="containsText" dxfId="5205" priority="5197" operator="containsText" text="Reasignación">
      <formula>NOT(ISERROR(SEARCH("Reasignación",L880)))</formula>
    </cfRule>
    <cfRule type="containsText" dxfId="5204" priority="5198" operator="containsText" text="RECHAZADA">
      <formula>NOT(ISERROR(SEARCH("RECHAZADA",L880)))</formula>
    </cfRule>
    <cfRule type="containsText" dxfId="5203" priority="5199" operator="containsText" text="Atendida">
      <formula>NOT(ISERROR(SEARCH("Atendida",L880)))</formula>
    </cfRule>
    <cfRule type="containsText" dxfId="5202" priority="5200" operator="containsText" text="Reasignación">
      <formula>NOT(ISERROR(SEARCH("Reasignación",L880)))</formula>
    </cfRule>
    <cfRule type="containsText" dxfId="5201" priority="5201" operator="containsText" text="RECHAZADA">
      <formula>NOT(ISERROR(SEARCH("RECHAZADA",L880)))</formula>
    </cfRule>
    <cfRule type="containsText" dxfId="5200" priority="5202" operator="containsText" text="Atendida">
      <formula>NOT(ISERROR(SEARCH("Atendida",L880)))</formula>
    </cfRule>
    <cfRule type="containsText" dxfId="5199" priority="5203" operator="containsText" text="Reasignación">
      <formula>NOT(ISERROR(SEARCH("Reasignación",L880)))</formula>
    </cfRule>
    <cfRule type="containsText" dxfId="5198" priority="5204" operator="containsText" text="RECHAZADA">
      <formula>NOT(ISERROR(SEARCH("RECHAZADA",L880)))</formula>
    </cfRule>
    <cfRule type="containsText" dxfId="5197" priority="5205" operator="containsText" text="Atendida">
      <formula>NOT(ISERROR(SEARCH("Atendida",L880)))</formula>
    </cfRule>
    <cfRule type="containsText" dxfId="5196" priority="5206" operator="containsText" text="Reasignación">
      <formula>NOT(ISERROR(SEARCH("Reasignación",L880)))</formula>
    </cfRule>
    <cfRule type="containsText" dxfId="5195" priority="5207" operator="containsText" text="RECHAZADA">
      <formula>NOT(ISERROR(SEARCH("RECHAZADA",L880)))</formula>
    </cfRule>
    <cfRule type="containsText" dxfId="5194" priority="5208" operator="containsText" text="Atendida">
      <formula>NOT(ISERROR(SEARCH("Atendida",L880)))</formula>
    </cfRule>
    <cfRule type="containsText" dxfId="5193" priority="5209" operator="containsText" text="Reasignación">
      <formula>NOT(ISERROR(SEARCH("Reasignación",L880)))</formula>
    </cfRule>
    <cfRule type="containsText" dxfId="5192" priority="5210" operator="containsText" text="RECHAZADA">
      <formula>NOT(ISERROR(SEARCH("RECHAZADA",L880)))</formula>
    </cfRule>
    <cfRule type="containsText" dxfId="5191" priority="5211" operator="containsText" text="Atendida">
      <formula>NOT(ISERROR(SEARCH("Atendida",L880)))</formula>
    </cfRule>
    <cfRule type="containsText" dxfId="5190" priority="5212" operator="containsText" text="Reasignación">
      <formula>NOT(ISERROR(SEARCH("Reasignación",L880)))</formula>
    </cfRule>
    <cfRule type="containsText" dxfId="5189" priority="5213" operator="containsText" text="RECHAZADA">
      <formula>NOT(ISERROR(SEARCH("RECHAZADA",L880)))</formula>
    </cfRule>
    <cfRule type="containsText" dxfId="5188" priority="5214" operator="containsText" text="Atendida">
      <formula>NOT(ISERROR(SEARCH("Atendida",L880)))</formula>
    </cfRule>
    <cfRule type="containsText" dxfId="5187" priority="5215" operator="containsText" text="Reasignación">
      <formula>NOT(ISERROR(SEARCH("Reasignación",L880)))</formula>
    </cfRule>
    <cfRule type="containsText" dxfId="5186" priority="5216" operator="containsText" text="RECHAZADA">
      <formula>NOT(ISERROR(SEARCH("RECHAZADA",L880)))</formula>
    </cfRule>
    <cfRule type="containsText" dxfId="5185" priority="5217" operator="containsText" text="Atendida">
      <formula>NOT(ISERROR(SEARCH("Atendida",L880)))</formula>
    </cfRule>
    <cfRule type="containsText" dxfId="5184" priority="5218" operator="containsText" text="Reasignación">
      <formula>NOT(ISERROR(SEARCH("Reasignación",L880)))</formula>
    </cfRule>
    <cfRule type="containsText" dxfId="5183" priority="5219" operator="containsText" text="RECHAZADA">
      <formula>NOT(ISERROR(SEARCH("RECHAZADA",L880)))</formula>
    </cfRule>
    <cfRule type="containsText" dxfId="5182" priority="5220" operator="containsText" text="Atendida">
      <formula>NOT(ISERROR(SEARCH("Atendida",L880)))</formula>
    </cfRule>
    <cfRule type="containsText" dxfId="5181" priority="5221" operator="containsText" text="Reasignación">
      <formula>NOT(ISERROR(SEARCH("Reasignación",L880)))</formula>
    </cfRule>
    <cfRule type="containsText" dxfId="5180" priority="5222" operator="containsText" text="RECHAZADA">
      <formula>NOT(ISERROR(SEARCH("RECHAZADA",L880)))</formula>
    </cfRule>
    <cfRule type="containsText" dxfId="5179" priority="5223" operator="containsText" text="Atendida">
      <formula>NOT(ISERROR(SEARCH("Atendida",L880)))</formula>
    </cfRule>
    <cfRule type="containsText" dxfId="5178" priority="5224" operator="containsText" text="Reasignación">
      <formula>NOT(ISERROR(SEARCH("Reasignación",L880)))</formula>
    </cfRule>
    <cfRule type="containsText" dxfId="5177" priority="5225" operator="containsText" text="RECHAZADA">
      <formula>NOT(ISERROR(SEARCH("RECHAZADA",L880)))</formula>
    </cfRule>
    <cfRule type="containsText" dxfId="5176" priority="5226" operator="containsText" text="Atendida">
      <formula>NOT(ISERROR(SEARCH("Atendida",L880)))</formula>
    </cfRule>
    <cfRule type="containsText" dxfId="5175" priority="5227" operator="containsText" text="Reasignación">
      <formula>NOT(ISERROR(SEARCH("Reasignación",L880)))</formula>
    </cfRule>
    <cfRule type="containsText" dxfId="5174" priority="5228" operator="containsText" text="RECHAZADA">
      <formula>NOT(ISERROR(SEARCH("RECHAZADA",L880)))</formula>
    </cfRule>
    <cfRule type="containsText" dxfId="5173" priority="5229" operator="containsText" text="Atendida">
      <formula>NOT(ISERROR(SEARCH("Atendida",L880)))</formula>
    </cfRule>
    <cfRule type="containsText" dxfId="5172" priority="5230" operator="containsText" text="Reasignación">
      <formula>NOT(ISERROR(SEARCH("Reasignación",L880)))</formula>
    </cfRule>
    <cfRule type="containsText" dxfId="5171" priority="5231" operator="containsText" text="RECHAZADA">
      <formula>NOT(ISERROR(SEARCH("RECHAZADA",L880)))</formula>
    </cfRule>
    <cfRule type="containsText" dxfId="5170" priority="5232" operator="containsText" text="Atendida">
      <formula>NOT(ISERROR(SEARCH("Atendida",L880)))</formula>
    </cfRule>
    <cfRule type="containsText" dxfId="5169" priority="5233" operator="containsText" text="Reasignación">
      <formula>NOT(ISERROR(SEARCH("Reasignación",L880)))</formula>
    </cfRule>
    <cfRule type="containsText" dxfId="5168" priority="5234" operator="containsText" text="RECHAZADA">
      <formula>NOT(ISERROR(SEARCH("RECHAZADA",L880)))</formula>
    </cfRule>
    <cfRule type="containsText" dxfId="5167" priority="5235" operator="containsText" text="Atendida">
      <formula>NOT(ISERROR(SEARCH("Atendida",L880)))</formula>
    </cfRule>
    <cfRule type="containsText" dxfId="5166" priority="5236" operator="containsText" text="Reasignación">
      <formula>NOT(ISERROR(SEARCH("Reasignación",L880)))</formula>
    </cfRule>
    <cfRule type="containsText" dxfId="5165" priority="5237" operator="containsText" text="RECHAZADA">
      <formula>NOT(ISERROR(SEARCH("RECHAZADA",L880)))</formula>
    </cfRule>
    <cfRule type="containsText" dxfId="5164" priority="5238" operator="containsText" text="Atendida">
      <formula>NOT(ISERROR(SEARCH("Atendida",L880)))</formula>
    </cfRule>
    <cfRule type="containsText" dxfId="5163" priority="5239" operator="containsText" text="Reasignación">
      <formula>NOT(ISERROR(SEARCH("Reasignación",L880)))</formula>
    </cfRule>
    <cfRule type="containsText" dxfId="5162" priority="5240" operator="containsText" text="RECHAZADA">
      <formula>NOT(ISERROR(SEARCH("RECHAZADA",L880)))</formula>
    </cfRule>
    <cfRule type="containsText" dxfId="5161" priority="5241" operator="containsText" text="Atendida">
      <formula>NOT(ISERROR(SEARCH("Atendida",L880)))</formula>
    </cfRule>
    <cfRule type="containsText" dxfId="5160" priority="5242" operator="containsText" text="Reasignación">
      <formula>NOT(ISERROR(SEARCH("Reasignación",L880)))</formula>
    </cfRule>
    <cfRule type="containsText" dxfId="5159" priority="5243" operator="containsText" text="RECHAZADA">
      <formula>NOT(ISERROR(SEARCH("RECHAZADA",L880)))</formula>
    </cfRule>
    <cfRule type="containsText" dxfId="5158" priority="5244" operator="containsText" text="Atendida">
      <formula>NOT(ISERROR(SEARCH("Atendida",L880)))</formula>
    </cfRule>
  </conditionalFormatting>
  <conditionalFormatting sqref="L880">
    <cfRule type="containsText" dxfId="5157" priority="5165" operator="containsText" text="RECHAZADA">
      <formula>NOT(ISERROR(SEARCH("RECHAZADA",L880)))</formula>
    </cfRule>
    <cfRule type="containsText" dxfId="5156" priority="5166" operator="containsText" text="Atendida">
      <formula>NOT(ISERROR(SEARCH("Atendida",L880)))</formula>
    </cfRule>
  </conditionalFormatting>
  <conditionalFormatting sqref="L880">
    <cfRule type="containsText" dxfId="5155" priority="5164" operator="containsText" text="Reasignación">
      <formula>NOT(ISERROR(SEARCH("Reasignación",L880)))</formula>
    </cfRule>
  </conditionalFormatting>
  <conditionalFormatting sqref="L881">
    <cfRule type="containsText" dxfId="5154" priority="5161" operator="containsText" text="Reasignación">
      <formula>NOT(ISERROR(SEARCH("Reasignación",L881)))</formula>
    </cfRule>
    <cfRule type="containsText" dxfId="5153" priority="5162" operator="containsText" text="RECHAZADA">
      <formula>NOT(ISERROR(SEARCH("RECHAZADA",L881)))</formula>
    </cfRule>
    <cfRule type="containsText" dxfId="5152" priority="5163" operator="containsText" text="Atendida">
      <formula>NOT(ISERROR(SEARCH("Atendida",L881)))</formula>
    </cfRule>
  </conditionalFormatting>
  <conditionalFormatting sqref="L881">
    <cfRule type="containsText" dxfId="5151" priority="5044" operator="containsText" text="Reasignación">
      <formula>NOT(ISERROR(SEARCH("Reasignación",L881)))</formula>
    </cfRule>
    <cfRule type="containsText" dxfId="5150" priority="5045" operator="containsText" text="RECHAZADA">
      <formula>NOT(ISERROR(SEARCH("RECHAZADA",L881)))</formula>
    </cfRule>
    <cfRule type="containsText" dxfId="5149" priority="5046" operator="containsText" text="Atendida">
      <formula>NOT(ISERROR(SEARCH("Atendida",L881)))</formula>
    </cfRule>
    <cfRule type="containsText" dxfId="5148" priority="5047" operator="containsText" text="Reasignación">
      <formula>NOT(ISERROR(SEARCH("Reasignación",L881)))</formula>
    </cfRule>
    <cfRule type="containsText" dxfId="5147" priority="5048" operator="containsText" text="RECHAZADA">
      <formula>NOT(ISERROR(SEARCH("RECHAZADA",L881)))</formula>
    </cfRule>
    <cfRule type="containsText" dxfId="5146" priority="5049" operator="containsText" text="Atendida">
      <formula>NOT(ISERROR(SEARCH("Atendida",L881)))</formula>
    </cfRule>
    <cfRule type="containsText" dxfId="5145" priority="5050" operator="containsText" text="Reasignación">
      <formula>NOT(ISERROR(SEARCH("Reasignación",L881)))</formula>
    </cfRule>
    <cfRule type="containsText" dxfId="5144" priority="5051" operator="containsText" text="RECHAZADA">
      <formula>NOT(ISERROR(SEARCH("RECHAZADA",L881)))</formula>
    </cfRule>
    <cfRule type="containsText" dxfId="5143" priority="5052" operator="containsText" text="Atendida">
      <formula>NOT(ISERROR(SEARCH("Atendida",L881)))</formula>
    </cfRule>
    <cfRule type="containsText" dxfId="5142" priority="5053" operator="containsText" text="Reasignación">
      <formula>NOT(ISERROR(SEARCH("Reasignación",L881)))</formula>
    </cfRule>
    <cfRule type="containsText" dxfId="5141" priority="5054" operator="containsText" text="RECHAZADA">
      <formula>NOT(ISERROR(SEARCH("RECHAZADA",L881)))</formula>
    </cfRule>
    <cfRule type="containsText" dxfId="5140" priority="5055" operator="containsText" text="Atendida">
      <formula>NOT(ISERROR(SEARCH("Atendida",L881)))</formula>
    </cfRule>
    <cfRule type="containsText" dxfId="5139" priority="5056" operator="containsText" text="Reasignación">
      <formula>NOT(ISERROR(SEARCH("Reasignación",L881)))</formula>
    </cfRule>
    <cfRule type="containsText" dxfId="5138" priority="5057" operator="containsText" text="RECHAZADA">
      <formula>NOT(ISERROR(SEARCH("RECHAZADA",L881)))</formula>
    </cfRule>
    <cfRule type="containsText" dxfId="5137" priority="5058" operator="containsText" text="Atendida">
      <formula>NOT(ISERROR(SEARCH("Atendida",L881)))</formula>
    </cfRule>
    <cfRule type="containsText" dxfId="5136" priority="5059" operator="containsText" text="Reasignación">
      <formula>NOT(ISERROR(SEARCH("Reasignación",L881)))</formula>
    </cfRule>
    <cfRule type="containsText" dxfId="5135" priority="5060" operator="containsText" text="RECHAZADA">
      <formula>NOT(ISERROR(SEARCH("RECHAZADA",L881)))</formula>
    </cfRule>
    <cfRule type="containsText" dxfId="5134" priority="5061" operator="containsText" text="Atendida">
      <formula>NOT(ISERROR(SEARCH("Atendida",L881)))</formula>
    </cfRule>
    <cfRule type="containsText" dxfId="5133" priority="5062" operator="containsText" text="Reasignación">
      <formula>NOT(ISERROR(SEARCH("Reasignación",L881)))</formula>
    </cfRule>
    <cfRule type="containsText" dxfId="5132" priority="5063" operator="containsText" text="RECHAZADA">
      <formula>NOT(ISERROR(SEARCH("RECHAZADA",L881)))</formula>
    </cfRule>
    <cfRule type="containsText" dxfId="5131" priority="5064" operator="containsText" text="Atendida">
      <formula>NOT(ISERROR(SEARCH("Atendida",L881)))</formula>
    </cfRule>
    <cfRule type="containsText" dxfId="5130" priority="5065" operator="containsText" text="Reasignación">
      <formula>NOT(ISERROR(SEARCH("Reasignación",L881)))</formula>
    </cfRule>
    <cfRule type="containsText" dxfId="5129" priority="5066" operator="containsText" text="RECHAZADA">
      <formula>NOT(ISERROR(SEARCH("RECHAZADA",L881)))</formula>
    </cfRule>
    <cfRule type="containsText" dxfId="5128" priority="5067" operator="containsText" text="Atendida">
      <formula>NOT(ISERROR(SEARCH("Atendida",L881)))</formula>
    </cfRule>
    <cfRule type="containsText" dxfId="5127" priority="5068" operator="containsText" text="Reasignación">
      <formula>NOT(ISERROR(SEARCH("Reasignación",L881)))</formula>
    </cfRule>
    <cfRule type="containsText" dxfId="5126" priority="5069" operator="containsText" text="RECHAZADA">
      <formula>NOT(ISERROR(SEARCH("RECHAZADA",L881)))</formula>
    </cfRule>
    <cfRule type="containsText" dxfId="5125" priority="5070" operator="containsText" text="Atendida">
      <formula>NOT(ISERROR(SEARCH("Atendida",L881)))</formula>
    </cfRule>
    <cfRule type="containsText" dxfId="5124" priority="5071" operator="containsText" text="Reasignación">
      <formula>NOT(ISERROR(SEARCH("Reasignación",L881)))</formula>
    </cfRule>
    <cfRule type="containsText" dxfId="5123" priority="5072" operator="containsText" text="RECHAZADA">
      <formula>NOT(ISERROR(SEARCH("RECHAZADA",L881)))</formula>
    </cfRule>
    <cfRule type="containsText" dxfId="5122" priority="5073" operator="containsText" text="Atendida">
      <formula>NOT(ISERROR(SEARCH("Atendida",L881)))</formula>
    </cfRule>
    <cfRule type="containsText" dxfId="5121" priority="5074" operator="containsText" text="Reasignación">
      <formula>NOT(ISERROR(SEARCH("Reasignación",L881)))</formula>
    </cfRule>
    <cfRule type="containsText" dxfId="5120" priority="5075" operator="containsText" text="RECHAZADA">
      <formula>NOT(ISERROR(SEARCH("RECHAZADA",L881)))</formula>
    </cfRule>
    <cfRule type="containsText" dxfId="5119" priority="5076" operator="containsText" text="Atendida">
      <formula>NOT(ISERROR(SEARCH("Atendida",L881)))</formula>
    </cfRule>
    <cfRule type="containsText" dxfId="5118" priority="5077" operator="containsText" text="Reasignación">
      <formula>NOT(ISERROR(SEARCH("Reasignación",L881)))</formula>
    </cfRule>
    <cfRule type="containsText" dxfId="5117" priority="5078" operator="containsText" text="RECHAZADA">
      <formula>NOT(ISERROR(SEARCH("RECHAZADA",L881)))</formula>
    </cfRule>
    <cfRule type="containsText" dxfId="5116" priority="5079" operator="containsText" text="Atendida">
      <formula>NOT(ISERROR(SEARCH("Atendida",L881)))</formula>
    </cfRule>
    <cfRule type="containsText" dxfId="5115" priority="5080" operator="containsText" text="Reasignación">
      <formula>NOT(ISERROR(SEARCH("Reasignación",L881)))</formula>
    </cfRule>
    <cfRule type="containsText" dxfId="5114" priority="5081" operator="containsText" text="RECHAZADA">
      <formula>NOT(ISERROR(SEARCH("RECHAZADA",L881)))</formula>
    </cfRule>
    <cfRule type="containsText" dxfId="5113" priority="5082" operator="containsText" text="Atendida">
      <formula>NOT(ISERROR(SEARCH("Atendida",L881)))</formula>
    </cfRule>
    <cfRule type="containsText" dxfId="5112" priority="5083" operator="containsText" text="Reasignación">
      <formula>NOT(ISERROR(SEARCH("Reasignación",L881)))</formula>
    </cfRule>
    <cfRule type="containsText" dxfId="5111" priority="5084" operator="containsText" text="RECHAZADA">
      <formula>NOT(ISERROR(SEARCH("RECHAZADA",L881)))</formula>
    </cfRule>
    <cfRule type="containsText" dxfId="5110" priority="5085" operator="containsText" text="Atendida">
      <formula>NOT(ISERROR(SEARCH("Atendida",L881)))</formula>
    </cfRule>
    <cfRule type="containsText" dxfId="5109" priority="5086" operator="containsText" text="Reasignación">
      <formula>NOT(ISERROR(SEARCH("Reasignación",L881)))</formula>
    </cfRule>
    <cfRule type="containsText" dxfId="5108" priority="5087" operator="containsText" text="RECHAZADA">
      <formula>NOT(ISERROR(SEARCH("RECHAZADA",L881)))</formula>
    </cfRule>
    <cfRule type="containsText" dxfId="5107" priority="5088" operator="containsText" text="Atendida">
      <formula>NOT(ISERROR(SEARCH("Atendida",L881)))</formula>
    </cfRule>
    <cfRule type="containsText" dxfId="5106" priority="5089" operator="containsText" text="Reasignación">
      <formula>NOT(ISERROR(SEARCH("Reasignación",L881)))</formula>
    </cfRule>
    <cfRule type="containsText" dxfId="5105" priority="5090" operator="containsText" text="RECHAZADA">
      <formula>NOT(ISERROR(SEARCH("RECHAZADA",L881)))</formula>
    </cfRule>
    <cfRule type="containsText" dxfId="5104" priority="5091" operator="containsText" text="Atendida">
      <formula>NOT(ISERROR(SEARCH("Atendida",L881)))</formula>
    </cfRule>
    <cfRule type="containsText" dxfId="5103" priority="5092" operator="containsText" text="Reasignación">
      <formula>NOT(ISERROR(SEARCH("Reasignación",L881)))</formula>
    </cfRule>
    <cfRule type="containsText" dxfId="5102" priority="5093" operator="containsText" text="RECHAZADA">
      <formula>NOT(ISERROR(SEARCH("RECHAZADA",L881)))</formula>
    </cfRule>
    <cfRule type="containsText" dxfId="5101" priority="5094" operator="containsText" text="Atendida">
      <formula>NOT(ISERROR(SEARCH("Atendida",L881)))</formula>
    </cfRule>
    <cfRule type="containsText" dxfId="5100" priority="5095" operator="containsText" text="Reasignación">
      <formula>NOT(ISERROR(SEARCH("Reasignación",L881)))</formula>
    </cfRule>
    <cfRule type="containsText" dxfId="5099" priority="5096" operator="containsText" text="RECHAZADA">
      <formula>NOT(ISERROR(SEARCH("RECHAZADA",L881)))</formula>
    </cfRule>
    <cfRule type="containsText" dxfId="5098" priority="5097" operator="containsText" text="Atendida">
      <formula>NOT(ISERROR(SEARCH("Atendida",L881)))</formula>
    </cfRule>
    <cfRule type="containsText" dxfId="5097" priority="5098" operator="containsText" text="Reasignación">
      <formula>NOT(ISERROR(SEARCH("Reasignación",L881)))</formula>
    </cfRule>
    <cfRule type="containsText" dxfId="5096" priority="5099" operator="containsText" text="RECHAZADA">
      <formula>NOT(ISERROR(SEARCH("RECHAZADA",L881)))</formula>
    </cfRule>
    <cfRule type="containsText" dxfId="5095" priority="5100" operator="containsText" text="Atendida">
      <formula>NOT(ISERROR(SEARCH("Atendida",L881)))</formula>
    </cfRule>
    <cfRule type="containsText" dxfId="5094" priority="5101" operator="containsText" text="Reasignación">
      <formula>NOT(ISERROR(SEARCH("Reasignación",L881)))</formula>
    </cfRule>
    <cfRule type="containsText" dxfId="5093" priority="5102" operator="containsText" text="RECHAZADA">
      <formula>NOT(ISERROR(SEARCH("RECHAZADA",L881)))</formula>
    </cfRule>
    <cfRule type="containsText" dxfId="5092" priority="5103" operator="containsText" text="Atendida">
      <formula>NOT(ISERROR(SEARCH("Atendida",L881)))</formula>
    </cfRule>
    <cfRule type="containsText" dxfId="5091" priority="5104" operator="containsText" text="Reasignación">
      <formula>NOT(ISERROR(SEARCH("Reasignación",L881)))</formula>
    </cfRule>
    <cfRule type="containsText" dxfId="5090" priority="5105" operator="containsText" text="RECHAZADA">
      <formula>NOT(ISERROR(SEARCH("RECHAZADA",L881)))</formula>
    </cfRule>
    <cfRule type="containsText" dxfId="5089" priority="5106" operator="containsText" text="Atendida">
      <formula>NOT(ISERROR(SEARCH("Atendida",L881)))</formula>
    </cfRule>
    <cfRule type="containsText" dxfId="5088" priority="5107" operator="containsText" text="Reasignación">
      <formula>NOT(ISERROR(SEARCH("Reasignación",L881)))</formula>
    </cfRule>
    <cfRule type="containsText" dxfId="5087" priority="5108" operator="containsText" text="RECHAZADA">
      <formula>NOT(ISERROR(SEARCH("RECHAZADA",L881)))</formula>
    </cfRule>
    <cfRule type="containsText" dxfId="5086" priority="5109" operator="containsText" text="Atendida">
      <formula>NOT(ISERROR(SEARCH("Atendida",L881)))</formula>
    </cfRule>
    <cfRule type="containsText" dxfId="5085" priority="5110" operator="containsText" text="Reasignación">
      <formula>NOT(ISERROR(SEARCH("Reasignación",L881)))</formula>
    </cfRule>
    <cfRule type="containsText" dxfId="5084" priority="5111" operator="containsText" text="RECHAZADA">
      <formula>NOT(ISERROR(SEARCH("RECHAZADA",L881)))</formula>
    </cfRule>
    <cfRule type="containsText" dxfId="5083" priority="5112" operator="containsText" text="Atendida">
      <formula>NOT(ISERROR(SEARCH("Atendida",L881)))</formula>
    </cfRule>
    <cfRule type="containsText" dxfId="5082" priority="5113" operator="containsText" text="Reasignación">
      <formula>NOT(ISERROR(SEARCH("Reasignación",L881)))</formula>
    </cfRule>
    <cfRule type="containsText" dxfId="5081" priority="5114" operator="containsText" text="RECHAZADA">
      <formula>NOT(ISERROR(SEARCH("RECHAZADA",L881)))</formula>
    </cfRule>
    <cfRule type="containsText" dxfId="5080" priority="5115" operator="containsText" text="Atendida">
      <formula>NOT(ISERROR(SEARCH("Atendida",L881)))</formula>
    </cfRule>
    <cfRule type="containsText" dxfId="5079" priority="5116" operator="containsText" text="Reasignación">
      <formula>NOT(ISERROR(SEARCH("Reasignación",L881)))</formula>
    </cfRule>
    <cfRule type="containsText" dxfId="5078" priority="5117" operator="containsText" text="RECHAZADA">
      <formula>NOT(ISERROR(SEARCH("RECHAZADA",L881)))</formula>
    </cfRule>
    <cfRule type="containsText" dxfId="5077" priority="5118" operator="containsText" text="Atendida">
      <formula>NOT(ISERROR(SEARCH("Atendida",L881)))</formula>
    </cfRule>
    <cfRule type="containsText" dxfId="5076" priority="5119" operator="containsText" text="Reasignación">
      <formula>NOT(ISERROR(SEARCH("Reasignación",L881)))</formula>
    </cfRule>
    <cfRule type="containsText" dxfId="5075" priority="5120" operator="containsText" text="RECHAZADA">
      <formula>NOT(ISERROR(SEARCH("RECHAZADA",L881)))</formula>
    </cfRule>
    <cfRule type="containsText" dxfId="5074" priority="5121" operator="containsText" text="Atendida">
      <formula>NOT(ISERROR(SEARCH("Atendida",L881)))</formula>
    </cfRule>
    <cfRule type="containsText" dxfId="5073" priority="5122" operator="containsText" text="Reasignación">
      <formula>NOT(ISERROR(SEARCH("Reasignación",L881)))</formula>
    </cfRule>
    <cfRule type="containsText" dxfId="5072" priority="5123" operator="containsText" text="RECHAZADA">
      <formula>NOT(ISERROR(SEARCH("RECHAZADA",L881)))</formula>
    </cfRule>
    <cfRule type="containsText" dxfId="5071" priority="5124" operator="containsText" text="Atendida">
      <formula>NOT(ISERROR(SEARCH("Atendida",L881)))</formula>
    </cfRule>
    <cfRule type="containsText" dxfId="5070" priority="5125" operator="containsText" text="Reasignación">
      <formula>NOT(ISERROR(SEARCH("Reasignación",L881)))</formula>
    </cfRule>
    <cfRule type="containsText" dxfId="5069" priority="5126" operator="containsText" text="RECHAZADA">
      <formula>NOT(ISERROR(SEARCH("RECHAZADA",L881)))</formula>
    </cfRule>
    <cfRule type="containsText" dxfId="5068" priority="5127" operator="containsText" text="Atendida">
      <formula>NOT(ISERROR(SEARCH("Atendida",L881)))</formula>
    </cfRule>
    <cfRule type="containsText" dxfId="5067" priority="5128" operator="containsText" text="Reasignación">
      <formula>NOT(ISERROR(SEARCH("Reasignación",L881)))</formula>
    </cfRule>
    <cfRule type="containsText" dxfId="5066" priority="5129" operator="containsText" text="RECHAZADA">
      <formula>NOT(ISERROR(SEARCH("RECHAZADA",L881)))</formula>
    </cfRule>
    <cfRule type="containsText" dxfId="5065" priority="5130" operator="containsText" text="Atendida">
      <formula>NOT(ISERROR(SEARCH("Atendida",L881)))</formula>
    </cfRule>
    <cfRule type="containsText" dxfId="5064" priority="5131" operator="containsText" text="Reasignación">
      <formula>NOT(ISERROR(SEARCH("Reasignación",L881)))</formula>
    </cfRule>
    <cfRule type="containsText" dxfId="5063" priority="5132" operator="containsText" text="RECHAZADA">
      <formula>NOT(ISERROR(SEARCH("RECHAZADA",L881)))</formula>
    </cfRule>
    <cfRule type="containsText" dxfId="5062" priority="5133" operator="containsText" text="Atendida">
      <formula>NOT(ISERROR(SEARCH("Atendida",L881)))</formula>
    </cfRule>
    <cfRule type="containsText" dxfId="5061" priority="5134" operator="containsText" text="Reasignación">
      <formula>NOT(ISERROR(SEARCH("Reasignación",L881)))</formula>
    </cfRule>
    <cfRule type="containsText" dxfId="5060" priority="5135" operator="containsText" text="RECHAZADA">
      <formula>NOT(ISERROR(SEARCH("RECHAZADA",L881)))</formula>
    </cfRule>
    <cfRule type="containsText" dxfId="5059" priority="5136" operator="containsText" text="Atendida">
      <formula>NOT(ISERROR(SEARCH("Atendida",L881)))</formula>
    </cfRule>
    <cfRule type="containsText" dxfId="5058" priority="5137" operator="containsText" text="Reasignación">
      <formula>NOT(ISERROR(SEARCH("Reasignación",L881)))</formula>
    </cfRule>
    <cfRule type="containsText" dxfId="5057" priority="5138" operator="containsText" text="RECHAZADA">
      <formula>NOT(ISERROR(SEARCH("RECHAZADA",L881)))</formula>
    </cfRule>
    <cfRule type="containsText" dxfId="5056" priority="5139" operator="containsText" text="Atendida">
      <formula>NOT(ISERROR(SEARCH("Atendida",L881)))</formula>
    </cfRule>
    <cfRule type="containsText" dxfId="5055" priority="5140" operator="containsText" text="Reasignación">
      <formula>NOT(ISERROR(SEARCH("Reasignación",L881)))</formula>
    </cfRule>
    <cfRule type="containsText" dxfId="5054" priority="5141" operator="containsText" text="RECHAZADA">
      <formula>NOT(ISERROR(SEARCH("RECHAZADA",L881)))</formula>
    </cfRule>
    <cfRule type="containsText" dxfId="5053" priority="5142" operator="containsText" text="Atendida">
      <formula>NOT(ISERROR(SEARCH("Atendida",L881)))</formula>
    </cfRule>
    <cfRule type="containsText" dxfId="5052" priority="5143" operator="containsText" text="Reasignación">
      <formula>NOT(ISERROR(SEARCH("Reasignación",L881)))</formula>
    </cfRule>
    <cfRule type="containsText" dxfId="5051" priority="5144" operator="containsText" text="RECHAZADA">
      <formula>NOT(ISERROR(SEARCH("RECHAZADA",L881)))</formula>
    </cfRule>
    <cfRule type="containsText" dxfId="5050" priority="5145" operator="containsText" text="Atendida">
      <formula>NOT(ISERROR(SEARCH("Atendida",L881)))</formula>
    </cfRule>
    <cfRule type="containsText" dxfId="5049" priority="5146" operator="containsText" text="Reasignación">
      <formula>NOT(ISERROR(SEARCH("Reasignación",L881)))</formula>
    </cfRule>
    <cfRule type="containsText" dxfId="5048" priority="5147" operator="containsText" text="RECHAZADA">
      <formula>NOT(ISERROR(SEARCH("RECHAZADA",L881)))</formula>
    </cfRule>
    <cfRule type="containsText" dxfId="5047" priority="5148" operator="containsText" text="Atendida">
      <formula>NOT(ISERROR(SEARCH("Atendida",L881)))</formula>
    </cfRule>
    <cfRule type="containsText" dxfId="5046" priority="5149" operator="containsText" text="Reasignación">
      <formula>NOT(ISERROR(SEARCH("Reasignación",L881)))</formula>
    </cfRule>
    <cfRule type="containsText" dxfId="5045" priority="5150" operator="containsText" text="RECHAZADA">
      <formula>NOT(ISERROR(SEARCH("RECHAZADA",L881)))</formula>
    </cfRule>
    <cfRule type="containsText" dxfId="5044" priority="5151" operator="containsText" text="Atendida">
      <formula>NOT(ISERROR(SEARCH("Atendida",L881)))</formula>
    </cfRule>
    <cfRule type="containsText" dxfId="5043" priority="5152" operator="containsText" text="Reasignación">
      <formula>NOT(ISERROR(SEARCH("Reasignación",L881)))</formula>
    </cfRule>
    <cfRule type="containsText" dxfId="5042" priority="5153" operator="containsText" text="RECHAZADA">
      <formula>NOT(ISERROR(SEARCH("RECHAZADA",L881)))</formula>
    </cfRule>
    <cfRule type="containsText" dxfId="5041" priority="5154" operator="containsText" text="Atendida">
      <formula>NOT(ISERROR(SEARCH("Atendida",L881)))</formula>
    </cfRule>
    <cfRule type="containsText" dxfId="5040" priority="5155" operator="containsText" text="Reasignación">
      <formula>NOT(ISERROR(SEARCH("Reasignación",L881)))</formula>
    </cfRule>
    <cfRule type="containsText" dxfId="5039" priority="5156" operator="containsText" text="RECHAZADA">
      <formula>NOT(ISERROR(SEARCH("RECHAZADA",L881)))</formula>
    </cfRule>
    <cfRule type="containsText" dxfId="5038" priority="5157" operator="containsText" text="Atendida">
      <formula>NOT(ISERROR(SEARCH("Atendida",L881)))</formula>
    </cfRule>
    <cfRule type="containsText" dxfId="5037" priority="5158" operator="containsText" text="Reasignación">
      <formula>NOT(ISERROR(SEARCH("Reasignación",L881)))</formula>
    </cfRule>
    <cfRule type="containsText" dxfId="5036" priority="5159" operator="containsText" text="RECHAZADA">
      <formula>NOT(ISERROR(SEARCH("RECHAZADA",L881)))</formula>
    </cfRule>
    <cfRule type="containsText" dxfId="5035" priority="5160" operator="containsText" text="Atendida">
      <formula>NOT(ISERROR(SEARCH("Atendida",L881)))</formula>
    </cfRule>
  </conditionalFormatting>
  <conditionalFormatting sqref="L881">
    <cfRule type="containsText" dxfId="5034" priority="5041" operator="containsText" text="Reasignación">
      <formula>NOT(ISERROR(SEARCH("Reasignación",L881)))</formula>
    </cfRule>
    <cfRule type="containsText" dxfId="5033" priority="5042" operator="containsText" text="RECHAZADA">
      <formula>NOT(ISERROR(SEARCH("RECHAZADA",L881)))</formula>
    </cfRule>
    <cfRule type="containsText" dxfId="5032" priority="5043" operator="containsText" text="Atendida">
      <formula>NOT(ISERROR(SEARCH("Atendida",L881)))</formula>
    </cfRule>
  </conditionalFormatting>
  <conditionalFormatting sqref="L882">
    <cfRule type="containsText" dxfId="5031" priority="5038" operator="containsText" text="Reasignación">
      <formula>NOT(ISERROR(SEARCH("Reasignación",L882)))</formula>
    </cfRule>
    <cfRule type="containsText" dxfId="5030" priority="5039" operator="containsText" text="RECHAZADA">
      <formula>NOT(ISERROR(SEARCH("RECHAZADA",L882)))</formula>
    </cfRule>
    <cfRule type="containsText" dxfId="5029" priority="5040" operator="containsText" text="Atendida">
      <formula>NOT(ISERROR(SEARCH("Atendida",L882)))</formula>
    </cfRule>
  </conditionalFormatting>
  <conditionalFormatting sqref="L882">
    <cfRule type="containsText" dxfId="5028" priority="4909" operator="containsText" text="Reasignación">
      <formula>NOT(ISERROR(SEARCH("Reasignación",L882)))</formula>
    </cfRule>
    <cfRule type="containsText" dxfId="5027" priority="4910" operator="containsText" text="RECHAZADA">
      <formula>NOT(ISERROR(SEARCH("RECHAZADA",L882)))</formula>
    </cfRule>
    <cfRule type="containsText" dxfId="5026" priority="4911" operator="containsText" text="Atendida">
      <formula>NOT(ISERROR(SEARCH("Atendida",L882)))</formula>
    </cfRule>
    <cfRule type="containsText" dxfId="5025" priority="4912" operator="containsText" text="Reasignación">
      <formula>NOT(ISERROR(SEARCH("Reasignación",L882)))</formula>
    </cfRule>
    <cfRule type="containsText" dxfId="5024" priority="4913" operator="containsText" text="RECHAZADA">
      <formula>NOT(ISERROR(SEARCH("RECHAZADA",L882)))</formula>
    </cfRule>
    <cfRule type="containsText" dxfId="5023" priority="4914" operator="containsText" text="Atendida">
      <formula>NOT(ISERROR(SEARCH("Atendida",L882)))</formula>
    </cfRule>
    <cfRule type="containsText" dxfId="5022" priority="4915" operator="containsText" text="Reasignación">
      <formula>NOT(ISERROR(SEARCH("Reasignación",L882)))</formula>
    </cfRule>
    <cfRule type="containsText" dxfId="5021" priority="4916" operator="containsText" text="RECHAZADA">
      <formula>NOT(ISERROR(SEARCH("RECHAZADA",L882)))</formula>
    </cfRule>
    <cfRule type="containsText" dxfId="5020" priority="4917" operator="containsText" text="Atendida">
      <formula>NOT(ISERROR(SEARCH("Atendida",L882)))</formula>
    </cfRule>
    <cfRule type="containsText" dxfId="5019" priority="4918" operator="containsText" text="Reasignación">
      <formula>NOT(ISERROR(SEARCH("Reasignación",L882)))</formula>
    </cfRule>
    <cfRule type="containsText" dxfId="5018" priority="4919" operator="containsText" text="RECHAZADA">
      <formula>NOT(ISERROR(SEARCH("RECHAZADA",L882)))</formula>
    </cfRule>
    <cfRule type="containsText" dxfId="5017" priority="4920" operator="containsText" text="Atendida">
      <formula>NOT(ISERROR(SEARCH("Atendida",L882)))</formula>
    </cfRule>
    <cfRule type="containsText" dxfId="5016" priority="4921" operator="containsText" text="Reasignación">
      <formula>NOT(ISERROR(SEARCH("Reasignación",L882)))</formula>
    </cfRule>
    <cfRule type="containsText" dxfId="5015" priority="4922" operator="containsText" text="RECHAZADA">
      <formula>NOT(ISERROR(SEARCH("RECHAZADA",L882)))</formula>
    </cfRule>
    <cfRule type="containsText" dxfId="5014" priority="4923" operator="containsText" text="Atendida">
      <formula>NOT(ISERROR(SEARCH("Atendida",L882)))</formula>
    </cfRule>
    <cfRule type="containsText" dxfId="5013" priority="4924" operator="containsText" text="Reasignación">
      <formula>NOT(ISERROR(SEARCH("Reasignación",L882)))</formula>
    </cfRule>
    <cfRule type="containsText" dxfId="5012" priority="4925" operator="containsText" text="RECHAZADA">
      <formula>NOT(ISERROR(SEARCH("RECHAZADA",L882)))</formula>
    </cfRule>
    <cfRule type="containsText" dxfId="5011" priority="4926" operator="containsText" text="Atendida">
      <formula>NOT(ISERROR(SEARCH("Atendida",L882)))</formula>
    </cfRule>
    <cfRule type="containsText" dxfId="5010" priority="4927" operator="containsText" text="Reasignación">
      <formula>NOT(ISERROR(SEARCH("Reasignación",L882)))</formula>
    </cfRule>
    <cfRule type="containsText" dxfId="5009" priority="4928" operator="containsText" text="RECHAZADA">
      <formula>NOT(ISERROR(SEARCH("RECHAZADA",L882)))</formula>
    </cfRule>
    <cfRule type="containsText" dxfId="5008" priority="4929" operator="containsText" text="Atendida">
      <formula>NOT(ISERROR(SEARCH("Atendida",L882)))</formula>
    </cfRule>
    <cfRule type="containsText" dxfId="5007" priority="4930" operator="containsText" text="Reasignación">
      <formula>NOT(ISERROR(SEARCH("Reasignación",L882)))</formula>
    </cfRule>
    <cfRule type="containsText" dxfId="5006" priority="4931" operator="containsText" text="RECHAZADA">
      <formula>NOT(ISERROR(SEARCH("RECHAZADA",L882)))</formula>
    </cfRule>
    <cfRule type="containsText" dxfId="5005" priority="4932" operator="containsText" text="Atendida">
      <formula>NOT(ISERROR(SEARCH("Atendida",L882)))</formula>
    </cfRule>
    <cfRule type="containsText" dxfId="5004" priority="4933" operator="containsText" text="Reasignación">
      <formula>NOT(ISERROR(SEARCH("Reasignación",L882)))</formula>
    </cfRule>
    <cfRule type="containsText" dxfId="5003" priority="4934" operator="containsText" text="RECHAZADA">
      <formula>NOT(ISERROR(SEARCH("RECHAZADA",L882)))</formula>
    </cfRule>
    <cfRule type="containsText" dxfId="5002" priority="4935" operator="containsText" text="Atendida">
      <formula>NOT(ISERROR(SEARCH("Atendida",L882)))</formula>
    </cfRule>
    <cfRule type="containsText" dxfId="5001" priority="4936" operator="containsText" text="Reasignación">
      <formula>NOT(ISERROR(SEARCH("Reasignación",L882)))</formula>
    </cfRule>
    <cfRule type="containsText" dxfId="5000" priority="4937" operator="containsText" text="RECHAZADA">
      <formula>NOT(ISERROR(SEARCH("RECHAZADA",L882)))</formula>
    </cfRule>
    <cfRule type="containsText" dxfId="4999" priority="4938" operator="containsText" text="Atendida">
      <formula>NOT(ISERROR(SEARCH("Atendida",L882)))</formula>
    </cfRule>
    <cfRule type="containsText" dxfId="4998" priority="4939" operator="containsText" text="Reasignación">
      <formula>NOT(ISERROR(SEARCH("Reasignación",L882)))</formula>
    </cfRule>
    <cfRule type="containsText" dxfId="4997" priority="4940" operator="containsText" text="RECHAZADA">
      <formula>NOT(ISERROR(SEARCH("RECHAZADA",L882)))</formula>
    </cfRule>
    <cfRule type="containsText" dxfId="4996" priority="4941" operator="containsText" text="Atendida">
      <formula>NOT(ISERROR(SEARCH("Atendida",L882)))</formula>
    </cfRule>
    <cfRule type="containsText" dxfId="4995" priority="4942" operator="containsText" text="Reasignación">
      <formula>NOT(ISERROR(SEARCH("Reasignación",L882)))</formula>
    </cfRule>
    <cfRule type="containsText" dxfId="4994" priority="4943" operator="containsText" text="RECHAZADA">
      <formula>NOT(ISERROR(SEARCH("RECHAZADA",L882)))</formula>
    </cfRule>
    <cfRule type="containsText" dxfId="4993" priority="4944" operator="containsText" text="Atendida">
      <formula>NOT(ISERROR(SEARCH("Atendida",L882)))</formula>
    </cfRule>
    <cfRule type="containsText" dxfId="4992" priority="4945" operator="containsText" text="Reasignación">
      <formula>NOT(ISERROR(SEARCH("Reasignación",L882)))</formula>
    </cfRule>
    <cfRule type="containsText" dxfId="4991" priority="4946" operator="containsText" text="RECHAZADA">
      <formula>NOT(ISERROR(SEARCH("RECHAZADA",L882)))</formula>
    </cfRule>
    <cfRule type="containsText" dxfId="4990" priority="4947" operator="containsText" text="Atendida">
      <formula>NOT(ISERROR(SEARCH("Atendida",L882)))</formula>
    </cfRule>
    <cfRule type="containsText" dxfId="4989" priority="4948" operator="containsText" text="Reasignación">
      <formula>NOT(ISERROR(SEARCH("Reasignación",L882)))</formula>
    </cfRule>
    <cfRule type="containsText" dxfId="4988" priority="4949" operator="containsText" text="RECHAZADA">
      <formula>NOT(ISERROR(SEARCH("RECHAZADA",L882)))</formula>
    </cfRule>
    <cfRule type="containsText" dxfId="4987" priority="4950" operator="containsText" text="Atendida">
      <formula>NOT(ISERROR(SEARCH("Atendida",L882)))</formula>
    </cfRule>
    <cfRule type="containsText" dxfId="4986" priority="4951" operator="containsText" text="Reasignación">
      <formula>NOT(ISERROR(SEARCH("Reasignación",L882)))</formula>
    </cfRule>
    <cfRule type="containsText" dxfId="4985" priority="4952" operator="containsText" text="RECHAZADA">
      <formula>NOT(ISERROR(SEARCH("RECHAZADA",L882)))</formula>
    </cfRule>
    <cfRule type="containsText" dxfId="4984" priority="4953" operator="containsText" text="Atendida">
      <formula>NOT(ISERROR(SEARCH("Atendida",L882)))</formula>
    </cfRule>
    <cfRule type="containsText" dxfId="4983" priority="4954" operator="containsText" text="Reasignación">
      <formula>NOT(ISERROR(SEARCH("Reasignación",L882)))</formula>
    </cfRule>
    <cfRule type="containsText" dxfId="4982" priority="4955" operator="containsText" text="RECHAZADA">
      <formula>NOT(ISERROR(SEARCH("RECHAZADA",L882)))</formula>
    </cfRule>
    <cfRule type="containsText" dxfId="4981" priority="4956" operator="containsText" text="Atendida">
      <formula>NOT(ISERROR(SEARCH("Atendida",L882)))</formula>
    </cfRule>
    <cfRule type="containsText" dxfId="4980" priority="4957" operator="containsText" text="Reasignación">
      <formula>NOT(ISERROR(SEARCH("Reasignación",L882)))</formula>
    </cfRule>
    <cfRule type="containsText" dxfId="4979" priority="4958" operator="containsText" text="RECHAZADA">
      <formula>NOT(ISERROR(SEARCH("RECHAZADA",L882)))</formula>
    </cfRule>
    <cfRule type="containsText" dxfId="4978" priority="4959" operator="containsText" text="Atendida">
      <formula>NOT(ISERROR(SEARCH("Atendida",L882)))</formula>
    </cfRule>
    <cfRule type="containsText" dxfId="4977" priority="4960" operator="containsText" text="Reasignación">
      <formula>NOT(ISERROR(SEARCH("Reasignación",L882)))</formula>
    </cfRule>
    <cfRule type="containsText" dxfId="4976" priority="4961" operator="containsText" text="RECHAZADA">
      <formula>NOT(ISERROR(SEARCH("RECHAZADA",L882)))</formula>
    </cfRule>
    <cfRule type="containsText" dxfId="4975" priority="4962" operator="containsText" text="Atendida">
      <formula>NOT(ISERROR(SEARCH("Atendida",L882)))</formula>
    </cfRule>
    <cfRule type="containsText" dxfId="4974" priority="4963" operator="containsText" text="Reasignación">
      <formula>NOT(ISERROR(SEARCH("Reasignación",L882)))</formula>
    </cfRule>
    <cfRule type="containsText" dxfId="4973" priority="4964" operator="containsText" text="RECHAZADA">
      <formula>NOT(ISERROR(SEARCH("RECHAZADA",L882)))</formula>
    </cfRule>
    <cfRule type="containsText" dxfId="4972" priority="4965" operator="containsText" text="Atendida">
      <formula>NOT(ISERROR(SEARCH("Atendida",L882)))</formula>
    </cfRule>
    <cfRule type="containsText" dxfId="4971" priority="4966" operator="containsText" text="Reasignación">
      <formula>NOT(ISERROR(SEARCH("Reasignación",L882)))</formula>
    </cfRule>
    <cfRule type="containsText" dxfId="4970" priority="4967" operator="containsText" text="RECHAZADA">
      <formula>NOT(ISERROR(SEARCH("RECHAZADA",L882)))</formula>
    </cfRule>
    <cfRule type="containsText" dxfId="4969" priority="4968" operator="containsText" text="Atendida">
      <formula>NOT(ISERROR(SEARCH("Atendida",L882)))</formula>
    </cfRule>
    <cfRule type="containsText" dxfId="4968" priority="4969" operator="containsText" text="Reasignación">
      <formula>NOT(ISERROR(SEARCH("Reasignación",L882)))</formula>
    </cfRule>
    <cfRule type="containsText" dxfId="4967" priority="4970" operator="containsText" text="RECHAZADA">
      <formula>NOT(ISERROR(SEARCH("RECHAZADA",L882)))</formula>
    </cfRule>
    <cfRule type="containsText" dxfId="4966" priority="4971" operator="containsText" text="Atendida">
      <formula>NOT(ISERROR(SEARCH("Atendida",L882)))</formula>
    </cfRule>
    <cfRule type="containsText" dxfId="4965" priority="4972" operator="containsText" text="Reasignación">
      <formula>NOT(ISERROR(SEARCH("Reasignación",L882)))</formula>
    </cfRule>
    <cfRule type="containsText" dxfId="4964" priority="4973" operator="containsText" text="RECHAZADA">
      <formula>NOT(ISERROR(SEARCH("RECHAZADA",L882)))</formula>
    </cfRule>
    <cfRule type="containsText" dxfId="4963" priority="4974" operator="containsText" text="Atendida">
      <formula>NOT(ISERROR(SEARCH("Atendida",L882)))</formula>
    </cfRule>
    <cfRule type="containsText" dxfId="4962" priority="4975" operator="containsText" text="Reasignación">
      <formula>NOT(ISERROR(SEARCH("Reasignación",L882)))</formula>
    </cfRule>
    <cfRule type="containsText" dxfId="4961" priority="4976" operator="containsText" text="RECHAZADA">
      <formula>NOT(ISERROR(SEARCH("RECHAZADA",L882)))</formula>
    </cfRule>
    <cfRule type="containsText" dxfId="4960" priority="4977" operator="containsText" text="Atendida">
      <formula>NOT(ISERROR(SEARCH("Atendida",L882)))</formula>
    </cfRule>
    <cfRule type="containsText" dxfId="4959" priority="4978" operator="containsText" text="Reasignación">
      <formula>NOT(ISERROR(SEARCH("Reasignación",L882)))</formula>
    </cfRule>
    <cfRule type="containsText" dxfId="4958" priority="4979" operator="containsText" text="RECHAZADA">
      <formula>NOT(ISERROR(SEARCH("RECHAZADA",L882)))</formula>
    </cfRule>
    <cfRule type="containsText" dxfId="4957" priority="4980" operator="containsText" text="Atendida">
      <formula>NOT(ISERROR(SEARCH("Atendida",L882)))</formula>
    </cfRule>
    <cfRule type="containsText" dxfId="4956" priority="4981" operator="containsText" text="Reasignación">
      <formula>NOT(ISERROR(SEARCH("Reasignación",L882)))</formula>
    </cfRule>
    <cfRule type="containsText" dxfId="4955" priority="4982" operator="containsText" text="RECHAZADA">
      <formula>NOT(ISERROR(SEARCH("RECHAZADA",L882)))</formula>
    </cfRule>
    <cfRule type="containsText" dxfId="4954" priority="4983" operator="containsText" text="Atendida">
      <formula>NOT(ISERROR(SEARCH("Atendida",L882)))</formula>
    </cfRule>
    <cfRule type="containsText" dxfId="4953" priority="4984" operator="containsText" text="Reasignación">
      <formula>NOT(ISERROR(SEARCH("Reasignación",L882)))</formula>
    </cfRule>
    <cfRule type="containsText" dxfId="4952" priority="4985" operator="containsText" text="RECHAZADA">
      <formula>NOT(ISERROR(SEARCH("RECHAZADA",L882)))</formula>
    </cfRule>
    <cfRule type="containsText" dxfId="4951" priority="4986" operator="containsText" text="Atendida">
      <formula>NOT(ISERROR(SEARCH("Atendida",L882)))</formula>
    </cfRule>
    <cfRule type="containsText" dxfId="4950" priority="4987" operator="containsText" text="Reasignación">
      <formula>NOT(ISERROR(SEARCH("Reasignación",L882)))</formula>
    </cfRule>
    <cfRule type="containsText" dxfId="4949" priority="4988" operator="containsText" text="RECHAZADA">
      <formula>NOT(ISERROR(SEARCH("RECHAZADA",L882)))</formula>
    </cfRule>
    <cfRule type="containsText" dxfId="4948" priority="4989" operator="containsText" text="Atendida">
      <formula>NOT(ISERROR(SEARCH("Atendida",L882)))</formula>
    </cfRule>
    <cfRule type="containsText" dxfId="4947" priority="4990" operator="containsText" text="Reasignación">
      <formula>NOT(ISERROR(SEARCH("Reasignación",L882)))</formula>
    </cfRule>
    <cfRule type="containsText" dxfId="4946" priority="4991" operator="containsText" text="RECHAZADA">
      <formula>NOT(ISERROR(SEARCH("RECHAZADA",L882)))</formula>
    </cfRule>
    <cfRule type="containsText" dxfId="4945" priority="4992" operator="containsText" text="Atendida">
      <formula>NOT(ISERROR(SEARCH("Atendida",L882)))</formula>
    </cfRule>
    <cfRule type="containsText" dxfId="4944" priority="4993" operator="containsText" text="Reasignación">
      <formula>NOT(ISERROR(SEARCH("Reasignación",L882)))</formula>
    </cfRule>
    <cfRule type="containsText" dxfId="4943" priority="4994" operator="containsText" text="RECHAZADA">
      <formula>NOT(ISERROR(SEARCH("RECHAZADA",L882)))</formula>
    </cfRule>
    <cfRule type="containsText" dxfId="4942" priority="4995" operator="containsText" text="Atendida">
      <formula>NOT(ISERROR(SEARCH("Atendida",L882)))</formula>
    </cfRule>
    <cfRule type="containsText" dxfId="4941" priority="4996" operator="containsText" text="Reasignación">
      <formula>NOT(ISERROR(SEARCH("Reasignación",L882)))</formula>
    </cfRule>
    <cfRule type="containsText" dxfId="4940" priority="4997" operator="containsText" text="RECHAZADA">
      <formula>NOT(ISERROR(SEARCH("RECHAZADA",L882)))</formula>
    </cfRule>
    <cfRule type="containsText" dxfId="4939" priority="4998" operator="containsText" text="Atendida">
      <formula>NOT(ISERROR(SEARCH("Atendida",L882)))</formula>
    </cfRule>
    <cfRule type="containsText" dxfId="4938" priority="4999" operator="containsText" text="Reasignación">
      <formula>NOT(ISERROR(SEARCH("Reasignación",L882)))</formula>
    </cfRule>
    <cfRule type="containsText" dxfId="4937" priority="5000" operator="containsText" text="RECHAZADA">
      <formula>NOT(ISERROR(SEARCH("RECHAZADA",L882)))</formula>
    </cfRule>
    <cfRule type="containsText" dxfId="4936" priority="5001" operator="containsText" text="Atendida">
      <formula>NOT(ISERROR(SEARCH("Atendida",L882)))</formula>
    </cfRule>
    <cfRule type="containsText" dxfId="4935" priority="5002" operator="containsText" text="Reasignación">
      <formula>NOT(ISERROR(SEARCH("Reasignación",L882)))</formula>
    </cfRule>
    <cfRule type="containsText" dxfId="4934" priority="5003" operator="containsText" text="RECHAZADA">
      <formula>NOT(ISERROR(SEARCH("RECHAZADA",L882)))</formula>
    </cfRule>
    <cfRule type="containsText" dxfId="4933" priority="5004" operator="containsText" text="Atendida">
      <formula>NOT(ISERROR(SEARCH("Atendida",L882)))</formula>
    </cfRule>
    <cfRule type="containsText" dxfId="4932" priority="5005" operator="containsText" text="Reasignación">
      <formula>NOT(ISERROR(SEARCH("Reasignación",L882)))</formula>
    </cfRule>
    <cfRule type="containsText" dxfId="4931" priority="5006" operator="containsText" text="RECHAZADA">
      <formula>NOT(ISERROR(SEARCH("RECHAZADA",L882)))</formula>
    </cfRule>
    <cfRule type="containsText" dxfId="4930" priority="5007" operator="containsText" text="Atendida">
      <formula>NOT(ISERROR(SEARCH("Atendida",L882)))</formula>
    </cfRule>
    <cfRule type="containsText" dxfId="4929" priority="5008" operator="containsText" text="Reasignación">
      <formula>NOT(ISERROR(SEARCH("Reasignación",L882)))</formula>
    </cfRule>
    <cfRule type="containsText" dxfId="4928" priority="5009" operator="containsText" text="RECHAZADA">
      <formula>NOT(ISERROR(SEARCH("RECHAZADA",L882)))</formula>
    </cfRule>
    <cfRule type="containsText" dxfId="4927" priority="5010" operator="containsText" text="Atendida">
      <formula>NOT(ISERROR(SEARCH("Atendida",L882)))</formula>
    </cfRule>
    <cfRule type="containsText" dxfId="4926" priority="5011" operator="containsText" text="Reasignación">
      <formula>NOT(ISERROR(SEARCH("Reasignación",L882)))</formula>
    </cfRule>
    <cfRule type="containsText" dxfId="4925" priority="5012" operator="containsText" text="RECHAZADA">
      <formula>NOT(ISERROR(SEARCH("RECHAZADA",L882)))</formula>
    </cfRule>
    <cfRule type="containsText" dxfId="4924" priority="5013" operator="containsText" text="Atendida">
      <formula>NOT(ISERROR(SEARCH("Atendida",L882)))</formula>
    </cfRule>
    <cfRule type="containsText" dxfId="4923" priority="5014" operator="containsText" text="Reasignación">
      <formula>NOT(ISERROR(SEARCH("Reasignación",L882)))</formula>
    </cfRule>
    <cfRule type="containsText" dxfId="4922" priority="5015" operator="containsText" text="RECHAZADA">
      <formula>NOT(ISERROR(SEARCH("RECHAZADA",L882)))</formula>
    </cfRule>
    <cfRule type="containsText" dxfId="4921" priority="5016" operator="containsText" text="Atendida">
      <formula>NOT(ISERROR(SEARCH("Atendida",L882)))</formula>
    </cfRule>
    <cfRule type="containsText" dxfId="4920" priority="5017" operator="containsText" text="Reasignación">
      <formula>NOT(ISERROR(SEARCH("Reasignación",L882)))</formula>
    </cfRule>
    <cfRule type="containsText" dxfId="4919" priority="5018" operator="containsText" text="RECHAZADA">
      <formula>NOT(ISERROR(SEARCH("RECHAZADA",L882)))</formula>
    </cfRule>
    <cfRule type="containsText" dxfId="4918" priority="5019" operator="containsText" text="Atendida">
      <formula>NOT(ISERROR(SEARCH("Atendida",L882)))</formula>
    </cfRule>
    <cfRule type="containsText" dxfId="4917" priority="5020" operator="containsText" text="Reasignación">
      <formula>NOT(ISERROR(SEARCH("Reasignación",L882)))</formula>
    </cfRule>
    <cfRule type="containsText" dxfId="4916" priority="5021" operator="containsText" text="RECHAZADA">
      <formula>NOT(ISERROR(SEARCH("RECHAZADA",L882)))</formula>
    </cfRule>
    <cfRule type="containsText" dxfId="4915" priority="5022" operator="containsText" text="Atendida">
      <formula>NOT(ISERROR(SEARCH("Atendida",L882)))</formula>
    </cfRule>
    <cfRule type="containsText" dxfId="4914" priority="5023" operator="containsText" text="Reasignación">
      <formula>NOT(ISERROR(SEARCH("Reasignación",L882)))</formula>
    </cfRule>
    <cfRule type="containsText" dxfId="4913" priority="5024" operator="containsText" text="RECHAZADA">
      <formula>NOT(ISERROR(SEARCH("RECHAZADA",L882)))</formula>
    </cfRule>
    <cfRule type="containsText" dxfId="4912" priority="5025" operator="containsText" text="Atendida">
      <formula>NOT(ISERROR(SEARCH("Atendida",L882)))</formula>
    </cfRule>
    <cfRule type="containsText" dxfId="4911" priority="5026" operator="containsText" text="Reasignación">
      <formula>NOT(ISERROR(SEARCH("Reasignación",L882)))</formula>
    </cfRule>
    <cfRule type="containsText" dxfId="4910" priority="5027" operator="containsText" text="RECHAZADA">
      <formula>NOT(ISERROR(SEARCH("RECHAZADA",L882)))</formula>
    </cfRule>
    <cfRule type="containsText" dxfId="4909" priority="5028" operator="containsText" text="Atendida">
      <formula>NOT(ISERROR(SEARCH("Atendida",L882)))</formula>
    </cfRule>
    <cfRule type="containsText" dxfId="4908" priority="5029" operator="containsText" text="Reasignación">
      <formula>NOT(ISERROR(SEARCH("Reasignación",L882)))</formula>
    </cfRule>
    <cfRule type="containsText" dxfId="4907" priority="5030" operator="containsText" text="RECHAZADA">
      <formula>NOT(ISERROR(SEARCH("RECHAZADA",L882)))</formula>
    </cfRule>
    <cfRule type="containsText" dxfId="4906" priority="5031" operator="containsText" text="Atendida">
      <formula>NOT(ISERROR(SEARCH("Atendida",L882)))</formula>
    </cfRule>
    <cfRule type="containsText" dxfId="4905" priority="5032" operator="containsText" text="Reasignación">
      <formula>NOT(ISERROR(SEARCH("Reasignación",L882)))</formula>
    </cfRule>
    <cfRule type="containsText" dxfId="4904" priority="5033" operator="containsText" text="RECHAZADA">
      <formula>NOT(ISERROR(SEARCH("RECHAZADA",L882)))</formula>
    </cfRule>
    <cfRule type="containsText" dxfId="4903" priority="5034" operator="containsText" text="Atendida">
      <formula>NOT(ISERROR(SEARCH("Atendida",L882)))</formula>
    </cfRule>
    <cfRule type="containsText" dxfId="4902" priority="5035" operator="containsText" text="Reasignación">
      <formula>NOT(ISERROR(SEARCH("Reasignación",L882)))</formula>
    </cfRule>
    <cfRule type="containsText" dxfId="4901" priority="5036" operator="containsText" text="RECHAZADA">
      <formula>NOT(ISERROR(SEARCH("RECHAZADA",L882)))</formula>
    </cfRule>
    <cfRule type="containsText" dxfId="4900" priority="5037" operator="containsText" text="Atendida">
      <formula>NOT(ISERROR(SEARCH("Atendida",L882)))</formula>
    </cfRule>
  </conditionalFormatting>
  <conditionalFormatting sqref="L882">
    <cfRule type="containsText" dxfId="4899" priority="4906" operator="containsText" text="Reasignación">
      <formula>NOT(ISERROR(SEARCH("Reasignación",L882)))</formula>
    </cfRule>
    <cfRule type="containsText" dxfId="4898" priority="4907" operator="containsText" text="RECHAZADA">
      <formula>NOT(ISERROR(SEARCH("RECHAZADA",L882)))</formula>
    </cfRule>
    <cfRule type="containsText" dxfId="4897" priority="4908" operator="containsText" text="Atendida">
      <formula>NOT(ISERROR(SEARCH("Atendida",L882)))</formula>
    </cfRule>
  </conditionalFormatting>
  <conditionalFormatting sqref="L882">
    <cfRule type="containsText" dxfId="4896" priority="4755" operator="containsText" text="RECHAZADA">
      <formula>NOT(ISERROR(SEARCH("RECHAZADA",L882)))</formula>
    </cfRule>
    <cfRule type="containsText" dxfId="4895" priority="4756" operator="containsText" text="Atendida">
      <formula>NOT(ISERROR(SEARCH("Atendida",L882)))</formula>
    </cfRule>
    <cfRule type="containsText" dxfId="4894" priority="4757" operator="containsText" text="Reasignación">
      <formula>NOT(ISERROR(SEARCH("Reasignación",L882)))</formula>
    </cfRule>
    <cfRule type="containsText" dxfId="4893" priority="4758" operator="containsText" text="RECHAZADA">
      <formula>NOT(ISERROR(SEARCH("RECHAZADA",L882)))</formula>
    </cfRule>
    <cfRule type="containsText" dxfId="4892" priority="4759" operator="containsText" text="Atendida">
      <formula>NOT(ISERROR(SEARCH("Atendida",L882)))</formula>
    </cfRule>
    <cfRule type="containsText" dxfId="4891" priority="4760" operator="containsText" text="Reasignación">
      <formula>NOT(ISERROR(SEARCH("Reasignación",L882)))</formula>
    </cfRule>
    <cfRule type="containsText" dxfId="4890" priority="4761" operator="containsText" text="RECHAZADA">
      <formula>NOT(ISERROR(SEARCH("RECHAZADA",L882)))</formula>
    </cfRule>
    <cfRule type="containsText" dxfId="4889" priority="4762" operator="containsText" text="Atendida">
      <formula>NOT(ISERROR(SEARCH("Atendida",L882)))</formula>
    </cfRule>
    <cfRule type="containsText" dxfId="4888" priority="4763" operator="containsText" text="Reasignación">
      <formula>NOT(ISERROR(SEARCH("Reasignación",L882)))</formula>
    </cfRule>
    <cfRule type="containsText" dxfId="4887" priority="4764" operator="containsText" text="RECHAZADA">
      <formula>NOT(ISERROR(SEARCH("RECHAZADA",L882)))</formula>
    </cfRule>
    <cfRule type="containsText" dxfId="4886" priority="4765" operator="containsText" text="Atendida">
      <formula>NOT(ISERROR(SEARCH("Atendida",L882)))</formula>
    </cfRule>
    <cfRule type="containsText" dxfId="4885" priority="4766" operator="containsText" text="Reasignación">
      <formula>NOT(ISERROR(SEARCH("Reasignación",L882)))</formula>
    </cfRule>
    <cfRule type="containsText" dxfId="4884" priority="4767" operator="containsText" text="RECHAZADA">
      <formula>NOT(ISERROR(SEARCH("RECHAZADA",L882)))</formula>
    </cfRule>
    <cfRule type="containsText" dxfId="4883" priority="4768" operator="containsText" text="Atendida">
      <formula>NOT(ISERROR(SEARCH("Atendida",L882)))</formula>
    </cfRule>
    <cfRule type="containsText" dxfId="4882" priority="4769" operator="containsText" text="Reasignación">
      <formula>NOT(ISERROR(SEARCH("Reasignación",L882)))</formula>
    </cfRule>
    <cfRule type="containsText" dxfId="4881" priority="4770" operator="containsText" text="RECHAZADA">
      <formula>NOT(ISERROR(SEARCH("RECHAZADA",L882)))</formula>
    </cfRule>
    <cfRule type="containsText" dxfId="4880" priority="4771" operator="containsText" text="Atendida">
      <formula>NOT(ISERROR(SEARCH("Atendida",L882)))</formula>
    </cfRule>
    <cfRule type="containsText" dxfId="4879" priority="4772" operator="containsText" text="Reasignación">
      <formula>NOT(ISERROR(SEARCH("Reasignación",L882)))</formula>
    </cfRule>
    <cfRule type="containsText" dxfId="4878" priority="4773" operator="containsText" text="RECHAZADA">
      <formula>NOT(ISERROR(SEARCH("RECHAZADA",L882)))</formula>
    </cfRule>
    <cfRule type="containsText" dxfId="4877" priority="4774" operator="containsText" text="Atendida">
      <formula>NOT(ISERROR(SEARCH("Atendida",L882)))</formula>
    </cfRule>
    <cfRule type="containsText" dxfId="4876" priority="4775" operator="containsText" text="Reasignación">
      <formula>NOT(ISERROR(SEARCH("Reasignación",L882)))</formula>
    </cfRule>
    <cfRule type="containsText" dxfId="4875" priority="4776" operator="containsText" text="RECHAZADA">
      <formula>NOT(ISERROR(SEARCH("RECHAZADA",L882)))</formula>
    </cfRule>
    <cfRule type="containsText" dxfId="4874" priority="4777" operator="containsText" text="Atendida">
      <formula>NOT(ISERROR(SEARCH("Atendida",L882)))</formula>
    </cfRule>
    <cfRule type="containsText" dxfId="4873" priority="4778" operator="containsText" text="Reasignación">
      <formula>NOT(ISERROR(SEARCH("Reasignación",L882)))</formula>
    </cfRule>
    <cfRule type="containsText" dxfId="4872" priority="4779" operator="containsText" text="RECHAZADA">
      <formula>NOT(ISERROR(SEARCH("RECHAZADA",L882)))</formula>
    </cfRule>
    <cfRule type="containsText" dxfId="4871" priority="4780" operator="containsText" text="Atendida">
      <formula>NOT(ISERROR(SEARCH("Atendida",L882)))</formula>
    </cfRule>
    <cfRule type="containsText" dxfId="4870" priority="4781" operator="containsText" text="Reasignación">
      <formula>NOT(ISERROR(SEARCH("Reasignación",L882)))</formula>
    </cfRule>
    <cfRule type="containsText" dxfId="4869" priority="4782" operator="containsText" text="RECHAZADA">
      <formula>NOT(ISERROR(SEARCH("RECHAZADA",L882)))</formula>
    </cfRule>
    <cfRule type="containsText" dxfId="4868" priority="4783" operator="containsText" text="Atendida">
      <formula>NOT(ISERROR(SEARCH("Atendida",L882)))</formula>
    </cfRule>
    <cfRule type="containsText" dxfId="4867" priority="4784" operator="containsText" text="Reasignación">
      <formula>NOT(ISERROR(SEARCH("Reasignación",L882)))</formula>
    </cfRule>
    <cfRule type="containsText" dxfId="4866" priority="4785" operator="containsText" text="RECHAZADA">
      <formula>NOT(ISERROR(SEARCH("RECHAZADA",L882)))</formula>
    </cfRule>
    <cfRule type="containsText" dxfId="4865" priority="4786" operator="containsText" text="Atendida">
      <formula>NOT(ISERROR(SEARCH("Atendida",L882)))</formula>
    </cfRule>
    <cfRule type="containsText" dxfId="4864" priority="4787" operator="containsText" text="Reasignación">
      <formula>NOT(ISERROR(SEARCH("Reasignación",L882)))</formula>
    </cfRule>
    <cfRule type="containsText" dxfId="4863" priority="4788" operator="containsText" text="RECHAZADA">
      <formula>NOT(ISERROR(SEARCH("RECHAZADA",L882)))</formula>
    </cfRule>
    <cfRule type="containsText" dxfId="4862" priority="4789" operator="containsText" text="Atendida">
      <formula>NOT(ISERROR(SEARCH("Atendida",L882)))</formula>
    </cfRule>
    <cfRule type="containsText" dxfId="4861" priority="4790" operator="containsText" text="Reasignación">
      <formula>NOT(ISERROR(SEARCH("Reasignación",L882)))</formula>
    </cfRule>
    <cfRule type="containsText" dxfId="4860" priority="4791" operator="containsText" text="RECHAZADA">
      <formula>NOT(ISERROR(SEARCH("RECHAZADA",L882)))</formula>
    </cfRule>
    <cfRule type="containsText" dxfId="4859" priority="4792" operator="containsText" text="Atendida">
      <formula>NOT(ISERROR(SEARCH("Atendida",L882)))</formula>
    </cfRule>
    <cfRule type="containsText" dxfId="4858" priority="4793" operator="containsText" text="Reasignación">
      <formula>NOT(ISERROR(SEARCH("Reasignación",L882)))</formula>
    </cfRule>
    <cfRule type="containsText" dxfId="4857" priority="4794" operator="containsText" text="RECHAZADA">
      <formula>NOT(ISERROR(SEARCH("RECHAZADA",L882)))</formula>
    </cfRule>
    <cfRule type="containsText" dxfId="4856" priority="4795" operator="containsText" text="Atendida">
      <formula>NOT(ISERROR(SEARCH("Atendida",L882)))</formula>
    </cfRule>
    <cfRule type="containsText" dxfId="4855" priority="4796" operator="containsText" text="Reasignación">
      <formula>NOT(ISERROR(SEARCH("Reasignación",L882)))</formula>
    </cfRule>
    <cfRule type="containsText" dxfId="4854" priority="4797" operator="containsText" text="RECHAZADA">
      <formula>NOT(ISERROR(SEARCH("RECHAZADA",L882)))</formula>
    </cfRule>
    <cfRule type="containsText" dxfId="4853" priority="4798" operator="containsText" text="Atendida">
      <formula>NOT(ISERROR(SEARCH("Atendida",L882)))</formula>
    </cfRule>
    <cfRule type="containsText" dxfId="4852" priority="4799" operator="containsText" text="Reasignación">
      <formula>NOT(ISERROR(SEARCH("Reasignación",L882)))</formula>
    </cfRule>
    <cfRule type="containsText" dxfId="4851" priority="4800" operator="containsText" text="RECHAZADA">
      <formula>NOT(ISERROR(SEARCH("RECHAZADA",L882)))</formula>
    </cfRule>
    <cfRule type="containsText" dxfId="4850" priority="4801" operator="containsText" text="Atendida">
      <formula>NOT(ISERROR(SEARCH("Atendida",L882)))</formula>
    </cfRule>
    <cfRule type="containsText" dxfId="4849" priority="4802" operator="containsText" text="Reasignación">
      <formula>NOT(ISERROR(SEARCH("Reasignación",L882)))</formula>
    </cfRule>
    <cfRule type="containsText" dxfId="4848" priority="4803" operator="containsText" text="RECHAZADA">
      <formula>NOT(ISERROR(SEARCH("RECHAZADA",L882)))</formula>
    </cfRule>
    <cfRule type="containsText" dxfId="4847" priority="4804" operator="containsText" text="Atendida">
      <formula>NOT(ISERROR(SEARCH("Atendida",L882)))</formula>
    </cfRule>
    <cfRule type="containsText" dxfId="4846" priority="4805" operator="containsText" text="Reasignación">
      <formula>NOT(ISERROR(SEARCH("Reasignación",L882)))</formula>
    </cfRule>
    <cfRule type="containsText" dxfId="4845" priority="4806" operator="containsText" text="RECHAZADA">
      <formula>NOT(ISERROR(SEARCH("RECHAZADA",L882)))</formula>
    </cfRule>
    <cfRule type="containsText" dxfId="4844" priority="4807" operator="containsText" text="Atendida">
      <formula>NOT(ISERROR(SEARCH("Atendida",L882)))</formula>
    </cfRule>
    <cfRule type="containsText" dxfId="4843" priority="4808" operator="containsText" text="Reasignación">
      <formula>NOT(ISERROR(SEARCH("Reasignación",L882)))</formula>
    </cfRule>
    <cfRule type="containsText" dxfId="4842" priority="4809" operator="containsText" text="RECHAZADA">
      <formula>NOT(ISERROR(SEARCH("RECHAZADA",L882)))</formula>
    </cfRule>
    <cfRule type="containsText" dxfId="4841" priority="4810" operator="containsText" text="Atendida">
      <formula>NOT(ISERROR(SEARCH("Atendida",L882)))</formula>
    </cfRule>
    <cfRule type="containsText" dxfId="4840" priority="4811" operator="containsText" text="Reasignación">
      <formula>NOT(ISERROR(SEARCH("Reasignación",L882)))</formula>
    </cfRule>
    <cfRule type="containsText" dxfId="4839" priority="4812" operator="containsText" text="RECHAZADA">
      <formula>NOT(ISERROR(SEARCH("RECHAZADA",L882)))</formula>
    </cfRule>
    <cfRule type="containsText" dxfId="4838" priority="4813" operator="containsText" text="Atendida">
      <formula>NOT(ISERROR(SEARCH("Atendida",L882)))</formula>
    </cfRule>
    <cfRule type="containsText" dxfId="4837" priority="4814" operator="containsText" text="Reasignación">
      <formula>NOT(ISERROR(SEARCH("Reasignación",L882)))</formula>
    </cfRule>
    <cfRule type="containsText" dxfId="4836" priority="4815" operator="containsText" text="RECHAZADA">
      <formula>NOT(ISERROR(SEARCH("RECHAZADA",L882)))</formula>
    </cfRule>
    <cfRule type="containsText" dxfId="4835" priority="4816" operator="containsText" text="Atendida">
      <formula>NOT(ISERROR(SEARCH("Atendida",L882)))</formula>
    </cfRule>
    <cfRule type="containsText" dxfId="4834" priority="4817" operator="containsText" text="Reasignación">
      <formula>NOT(ISERROR(SEARCH("Reasignación",L882)))</formula>
    </cfRule>
    <cfRule type="containsText" dxfId="4833" priority="4818" operator="containsText" text="RECHAZADA">
      <formula>NOT(ISERROR(SEARCH("RECHAZADA",L882)))</formula>
    </cfRule>
    <cfRule type="containsText" dxfId="4832" priority="4819" operator="containsText" text="Atendida">
      <formula>NOT(ISERROR(SEARCH("Atendida",L882)))</formula>
    </cfRule>
    <cfRule type="containsText" dxfId="4831" priority="4820" operator="containsText" text="Reasignación">
      <formula>NOT(ISERROR(SEARCH("Reasignación",L882)))</formula>
    </cfRule>
    <cfRule type="containsText" dxfId="4830" priority="4821" operator="containsText" text="RECHAZADA">
      <formula>NOT(ISERROR(SEARCH("RECHAZADA",L882)))</formula>
    </cfRule>
    <cfRule type="containsText" dxfId="4829" priority="4822" operator="containsText" text="Atendida">
      <formula>NOT(ISERROR(SEARCH("Atendida",L882)))</formula>
    </cfRule>
    <cfRule type="containsText" dxfId="4828" priority="4823" operator="containsText" text="Reasignación">
      <formula>NOT(ISERROR(SEARCH("Reasignación",L882)))</formula>
    </cfRule>
    <cfRule type="containsText" dxfId="4827" priority="4824" operator="containsText" text="RECHAZADA">
      <formula>NOT(ISERROR(SEARCH("RECHAZADA",L882)))</formula>
    </cfRule>
    <cfRule type="containsText" dxfId="4826" priority="4825" operator="containsText" text="Atendida">
      <formula>NOT(ISERROR(SEARCH("Atendida",L882)))</formula>
    </cfRule>
    <cfRule type="containsText" dxfId="4825" priority="4826" operator="containsText" text="Reasignación">
      <formula>NOT(ISERROR(SEARCH("Reasignación",L882)))</formula>
    </cfRule>
    <cfRule type="containsText" dxfId="4824" priority="4827" operator="containsText" text="RECHAZADA">
      <formula>NOT(ISERROR(SEARCH("RECHAZADA",L882)))</formula>
    </cfRule>
    <cfRule type="containsText" dxfId="4823" priority="4828" operator="containsText" text="Atendida">
      <formula>NOT(ISERROR(SEARCH("Atendida",L882)))</formula>
    </cfRule>
    <cfRule type="containsText" dxfId="4822" priority="4829" operator="containsText" text="Reasignación">
      <formula>NOT(ISERROR(SEARCH("Reasignación",L882)))</formula>
    </cfRule>
    <cfRule type="containsText" dxfId="4821" priority="4830" operator="containsText" text="RECHAZADA">
      <formula>NOT(ISERROR(SEARCH("RECHAZADA",L882)))</formula>
    </cfRule>
    <cfRule type="containsText" dxfId="4820" priority="4831" operator="containsText" text="Atendida">
      <formula>NOT(ISERROR(SEARCH("Atendida",L882)))</formula>
    </cfRule>
    <cfRule type="containsText" dxfId="4819" priority="4832" operator="containsText" text="Reasignación">
      <formula>NOT(ISERROR(SEARCH("Reasignación",L882)))</formula>
    </cfRule>
    <cfRule type="containsText" dxfId="4818" priority="4833" operator="containsText" text="RECHAZADA">
      <formula>NOT(ISERROR(SEARCH("RECHAZADA",L882)))</formula>
    </cfRule>
    <cfRule type="containsText" dxfId="4817" priority="4834" operator="containsText" text="Atendida">
      <formula>NOT(ISERROR(SEARCH("Atendida",L882)))</formula>
    </cfRule>
    <cfRule type="containsText" dxfId="4816" priority="4835" operator="containsText" text="Reasignación">
      <formula>NOT(ISERROR(SEARCH("Reasignación",L882)))</formula>
    </cfRule>
    <cfRule type="containsText" dxfId="4815" priority="4836" operator="containsText" text="RECHAZADA">
      <formula>NOT(ISERROR(SEARCH("RECHAZADA",L882)))</formula>
    </cfRule>
    <cfRule type="containsText" dxfId="4814" priority="4837" operator="containsText" text="Atendida">
      <formula>NOT(ISERROR(SEARCH("Atendida",L882)))</formula>
    </cfRule>
    <cfRule type="containsText" dxfId="4813" priority="4838" operator="containsText" text="Reasignación">
      <formula>NOT(ISERROR(SEARCH("Reasignación",L882)))</formula>
    </cfRule>
    <cfRule type="containsText" dxfId="4812" priority="4839" operator="containsText" text="RECHAZADA">
      <formula>NOT(ISERROR(SEARCH("RECHAZADA",L882)))</formula>
    </cfRule>
    <cfRule type="containsText" dxfId="4811" priority="4840" operator="containsText" text="Atendida">
      <formula>NOT(ISERROR(SEARCH("Atendida",L882)))</formula>
    </cfRule>
    <cfRule type="containsText" dxfId="4810" priority="4841" operator="containsText" text="Reasignación">
      <formula>NOT(ISERROR(SEARCH("Reasignación",L882)))</formula>
    </cfRule>
    <cfRule type="containsText" dxfId="4809" priority="4842" operator="containsText" text="RECHAZADA">
      <formula>NOT(ISERROR(SEARCH("RECHAZADA",L882)))</formula>
    </cfRule>
    <cfRule type="containsText" dxfId="4808" priority="4843" operator="containsText" text="Atendida">
      <formula>NOT(ISERROR(SEARCH("Atendida",L882)))</formula>
    </cfRule>
    <cfRule type="containsText" dxfId="4807" priority="4844" operator="containsText" text="Reasignación">
      <formula>NOT(ISERROR(SEARCH("Reasignación",L882)))</formula>
    </cfRule>
    <cfRule type="containsText" dxfId="4806" priority="4845" operator="containsText" text="RECHAZADA">
      <formula>NOT(ISERROR(SEARCH("RECHAZADA",L882)))</formula>
    </cfRule>
    <cfRule type="containsText" dxfId="4805" priority="4846" operator="containsText" text="Atendida">
      <formula>NOT(ISERROR(SEARCH("Atendida",L882)))</formula>
    </cfRule>
    <cfRule type="containsText" dxfId="4804" priority="4847" operator="containsText" text="Reasignación">
      <formula>NOT(ISERROR(SEARCH("Reasignación",L882)))</formula>
    </cfRule>
    <cfRule type="containsText" dxfId="4803" priority="4848" operator="containsText" text="RECHAZADA">
      <formula>NOT(ISERROR(SEARCH("RECHAZADA",L882)))</formula>
    </cfRule>
    <cfRule type="containsText" dxfId="4802" priority="4849" operator="containsText" text="Atendida">
      <formula>NOT(ISERROR(SEARCH("Atendida",L882)))</formula>
    </cfRule>
    <cfRule type="containsText" dxfId="4801" priority="4850" operator="containsText" text="Reasignación">
      <formula>NOT(ISERROR(SEARCH("Reasignación",L882)))</formula>
    </cfRule>
    <cfRule type="containsText" dxfId="4800" priority="4851" operator="containsText" text="RECHAZADA">
      <formula>NOT(ISERROR(SEARCH("RECHAZADA",L882)))</formula>
    </cfRule>
    <cfRule type="containsText" dxfId="4799" priority="4852" operator="containsText" text="Atendida">
      <formula>NOT(ISERROR(SEARCH("Atendida",L882)))</formula>
    </cfRule>
    <cfRule type="containsText" dxfId="4798" priority="4853" operator="containsText" text="Reasignación">
      <formula>NOT(ISERROR(SEARCH("Reasignación",L882)))</formula>
    </cfRule>
    <cfRule type="containsText" dxfId="4797" priority="4854" operator="containsText" text="RECHAZADA">
      <formula>NOT(ISERROR(SEARCH("RECHAZADA",L882)))</formula>
    </cfRule>
    <cfRule type="containsText" dxfId="4796" priority="4855" operator="containsText" text="Atendida">
      <formula>NOT(ISERROR(SEARCH("Atendida",L882)))</formula>
    </cfRule>
    <cfRule type="containsText" dxfId="4795" priority="4856" operator="containsText" text="Reasignación">
      <formula>NOT(ISERROR(SEARCH("Reasignación",L882)))</formula>
    </cfRule>
    <cfRule type="containsText" dxfId="4794" priority="4857" operator="containsText" text="RECHAZADA">
      <formula>NOT(ISERROR(SEARCH("RECHAZADA",L882)))</formula>
    </cfRule>
    <cfRule type="containsText" dxfId="4793" priority="4858" operator="containsText" text="Atendida">
      <formula>NOT(ISERROR(SEARCH("Atendida",L882)))</formula>
    </cfRule>
    <cfRule type="containsText" dxfId="4792" priority="4859" operator="containsText" text="Reasignación">
      <formula>NOT(ISERROR(SEARCH("Reasignación",L882)))</formula>
    </cfRule>
    <cfRule type="containsText" dxfId="4791" priority="4860" operator="containsText" text="RECHAZADA">
      <formula>NOT(ISERROR(SEARCH("RECHAZADA",L882)))</formula>
    </cfRule>
    <cfRule type="containsText" dxfId="4790" priority="4861" operator="containsText" text="Atendida">
      <formula>NOT(ISERROR(SEARCH("Atendida",L882)))</formula>
    </cfRule>
    <cfRule type="containsText" dxfId="4789" priority="4862" operator="containsText" text="Reasignación">
      <formula>NOT(ISERROR(SEARCH("Reasignación",L882)))</formula>
    </cfRule>
    <cfRule type="containsText" dxfId="4788" priority="4863" operator="containsText" text="RECHAZADA">
      <formula>NOT(ISERROR(SEARCH("RECHAZADA",L882)))</formula>
    </cfRule>
    <cfRule type="containsText" dxfId="4787" priority="4864" operator="containsText" text="Atendida">
      <formula>NOT(ISERROR(SEARCH("Atendida",L882)))</formula>
    </cfRule>
    <cfRule type="containsText" dxfId="4786" priority="4865" operator="containsText" text="Reasignación">
      <formula>NOT(ISERROR(SEARCH("Reasignación",L882)))</formula>
    </cfRule>
    <cfRule type="containsText" dxfId="4785" priority="4866" operator="containsText" text="RECHAZADA">
      <formula>NOT(ISERROR(SEARCH("RECHAZADA",L882)))</formula>
    </cfRule>
    <cfRule type="containsText" dxfId="4784" priority="4867" operator="containsText" text="Atendida">
      <formula>NOT(ISERROR(SEARCH("Atendida",L882)))</formula>
    </cfRule>
    <cfRule type="containsText" dxfId="4783" priority="4868" operator="containsText" text="Reasignación">
      <formula>NOT(ISERROR(SEARCH("Reasignación",L882)))</formula>
    </cfRule>
    <cfRule type="containsText" dxfId="4782" priority="4869" operator="containsText" text="RECHAZADA">
      <formula>NOT(ISERROR(SEARCH("RECHAZADA",L882)))</formula>
    </cfRule>
    <cfRule type="containsText" dxfId="4781" priority="4870" operator="containsText" text="Atendida">
      <formula>NOT(ISERROR(SEARCH("Atendida",L882)))</formula>
    </cfRule>
    <cfRule type="containsText" dxfId="4780" priority="4871" operator="containsText" text="Reasignación">
      <formula>NOT(ISERROR(SEARCH("Reasignación",L882)))</formula>
    </cfRule>
    <cfRule type="containsText" dxfId="4779" priority="4872" operator="containsText" text="RECHAZADA">
      <formula>NOT(ISERROR(SEARCH("RECHAZADA",L882)))</formula>
    </cfRule>
    <cfRule type="containsText" dxfId="4778" priority="4873" operator="containsText" text="Atendida">
      <formula>NOT(ISERROR(SEARCH("Atendida",L882)))</formula>
    </cfRule>
    <cfRule type="containsText" dxfId="4777" priority="4874" operator="containsText" text="Reasignación">
      <formula>NOT(ISERROR(SEARCH("Reasignación",L882)))</formula>
    </cfRule>
    <cfRule type="containsText" dxfId="4776" priority="4875" operator="containsText" text="RECHAZADA">
      <formula>NOT(ISERROR(SEARCH("RECHAZADA",L882)))</formula>
    </cfRule>
    <cfRule type="containsText" dxfId="4775" priority="4876" operator="containsText" text="Atendida">
      <formula>NOT(ISERROR(SEARCH("Atendida",L882)))</formula>
    </cfRule>
    <cfRule type="containsText" dxfId="4774" priority="4877" operator="containsText" text="Atendida">
      <formula>NOT(ISERROR(SEARCH("Atendida",L882)))</formula>
    </cfRule>
    <cfRule type="containsText" dxfId="4773" priority="4878" operator="containsText" text="Atendida">
      <formula>NOT(ISERROR(SEARCH("Atendida",L882)))</formula>
    </cfRule>
    <cfRule type="containsText" dxfId="4772" priority="4879" operator="containsText" text="Reasignación">
      <formula>NOT(ISERROR(SEARCH("Reasignación",L882)))</formula>
    </cfRule>
    <cfRule type="containsText" dxfId="4771" priority="4880" operator="containsText" text="RECHAZADA">
      <formula>NOT(ISERROR(SEARCH("RECHAZADA",L882)))</formula>
    </cfRule>
    <cfRule type="containsText" dxfId="4770" priority="4881" operator="containsText" text="Atendida">
      <formula>NOT(ISERROR(SEARCH("Atendida",L882)))</formula>
    </cfRule>
    <cfRule type="containsText" dxfId="4769" priority="4882" operator="containsText" text="Reasignación">
      <formula>NOT(ISERROR(SEARCH("Reasignación",L882)))</formula>
    </cfRule>
    <cfRule type="containsText" dxfId="4768" priority="4883" operator="containsText" text="RECHAZADA">
      <formula>NOT(ISERROR(SEARCH("RECHAZADA",L882)))</formula>
    </cfRule>
    <cfRule type="containsText" dxfId="4767" priority="4884" operator="containsText" text="Atendida">
      <formula>NOT(ISERROR(SEARCH("Atendida",L882)))</formula>
    </cfRule>
    <cfRule type="containsText" dxfId="4766" priority="4885" operator="containsText" text="Reasignación">
      <formula>NOT(ISERROR(SEARCH("Reasignación",L882)))</formula>
    </cfRule>
    <cfRule type="containsText" dxfId="4765" priority="4886" operator="containsText" text="RECHAZADA">
      <formula>NOT(ISERROR(SEARCH("RECHAZADA",L882)))</formula>
    </cfRule>
    <cfRule type="containsText" dxfId="4764" priority="4887" operator="containsText" text="Atendida">
      <formula>NOT(ISERROR(SEARCH("Atendida",L882)))</formula>
    </cfRule>
    <cfRule type="containsText" dxfId="4763" priority="4888" operator="containsText" text="Reasignación">
      <formula>NOT(ISERROR(SEARCH("Reasignación",L882)))</formula>
    </cfRule>
    <cfRule type="containsText" dxfId="4762" priority="4889" operator="containsText" text="RECHAZADA">
      <formula>NOT(ISERROR(SEARCH("RECHAZADA",L882)))</formula>
    </cfRule>
    <cfRule type="containsText" dxfId="4761" priority="4890" operator="containsText" text="Atendida">
      <formula>NOT(ISERROR(SEARCH("Atendida",L882)))</formula>
    </cfRule>
    <cfRule type="containsText" dxfId="4760" priority="4891" operator="containsText" text="Atendida">
      <formula>NOT(ISERROR(SEARCH("Atendida",L882)))</formula>
    </cfRule>
    <cfRule type="containsText" dxfId="4759" priority="4892" operator="containsText" text="Reasignación">
      <formula>NOT(ISERROR(SEARCH("Reasignación",L882)))</formula>
    </cfRule>
    <cfRule type="containsText" dxfId="4758" priority="4893" operator="containsText" text="RECHAZADA">
      <formula>NOT(ISERROR(SEARCH("RECHAZADA",L882)))</formula>
    </cfRule>
    <cfRule type="containsText" dxfId="4757" priority="4894" operator="containsText" text="Atendida">
      <formula>NOT(ISERROR(SEARCH("Atendida",L882)))</formula>
    </cfRule>
    <cfRule type="containsText" dxfId="4756" priority="4895" operator="containsText" text="Reasignación">
      <formula>NOT(ISERROR(SEARCH("Reasignación",L882)))</formula>
    </cfRule>
    <cfRule type="containsText" dxfId="4755" priority="4896" operator="containsText" text="RECHAZADA">
      <formula>NOT(ISERROR(SEARCH("RECHAZADA",L882)))</formula>
    </cfRule>
    <cfRule type="containsText" dxfId="4754" priority="4897" operator="containsText" text="Atendida">
      <formula>NOT(ISERROR(SEARCH("Atendida",L882)))</formula>
    </cfRule>
    <cfRule type="containsText" dxfId="4753" priority="4898" operator="containsText" text="Reasignación">
      <formula>NOT(ISERROR(SEARCH("Reasignación",L882)))</formula>
    </cfRule>
    <cfRule type="containsText" dxfId="4752" priority="4899" operator="containsText" text="RECHAZADA">
      <formula>NOT(ISERROR(SEARCH("RECHAZADA",L882)))</formula>
    </cfRule>
    <cfRule type="containsText" dxfId="4751" priority="4900" operator="containsText" text="Atendida">
      <formula>NOT(ISERROR(SEARCH("Atendida",L882)))</formula>
    </cfRule>
    <cfRule type="containsText" dxfId="4750" priority="4901" operator="containsText" text="RECHAZADA">
      <formula>NOT(ISERROR(SEARCH("RECHAZADA",L882)))</formula>
    </cfRule>
    <cfRule type="containsText" dxfId="4749" priority="4902" operator="containsText" text="Atendida">
      <formula>NOT(ISERROR(SEARCH("Atendida",L882)))</formula>
    </cfRule>
    <cfRule type="containsText" dxfId="4748" priority="4903" operator="containsText" text="Reasignación">
      <formula>NOT(ISERROR(SEARCH("Reasignación",L882)))</formula>
    </cfRule>
    <cfRule type="containsText" dxfId="4747" priority="4904" operator="containsText" text="RECHAZADA">
      <formula>NOT(ISERROR(SEARCH("RECHAZADA",L882)))</formula>
    </cfRule>
    <cfRule type="containsText" dxfId="4746" priority="4905" operator="containsText" text="Atendida">
      <formula>NOT(ISERROR(SEARCH("Atendida",L882)))</formula>
    </cfRule>
  </conditionalFormatting>
  <conditionalFormatting sqref="L882">
    <cfRule type="containsText" dxfId="4745" priority="4754" operator="containsText" text="Reasignación">
      <formula>NOT(ISERROR(SEARCH("Reasignación",L882)))</formula>
    </cfRule>
  </conditionalFormatting>
  <conditionalFormatting sqref="L883:L891">
    <cfRule type="containsText" dxfId="4744" priority="4751" operator="containsText" text="Reasignación">
      <formula>NOT(ISERROR(SEARCH("Reasignación",L883)))</formula>
    </cfRule>
    <cfRule type="containsText" dxfId="4743" priority="4752" operator="containsText" text="RECHAZADA">
      <formula>NOT(ISERROR(SEARCH("RECHAZADA",L883)))</formula>
    </cfRule>
    <cfRule type="containsText" dxfId="4742" priority="4753" operator="containsText" text="Atendida">
      <formula>NOT(ISERROR(SEARCH("Atendida",L883)))</formula>
    </cfRule>
  </conditionalFormatting>
  <conditionalFormatting sqref="L883:L891">
    <cfRule type="containsText" dxfId="4741" priority="4608" operator="containsText" text="Reasignación">
      <formula>NOT(ISERROR(SEARCH("Reasignación",L883)))</formula>
    </cfRule>
    <cfRule type="containsText" dxfId="4740" priority="4609" operator="containsText" text="RECHAZADA">
      <formula>NOT(ISERROR(SEARCH("RECHAZADA",L883)))</formula>
    </cfRule>
    <cfRule type="containsText" dxfId="4739" priority="4610" operator="containsText" text="Atendida">
      <formula>NOT(ISERROR(SEARCH("Atendida",L883)))</formula>
    </cfRule>
    <cfRule type="containsText" dxfId="4738" priority="4611" operator="containsText" text="Reasignación">
      <formula>NOT(ISERROR(SEARCH("Reasignación",L883)))</formula>
    </cfRule>
    <cfRule type="containsText" dxfId="4737" priority="4612" operator="containsText" text="RECHAZADA">
      <formula>NOT(ISERROR(SEARCH("RECHAZADA",L883)))</formula>
    </cfRule>
    <cfRule type="containsText" dxfId="4736" priority="4613" operator="containsText" text="Atendida">
      <formula>NOT(ISERROR(SEARCH("Atendida",L883)))</formula>
    </cfRule>
    <cfRule type="containsText" dxfId="4735" priority="4614" operator="containsText" text="Reasignación">
      <formula>NOT(ISERROR(SEARCH("Reasignación",L883)))</formula>
    </cfRule>
    <cfRule type="containsText" dxfId="4734" priority="4615" operator="containsText" text="RECHAZADA">
      <formula>NOT(ISERROR(SEARCH("RECHAZADA",L883)))</formula>
    </cfRule>
    <cfRule type="containsText" dxfId="4733" priority="4616" operator="containsText" text="Atendida">
      <formula>NOT(ISERROR(SEARCH("Atendida",L883)))</formula>
    </cfRule>
    <cfRule type="containsText" dxfId="4732" priority="4617" operator="containsText" text="Reasignación">
      <formula>NOT(ISERROR(SEARCH("Reasignación",L883)))</formula>
    </cfRule>
    <cfRule type="containsText" dxfId="4731" priority="4618" operator="containsText" text="RECHAZADA">
      <formula>NOT(ISERROR(SEARCH("RECHAZADA",L883)))</formula>
    </cfRule>
    <cfRule type="containsText" dxfId="4730" priority="4619" operator="containsText" text="Atendida">
      <formula>NOT(ISERROR(SEARCH("Atendida",L883)))</formula>
    </cfRule>
    <cfRule type="containsText" dxfId="4729" priority="4620" operator="containsText" text="Reasignación">
      <formula>NOT(ISERROR(SEARCH("Reasignación",L883)))</formula>
    </cfRule>
    <cfRule type="containsText" dxfId="4728" priority="4621" operator="containsText" text="RECHAZADA">
      <formula>NOT(ISERROR(SEARCH("RECHAZADA",L883)))</formula>
    </cfRule>
    <cfRule type="containsText" dxfId="4727" priority="4622" operator="containsText" text="Atendida">
      <formula>NOT(ISERROR(SEARCH("Atendida",L883)))</formula>
    </cfRule>
    <cfRule type="containsText" dxfId="4726" priority="4623" operator="containsText" text="Reasignación">
      <formula>NOT(ISERROR(SEARCH("Reasignación",L883)))</formula>
    </cfRule>
    <cfRule type="containsText" dxfId="4725" priority="4624" operator="containsText" text="RECHAZADA">
      <formula>NOT(ISERROR(SEARCH("RECHAZADA",L883)))</formula>
    </cfRule>
    <cfRule type="containsText" dxfId="4724" priority="4625" operator="containsText" text="Atendida">
      <formula>NOT(ISERROR(SEARCH("Atendida",L883)))</formula>
    </cfRule>
    <cfRule type="containsText" dxfId="4723" priority="4626" operator="containsText" text="Reasignación">
      <formula>NOT(ISERROR(SEARCH("Reasignación",L883)))</formula>
    </cfRule>
    <cfRule type="containsText" dxfId="4722" priority="4627" operator="containsText" text="RECHAZADA">
      <formula>NOT(ISERROR(SEARCH("RECHAZADA",L883)))</formula>
    </cfRule>
    <cfRule type="containsText" dxfId="4721" priority="4628" operator="containsText" text="Atendida">
      <formula>NOT(ISERROR(SEARCH("Atendida",L883)))</formula>
    </cfRule>
    <cfRule type="containsText" dxfId="4720" priority="4629" operator="containsText" text="Reasignación">
      <formula>NOT(ISERROR(SEARCH("Reasignación",L883)))</formula>
    </cfRule>
    <cfRule type="containsText" dxfId="4719" priority="4630" operator="containsText" text="RECHAZADA">
      <formula>NOT(ISERROR(SEARCH("RECHAZADA",L883)))</formula>
    </cfRule>
    <cfRule type="containsText" dxfId="4718" priority="4631" operator="containsText" text="Atendida">
      <formula>NOT(ISERROR(SEARCH("Atendida",L883)))</formula>
    </cfRule>
    <cfRule type="containsText" dxfId="4717" priority="4632" operator="containsText" text="Reasignación">
      <formula>NOT(ISERROR(SEARCH("Reasignación",L883)))</formula>
    </cfRule>
    <cfRule type="containsText" dxfId="4716" priority="4633" operator="containsText" text="RECHAZADA">
      <formula>NOT(ISERROR(SEARCH("RECHAZADA",L883)))</formula>
    </cfRule>
    <cfRule type="containsText" dxfId="4715" priority="4634" operator="containsText" text="Atendida">
      <formula>NOT(ISERROR(SEARCH("Atendida",L883)))</formula>
    </cfRule>
    <cfRule type="containsText" dxfId="4714" priority="4635" operator="containsText" text="Reasignación">
      <formula>NOT(ISERROR(SEARCH("Reasignación",L883)))</formula>
    </cfRule>
    <cfRule type="containsText" dxfId="4713" priority="4636" operator="containsText" text="RECHAZADA">
      <formula>NOT(ISERROR(SEARCH("RECHAZADA",L883)))</formula>
    </cfRule>
    <cfRule type="containsText" dxfId="4712" priority="4637" operator="containsText" text="Atendida">
      <formula>NOT(ISERROR(SEARCH("Atendida",L883)))</formula>
    </cfRule>
    <cfRule type="containsText" dxfId="4711" priority="4638" operator="containsText" text="Reasignación">
      <formula>NOT(ISERROR(SEARCH("Reasignación",L883)))</formula>
    </cfRule>
    <cfRule type="containsText" dxfId="4710" priority="4639" operator="containsText" text="RECHAZADA">
      <formula>NOT(ISERROR(SEARCH("RECHAZADA",L883)))</formula>
    </cfRule>
    <cfRule type="containsText" dxfId="4709" priority="4640" operator="containsText" text="Atendida">
      <formula>NOT(ISERROR(SEARCH("Atendida",L883)))</formula>
    </cfRule>
    <cfRule type="containsText" dxfId="4708" priority="4641" operator="containsText" text="Reasignación">
      <formula>NOT(ISERROR(SEARCH("Reasignación",L883)))</formula>
    </cfRule>
    <cfRule type="containsText" dxfId="4707" priority="4642" operator="containsText" text="RECHAZADA">
      <formula>NOT(ISERROR(SEARCH("RECHAZADA",L883)))</formula>
    </cfRule>
    <cfRule type="containsText" dxfId="4706" priority="4643" operator="containsText" text="Atendida">
      <formula>NOT(ISERROR(SEARCH("Atendida",L883)))</formula>
    </cfRule>
    <cfRule type="containsText" dxfId="4705" priority="4644" operator="containsText" text="Reasignación">
      <formula>NOT(ISERROR(SEARCH("Reasignación",L883)))</formula>
    </cfRule>
    <cfRule type="containsText" dxfId="4704" priority="4645" operator="containsText" text="RECHAZADA">
      <formula>NOT(ISERROR(SEARCH("RECHAZADA",L883)))</formula>
    </cfRule>
    <cfRule type="containsText" dxfId="4703" priority="4646" operator="containsText" text="Atendida">
      <formula>NOT(ISERROR(SEARCH("Atendida",L883)))</formula>
    </cfRule>
    <cfRule type="containsText" dxfId="4702" priority="4647" operator="containsText" text="Reasignación">
      <formula>NOT(ISERROR(SEARCH("Reasignación",L883)))</formula>
    </cfRule>
    <cfRule type="containsText" dxfId="4701" priority="4648" operator="containsText" text="RECHAZADA">
      <formula>NOT(ISERROR(SEARCH("RECHAZADA",L883)))</formula>
    </cfRule>
    <cfRule type="containsText" dxfId="4700" priority="4649" operator="containsText" text="Atendida">
      <formula>NOT(ISERROR(SEARCH("Atendida",L883)))</formula>
    </cfRule>
    <cfRule type="containsText" dxfId="4699" priority="4650" operator="containsText" text="Reasignación">
      <formula>NOT(ISERROR(SEARCH("Reasignación",L883)))</formula>
    </cfRule>
    <cfRule type="containsText" dxfId="4698" priority="4651" operator="containsText" text="RECHAZADA">
      <formula>NOT(ISERROR(SEARCH("RECHAZADA",L883)))</formula>
    </cfRule>
    <cfRule type="containsText" dxfId="4697" priority="4652" operator="containsText" text="Atendida">
      <formula>NOT(ISERROR(SEARCH("Atendida",L883)))</formula>
    </cfRule>
    <cfRule type="containsText" dxfId="4696" priority="4653" operator="containsText" text="Reasignación">
      <formula>NOT(ISERROR(SEARCH("Reasignación",L883)))</formula>
    </cfRule>
    <cfRule type="containsText" dxfId="4695" priority="4654" operator="containsText" text="RECHAZADA">
      <formula>NOT(ISERROR(SEARCH("RECHAZADA",L883)))</formula>
    </cfRule>
    <cfRule type="containsText" dxfId="4694" priority="4655" operator="containsText" text="Atendida">
      <formula>NOT(ISERROR(SEARCH("Atendida",L883)))</formula>
    </cfRule>
    <cfRule type="containsText" dxfId="4693" priority="4656" operator="containsText" text="Reasignación">
      <formula>NOT(ISERROR(SEARCH("Reasignación",L883)))</formula>
    </cfRule>
    <cfRule type="containsText" dxfId="4692" priority="4657" operator="containsText" text="RECHAZADA">
      <formula>NOT(ISERROR(SEARCH("RECHAZADA",L883)))</formula>
    </cfRule>
    <cfRule type="containsText" dxfId="4691" priority="4658" operator="containsText" text="Atendida">
      <formula>NOT(ISERROR(SEARCH("Atendida",L883)))</formula>
    </cfRule>
    <cfRule type="containsText" dxfId="4690" priority="4659" operator="containsText" text="Reasignación">
      <formula>NOT(ISERROR(SEARCH("Reasignación",L883)))</formula>
    </cfRule>
    <cfRule type="containsText" dxfId="4689" priority="4660" operator="containsText" text="RECHAZADA">
      <formula>NOT(ISERROR(SEARCH("RECHAZADA",L883)))</formula>
    </cfRule>
    <cfRule type="containsText" dxfId="4688" priority="4661" operator="containsText" text="Atendida">
      <formula>NOT(ISERROR(SEARCH("Atendida",L883)))</formula>
    </cfRule>
    <cfRule type="containsText" dxfId="4687" priority="4662" operator="containsText" text="Reasignación">
      <formula>NOT(ISERROR(SEARCH("Reasignación",L883)))</formula>
    </cfRule>
    <cfRule type="containsText" dxfId="4686" priority="4663" operator="containsText" text="RECHAZADA">
      <formula>NOT(ISERROR(SEARCH("RECHAZADA",L883)))</formula>
    </cfRule>
    <cfRule type="containsText" dxfId="4685" priority="4664" operator="containsText" text="Atendida">
      <formula>NOT(ISERROR(SEARCH("Atendida",L883)))</formula>
    </cfRule>
    <cfRule type="containsText" dxfId="4684" priority="4665" operator="containsText" text="Reasignación">
      <formula>NOT(ISERROR(SEARCH("Reasignación",L883)))</formula>
    </cfRule>
    <cfRule type="containsText" dxfId="4683" priority="4666" operator="containsText" text="RECHAZADA">
      <formula>NOT(ISERROR(SEARCH("RECHAZADA",L883)))</formula>
    </cfRule>
    <cfRule type="containsText" dxfId="4682" priority="4667" operator="containsText" text="Atendida">
      <formula>NOT(ISERROR(SEARCH("Atendida",L883)))</formula>
    </cfRule>
    <cfRule type="containsText" dxfId="4681" priority="4668" operator="containsText" text="Reasignación">
      <formula>NOT(ISERROR(SEARCH("Reasignación",L883)))</formula>
    </cfRule>
    <cfRule type="containsText" dxfId="4680" priority="4669" operator="containsText" text="RECHAZADA">
      <formula>NOT(ISERROR(SEARCH("RECHAZADA",L883)))</formula>
    </cfRule>
    <cfRule type="containsText" dxfId="4679" priority="4670" operator="containsText" text="Atendida">
      <formula>NOT(ISERROR(SEARCH("Atendida",L883)))</formula>
    </cfRule>
    <cfRule type="containsText" dxfId="4678" priority="4671" operator="containsText" text="Reasignación">
      <formula>NOT(ISERROR(SEARCH("Reasignación",L883)))</formula>
    </cfRule>
    <cfRule type="containsText" dxfId="4677" priority="4672" operator="containsText" text="RECHAZADA">
      <formula>NOT(ISERROR(SEARCH("RECHAZADA",L883)))</formula>
    </cfRule>
    <cfRule type="containsText" dxfId="4676" priority="4673" operator="containsText" text="Atendida">
      <formula>NOT(ISERROR(SEARCH("Atendida",L883)))</formula>
    </cfRule>
    <cfRule type="containsText" dxfId="4675" priority="4674" operator="containsText" text="Reasignación">
      <formula>NOT(ISERROR(SEARCH("Reasignación",L883)))</formula>
    </cfRule>
    <cfRule type="containsText" dxfId="4674" priority="4675" operator="containsText" text="RECHAZADA">
      <formula>NOT(ISERROR(SEARCH("RECHAZADA",L883)))</formula>
    </cfRule>
    <cfRule type="containsText" dxfId="4673" priority="4676" operator="containsText" text="Atendida">
      <formula>NOT(ISERROR(SEARCH("Atendida",L883)))</formula>
    </cfRule>
    <cfRule type="containsText" dxfId="4672" priority="4677" operator="containsText" text="Reasignación">
      <formula>NOT(ISERROR(SEARCH("Reasignación",L883)))</formula>
    </cfRule>
    <cfRule type="containsText" dxfId="4671" priority="4678" operator="containsText" text="RECHAZADA">
      <formula>NOT(ISERROR(SEARCH("RECHAZADA",L883)))</formula>
    </cfRule>
    <cfRule type="containsText" dxfId="4670" priority="4679" operator="containsText" text="Atendida">
      <formula>NOT(ISERROR(SEARCH("Atendida",L883)))</formula>
    </cfRule>
    <cfRule type="containsText" dxfId="4669" priority="4680" operator="containsText" text="Reasignación">
      <formula>NOT(ISERROR(SEARCH("Reasignación",L883)))</formula>
    </cfRule>
    <cfRule type="containsText" dxfId="4668" priority="4681" operator="containsText" text="RECHAZADA">
      <formula>NOT(ISERROR(SEARCH("RECHAZADA",L883)))</formula>
    </cfRule>
    <cfRule type="containsText" dxfId="4667" priority="4682" operator="containsText" text="Atendida">
      <formula>NOT(ISERROR(SEARCH("Atendida",L883)))</formula>
    </cfRule>
    <cfRule type="containsText" dxfId="4666" priority="4683" operator="containsText" text="Reasignación">
      <formula>NOT(ISERROR(SEARCH("Reasignación",L883)))</formula>
    </cfRule>
    <cfRule type="containsText" dxfId="4665" priority="4684" operator="containsText" text="RECHAZADA">
      <formula>NOT(ISERROR(SEARCH("RECHAZADA",L883)))</formula>
    </cfRule>
    <cfRule type="containsText" dxfId="4664" priority="4685" operator="containsText" text="Atendida">
      <formula>NOT(ISERROR(SEARCH("Atendida",L883)))</formula>
    </cfRule>
    <cfRule type="containsText" dxfId="4663" priority="4686" operator="containsText" text="Reasignación">
      <formula>NOT(ISERROR(SEARCH("Reasignación",L883)))</formula>
    </cfRule>
    <cfRule type="containsText" dxfId="4662" priority="4687" operator="containsText" text="RECHAZADA">
      <formula>NOT(ISERROR(SEARCH("RECHAZADA",L883)))</formula>
    </cfRule>
    <cfRule type="containsText" dxfId="4661" priority="4688" operator="containsText" text="Atendida">
      <formula>NOT(ISERROR(SEARCH("Atendida",L883)))</formula>
    </cfRule>
    <cfRule type="containsText" dxfId="4660" priority="4689" operator="containsText" text="Reasignación">
      <formula>NOT(ISERROR(SEARCH("Reasignación",L883)))</formula>
    </cfRule>
    <cfRule type="containsText" dxfId="4659" priority="4690" operator="containsText" text="RECHAZADA">
      <formula>NOT(ISERROR(SEARCH("RECHAZADA",L883)))</formula>
    </cfRule>
    <cfRule type="containsText" dxfId="4658" priority="4691" operator="containsText" text="Atendida">
      <formula>NOT(ISERROR(SEARCH("Atendida",L883)))</formula>
    </cfRule>
    <cfRule type="containsText" dxfId="4657" priority="4692" operator="containsText" text="Reasignación">
      <formula>NOT(ISERROR(SEARCH("Reasignación",L883)))</formula>
    </cfRule>
    <cfRule type="containsText" dxfId="4656" priority="4693" operator="containsText" text="RECHAZADA">
      <formula>NOT(ISERROR(SEARCH("RECHAZADA",L883)))</formula>
    </cfRule>
    <cfRule type="containsText" dxfId="4655" priority="4694" operator="containsText" text="Atendida">
      <formula>NOT(ISERROR(SEARCH("Atendida",L883)))</formula>
    </cfRule>
    <cfRule type="containsText" dxfId="4654" priority="4695" operator="containsText" text="Reasignación">
      <formula>NOT(ISERROR(SEARCH("Reasignación",L883)))</formula>
    </cfRule>
    <cfRule type="containsText" dxfId="4653" priority="4696" operator="containsText" text="RECHAZADA">
      <formula>NOT(ISERROR(SEARCH("RECHAZADA",L883)))</formula>
    </cfRule>
    <cfRule type="containsText" dxfId="4652" priority="4697" operator="containsText" text="Atendida">
      <formula>NOT(ISERROR(SEARCH("Atendida",L883)))</formula>
    </cfRule>
    <cfRule type="containsText" dxfId="4651" priority="4698" operator="containsText" text="Reasignación">
      <formula>NOT(ISERROR(SEARCH("Reasignación",L883)))</formula>
    </cfRule>
    <cfRule type="containsText" dxfId="4650" priority="4699" operator="containsText" text="RECHAZADA">
      <formula>NOT(ISERROR(SEARCH("RECHAZADA",L883)))</formula>
    </cfRule>
    <cfRule type="containsText" dxfId="4649" priority="4700" operator="containsText" text="Atendida">
      <formula>NOT(ISERROR(SEARCH("Atendida",L883)))</formula>
    </cfRule>
    <cfRule type="containsText" dxfId="4648" priority="4701" operator="containsText" text="Reasignación">
      <formula>NOT(ISERROR(SEARCH("Reasignación",L883)))</formula>
    </cfRule>
    <cfRule type="containsText" dxfId="4647" priority="4702" operator="containsText" text="RECHAZADA">
      <formula>NOT(ISERROR(SEARCH("RECHAZADA",L883)))</formula>
    </cfRule>
    <cfRule type="containsText" dxfId="4646" priority="4703" operator="containsText" text="Atendida">
      <formula>NOT(ISERROR(SEARCH("Atendida",L883)))</formula>
    </cfRule>
    <cfRule type="containsText" dxfId="4645" priority="4704" operator="containsText" text="Reasignación">
      <formula>NOT(ISERROR(SEARCH("Reasignación",L883)))</formula>
    </cfRule>
    <cfRule type="containsText" dxfId="4644" priority="4705" operator="containsText" text="RECHAZADA">
      <formula>NOT(ISERROR(SEARCH("RECHAZADA",L883)))</formula>
    </cfRule>
    <cfRule type="containsText" dxfId="4643" priority="4706" operator="containsText" text="Atendida">
      <formula>NOT(ISERROR(SEARCH("Atendida",L883)))</formula>
    </cfRule>
    <cfRule type="containsText" dxfId="4642" priority="4707" operator="containsText" text="Reasignación">
      <formula>NOT(ISERROR(SEARCH("Reasignación",L883)))</formula>
    </cfRule>
    <cfRule type="containsText" dxfId="4641" priority="4708" operator="containsText" text="RECHAZADA">
      <formula>NOT(ISERROR(SEARCH("RECHAZADA",L883)))</formula>
    </cfRule>
    <cfRule type="containsText" dxfId="4640" priority="4709" operator="containsText" text="Atendida">
      <formula>NOT(ISERROR(SEARCH("Atendida",L883)))</formula>
    </cfRule>
    <cfRule type="containsText" dxfId="4639" priority="4710" operator="containsText" text="Reasignación">
      <formula>NOT(ISERROR(SEARCH("Reasignación",L883)))</formula>
    </cfRule>
    <cfRule type="containsText" dxfId="4638" priority="4711" operator="containsText" text="RECHAZADA">
      <formula>NOT(ISERROR(SEARCH("RECHAZADA",L883)))</formula>
    </cfRule>
    <cfRule type="containsText" dxfId="4637" priority="4712" operator="containsText" text="Atendida">
      <formula>NOT(ISERROR(SEARCH("Atendida",L883)))</formula>
    </cfRule>
    <cfRule type="containsText" dxfId="4636" priority="4713" operator="containsText" text="Reasignación">
      <formula>NOT(ISERROR(SEARCH("Reasignación",L883)))</formula>
    </cfRule>
    <cfRule type="containsText" dxfId="4635" priority="4714" operator="containsText" text="RECHAZADA">
      <formula>NOT(ISERROR(SEARCH("RECHAZADA",L883)))</formula>
    </cfRule>
    <cfRule type="containsText" dxfId="4634" priority="4715" operator="containsText" text="Atendida">
      <formula>NOT(ISERROR(SEARCH("Atendida",L883)))</formula>
    </cfRule>
    <cfRule type="containsText" dxfId="4633" priority="4716" operator="containsText" text="Reasignación">
      <formula>NOT(ISERROR(SEARCH("Reasignación",L883)))</formula>
    </cfRule>
    <cfRule type="containsText" dxfId="4632" priority="4717" operator="containsText" text="RECHAZADA">
      <formula>NOT(ISERROR(SEARCH("RECHAZADA",L883)))</formula>
    </cfRule>
    <cfRule type="containsText" dxfId="4631" priority="4718" operator="containsText" text="Atendida">
      <formula>NOT(ISERROR(SEARCH("Atendida",L883)))</formula>
    </cfRule>
    <cfRule type="containsText" dxfId="4630" priority="4719" operator="containsText" text="Reasignación">
      <formula>NOT(ISERROR(SEARCH("Reasignación",L883)))</formula>
    </cfRule>
    <cfRule type="containsText" dxfId="4629" priority="4720" operator="containsText" text="RECHAZADA">
      <formula>NOT(ISERROR(SEARCH("RECHAZADA",L883)))</formula>
    </cfRule>
    <cfRule type="containsText" dxfId="4628" priority="4721" operator="containsText" text="Atendida">
      <formula>NOT(ISERROR(SEARCH("Atendida",L883)))</formula>
    </cfRule>
    <cfRule type="containsText" dxfId="4627" priority="4722" operator="containsText" text="Reasignación">
      <formula>NOT(ISERROR(SEARCH("Reasignación",L883)))</formula>
    </cfRule>
    <cfRule type="containsText" dxfId="4626" priority="4723" operator="containsText" text="RECHAZADA">
      <formula>NOT(ISERROR(SEARCH("RECHAZADA",L883)))</formula>
    </cfRule>
    <cfRule type="containsText" dxfId="4625" priority="4724" operator="containsText" text="Atendida">
      <formula>NOT(ISERROR(SEARCH("Atendida",L883)))</formula>
    </cfRule>
    <cfRule type="containsText" dxfId="4624" priority="4725" operator="containsText" text="Reasignación">
      <formula>NOT(ISERROR(SEARCH("Reasignación",L883)))</formula>
    </cfRule>
    <cfRule type="containsText" dxfId="4623" priority="4726" operator="containsText" text="RECHAZADA">
      <formula>NOT(ISERROR(SEARCH("RECHAZADA",L883)))</formula>
    </cfRule>
    <cfRule type="containsText" dxfId="4622" priority="4727" operator="containsText" text="Atendida">
      <formula>NOT(ISERROR(SEARCH("Atendida",L883)))</formula>
    </cfRule>
    <cfRule type="containsText" dxfId="4621" priority="4728" operator="containsText" text="Reasignación">
      <formula>NOT(ISERROR(SEARCH("Reasignación",L883)))</formula>
    </cfRule>
    <cfRule type="containsText" dxfId="4620" priority="4729" operator="containsText" text="RECHAZADA">
      <formula>NOT(ISERROR(SEARCH("RECHAZADA",L883)))</formula>
    </cfRule>
    <cfRule type="containsText" dxfId="4619" priority="4730" operator="containsText" text="Atendida">
      <formula>NOT(ISERROR(SEARCH("Atendida",L883)))</formula>
    </cfRule>
    <cfRule type="containsText" dxfId="4618" priority="4731" operator="containsText" text="Reasignación">
      <formula>NOT(ISERROR(SEARCH("Reasignación",L883)))</formula>
    </cfRule>
    <cfRule type="containsText" dxfId="4617" priority="4732" operator="containsText" text="RECHAZADA">
      <formula>NOT(ISERROR(SEARCH("RECHAZADA",L883)))</formula>
    </cfRule>
    <cfRule type="containsText" dxfId="4616" priority="4733" operator="containsText" text="Atendida">
      <formula>NOT(ISERROR(SEARCH("Atendida",L883)))</formula>
    </cfRule>
    <cfRule type="containsText" dxfId="4615" priority="4734" operator="containsText" text="Reasignación">
      <formula>NOT(ISERROR(SEARCH("Reasignación",L883)))</formula>
    </cfRule>
    <cfRule type="containsText" dxfId="4614" priority="4735" operator="containsText" text="RECHAZADA">
      <formula>NOT(ISERROR(SEARCH("RECHAZADA",L883)))</formula>
    </cfRule>
    <cfRule type="containsText" dxfId="4613" priority="4736" operator="containsText" text="Atendida">
      <formula>NOT(ISERROR(SEARCH("Atendida",L883)))</formula>
    </cfRule>
    <cfRule type="containsText" dxfId="4612" priority="4737" operator="containsText" text="Reasignación">
      <formula>NOT(ISERROR(SEARCH("Reasignación",L883)))</formula>
    </cfRule>
    <cfRule type="containsText" dxfId="4611" priority="4738" operator="containsText" text="RECHAZADA">
      <formula>NOT(ISERROR(SEARCH("RECHAZADA",L883)))</formula>
    </cfRule>
    <cfRule type="containsText" dxfId="4610" priority="4739" operator="containsText" text="Atendida">
      <formula>NOT(ISERROR(SEARCH("Atendida",L883)))</formula>
    </cfRule>
    <cfRule type="containsText" dxfId="4609" priority="4740" operator="containsText" text="Reasignación">
      <formula>NOT(ISERROR(SEARCH("Reasignación",L883)))</formula>
    </cfRule>
    <cfRule type="containsText" dxfId="4608" priority="4741" operator="containsText" text="RECHAZADA">
      <formula>NOT(ISERROR(SEARCH("RECHAZADA",L883)))</formula>
    </cfRule>
    <cfRule type="containsText" dxfId="4607" priority="4742" operator="containsText" text="Atendida">
      <formula>NOT(ISERROR(SEARCH("Atendida",L883)))</formula>
    </cfRule>
    <cfRule type="containsText" dxfId="4606" priority="4743" operator="containsText" text="Reasignación">
      <formula>NOT(ISERROR(SEARCH("Reasignación",L883)))</formula>
    </cfRule>
    <cfRule type="containsText" dxfId="4605" priority="4744" operator="containsText" text="RECHAZADA">
      <formula>NOT(ISERROR(SEARCH("RECHAZADA",L883)))</formula>
    </cfRule>
    <cfRule type="containsText" dxfId="4604" priority="4745" operator="containsText" text="Atendida">
      <formula>NOT(ISERROR(SEARCH("Atendida",L883)))</formula>
    </cfRule>
    <cfRule type="containsText" dxfId="4603" priority="4746" operator="containsText" text="Reasignación">
      <formula>NOT(ISERROR(SEARCH("Reasignación",L883)))</formula>
    </cfRule>
    <cfRule type="containsText" dxfId="4602" priority="4747" operator="containsText" text="RECHAZADA">
      <formula>NOT(ISERROR(SEARCH("RECHAZADA",L883)))</formula>
    </cfRule>
    <cfRule type="containsText" dxfId="4601" priority="4748" operator="containsText" text="Atendida">
      <formula>NOT(ISERROR(SEARCH("Atendida",L883)))</formula>
    </cfRule>
    <cfRule type="containsText" dxfId="4600" priority="4749" operator="containsText" text="RECHAZADA">
      <formula>NOT(ISERROR(SEARCH("RECHAZADA",L883)))</formula>
    </cfRule>
    <cfRule type="containsText" dxfId="4599" priority="4750" operator="containsText" text="Atendida">
      <formula>NOT(ISERROR(SEARCH("Atendida",L883)))</formula>
    </cfRule>
  </conditionalFormatting>
  <conditionalFormatting sqref="L883:L891">
    <cfRule type="containsText" dxfId="4598" priority="4605" operator="containsText" text="Reasignación">
      <formula>NOT(ISERROR(SEARCH("Reasignación",L883)))</formula>
    </cfRule>
    <cfRule type="containsText" dxfId="4597" priority="4606" operator="containsText" text="RECHAZADA">
      <formula>NOT(ISERROR(SEARCH("RECHAZADA",L883)))</formula>
    </cfRule>
    <cfRule type="containsText" dxfId="4596" priority="4607" operator="containsText" text="Atendida">
      <formula>NOT(ISERROR(SEARCH("Atendida",L883)))</formula>
    </cfRule>
  </conditionalFormatting>
  <conditionalFormatting sqref="B885:B886">
    <cfRule type="duplicateValues" dxfId="4595" priority="4604"/>
  </conditionalFormatting>
  <conditionalFormatting sqref="E885:E886">
    <cfRule type="duplicateValues" dxfId="4594" priority="4603"/>
  </conditionalFormatting>
  <conditionalFormatting sqref="N885:N886">
    <cfRule type="containsText" dxfId="4593" priority="4601" operator="containsText" text="RECHAZADA">
      <formula>NOT(ISERROR(SEARCH("RECHAZADA",N885)))</formula>
    </cfRule>
    <cfRule type="containsText" dxfId="4592" priority="4602" operator="containsText" text="Atendida">
      <formula>NOT(ISERROR(SEARCH("Atendida",N885)))</formula>
    </cfRule>
  </conditionalFormatting>
  <conditionalFormatting sqref="N885:N886">
    <cfRule type="containsText" dxfId="4591" priority="4599" operator="containsText" text="OBSERVADO">
      <formula>NOT(ISERROR(SEARCH("OBSERVADO",N885)))</formula>
    </cfRule>
    <cfRule type="containsText" dxfId="4590" priority="4600" operator="containsText" text="CONFORME">
      <formula>NOT(ISERROR(SEARCH("CONFORME",N885)))</formula>
    </cfRule>
  </conditionalFormatting>
  <conditionalFormatting sqref="L892">
    <cfRule type="containsText" dxfId="4589" priority="4597" operator="containsText" text="RECHAZADA">
      <formula>NOT(ISERROR(SEARCH("RECHAZADA",L892)))</formula>
    </cfRule>
    <cfRule type="containsText" dxfId="4588" priority="4598" operator="containsText" text="Atendida">
      <formula>NOT(ISERROR(SEARCH("Atendida",L892)))</formula>
    </cfRule>
  </conditionalFormatting>
  <conditionalFormatting sqref="L892">
    <cfRule type="containsText" dxfId="4587" priority="4596" operator="containsText" text="Reasignación">
      <formula>NOT(ISERROR(SEARCH("Reasignación",L892)))</formula>
    </cfRule>
  </conditionalFormatting>
  <conditionalFormatting sqref="L892">
    <cfRule type="containsText" dxfId="4586" priority="4594" operator="containsText" text="RECHAZADA">
      <formula>NOT(ISERROR(SEARCH("RECHAZADA",L892)))</formula>
    </cfRule>
  </conditionalFormatting>
  <conditionalFormatting sqref="L892">
    <cfRule type="containsText" dxfId="4585" priority="4595" operator="containsText" text="Atendida">
      <formula>NOT(ISERROR(SEARCH("Atendida",L892)))</formula>
    </cfRule>
  </conditionalFormatting>
  <conditionalFormatting sqref="L892">
    <cfRule type="containsText" dxfId="4584" priority="4586" operator="containsText" text="RECHAZADA">
      <formula>NOT(ISERROR(SEARCH("RECHAZADA",L892)))</formula>
    </cfRule>
  </conditionalFormatting>
  <conditionalFormatting sqref="L892">
    <cfRule type="containsText" dxfId="4583" priority="4585" operator="containsText" text="Reasignación">
      <formula>NOT(ISERROR(SEARCH("Reasignación",L892)))</formula>
    </cfRule>
  </conditionalFormatting>
  <conditionalFormatting sqref="L892">
    <cfRule type="containsText" dxfId="4582" priority="4589" operator="containsText" text="RECHAZADA">
      <formula>NOT(ISERROR(SEARCH("RECHAZADA",L892)))</formula>
    </cfRule>
    <cfRule type="containsText" dxfId="4581" priority="4590" operator="containsText" text="Atendida">
      <formula>NOT(ISERROR(SEARCH("Atendida",L892)))</formula>
    </cfRule>
    <cfRule type="containsText" dxfId="4580" priority="4591" operator="containsText" text="Reasignación">
      <formula>NOT(ISERROR(SEARCH("Reasignación",L892)))</formula>
    </cfRule>
    <cfRule type="containsText" dxfId="4579" priority="4592" operator="containsText" text="RECHAZADA">
      <formula>NOT(ISERROR(SEARCH("RECHAZADA",L892)))</formula>
    </cfRule>
    <cfRule type="containsText" dxfId="4578" priority="4593" operator="containsText" text="Atendida">
      <formula>NOT(ISERROR(SEARCH("Atendida",L892)))</formula>
    </cfRule>
  </conditionalFormatting>
  <conditionalFormatting sqref="L892">
    <cfRule type="containsText" dxfId="4577" priority="4588" operator="containsText" text="Reasignación">
      <formula>NOT(ISERROR(SEARCH("Reasignación",L892)))</formula>
    </cfRule>
  </conditionalFormatting>
  <conditionalFormatting sqref="L892">
    <cfRule type="containsText" dxfId="4576" priority="4587" operator="containsText" text="Atendida">
      <formula>NOT(ISERROR(SEARCH("Atendida",L892)))</formula>
    </cfRule>
  </conditionalFormatting>
  <conditionalFormatting sqref="L892">
    <cfRule type="containsText" dxfId="4575" priority="4434" operator="containsText" text="RECHAZADA">
      <formula>NOT(ISERROR(SEARCH("RECHAZADA",L892)))</formula>
    </cfRule>
    <cfRule type="containsText" dxfId="4574" priority="4435" operator="containsText" text="Atendida">
      <formula>NOT(ISERROR(SEARCH("Atendida",L892)))</formula>
    </cfRule>
    <cfRule type="containsText" dxfId="4573" priority="4436" operator="containsText" text="Reasignación">
      <formula>NOT(ISERROR(SEARCH("Reasignación",L892)))</formula>
    </cfRule>
    <cfRule type="containsText" dxfId="4572" priority="4437" operator="containsText" text="RECHAZADA">
      <formula>NOT(ISERROR(SEARCH("RECHAZADA",L892)))</formula>
    </cfRule>
    <cfRule type="containsText" dxfId="4571" priority="4438" operator="containsText" text="Atendida">
      <formula>NOT(ISERROR(SEARCH("Atendida",L892)))</formula>
    </cfRule>
    <cfRule type="containsText" dxfId="4570" priority="4439" operator="containsText" text="Reasignación">
      <formula>NOT(ISERROR(SEARCH("Reasignación",L892)))</formula>
    </cfRule>
    <cfRule type="containsText" dxfId="4569" priority="4440" operator="containsText" text="RECHAZADA">
      <formula>NOT(ISERROR(SEARCH("RECHAZADA",L892)))</formula>
    </cfRule>
    <cfRule type="containsText" dxfId="4568" priority="4441" operator="containsText" text="Atendida">
      <formula>NOT(ISERROR(SEARCH("Atendida",L892)))</formula>
    </cfRule>
    <cfRule type="containsText" dxfId="4567" priority="4442" operator="containsText" text="Reasignación">
      <formula>NOT(ISERROR(SEARCH("Reasignación",L892)))</formula>
    </cfRule>
    <cfRule type="containsText" dxfId="4566" priority="4443" operator="containsText" text="RECHAZADA">
      <formula>NOT(ISERROR(SEARCH("RECHAZADA",L892)))</formula>
    </cfRule>
    <cfRule type="containsText" dxfId="4565" priority="4444" operator="containsText" text="Atendida">
      <formula>NOT(ISERROR(SEARCH("Atendida",L892)))</formula>
    </cfRule>
    <cfRule type="containsText" dxfId="4564" priority="4445" operator="containsText" text="Reasignación">
      <formula>NOT(ISERROR(SEARCH("Reasignación",L892)))</formula>
    </cfRule>
    <cfRule type="containsText" dxfId="4563" priority="4446" operator="containsText" text="RECHAZADA">
      <formula>NOT(ISERROR(SEARCH("RECHAZADA",L892)))</formula>
    </cfRule>
    <cfRule type="containsText" dxfId="4562" priority="4447" operator="containsText" text="Atendida">
      <formula>NOT(ISERROR(SEARCH("Atendida",L892)))</formula>
    </cfRule>
    <cfRule type="containsText" dxfId="4561" priority="4448" operator="containsText" text="Reasignación">
      <formula>NOT(ISERROR(SEARCH("Reasignación",L892)))</formula>
    </cfRule>
    <cfRule type="containsText" dxfId="4560" priority="4449" operator="containsText" text="RECHAZADA">
      <formula>NOT(ISERROR(SEARCH("RECHAZADA",L892)))</formula>
    </cfRule>
    <cfRule type="containsText" dxfId="4559" priority="4450" operator="containsText" text="Atendida">
      <formula>NOT(ISERROR(SEARCH("Atendida",L892)))</formula>
    </cfRule>
    <cfRule type="containsText" dxfId="4558" priority="4451" operator="containsText" text="Reasignación">
      <formula>NOT(ISERROR(SEARCH("Reasignación",L892)))</formula>
    </cfRule>
    <cfRule type="containsText" dxfId="4557" priority="4452" operator="containsText" text="RECHAZADA">
      <formula>NOT(ISERROR(SEARCH("RECHAZADA",L892)))</formula>
    </cfRule>
    <cfRule type="containsText" dxfId="4556" priority="4453" operator="containsText" text="Atendida">
      <formula>NOT(ISERROR(SEARCH("Atendida",L892)))</formula>
    </cfRule>
    <cfRule type="containsText" dxfId="4555" priority="4454" operator="containsText" text="Reasignación">
      <formula>NOT(ISERROR(SEARCH("Reasignación",L892)))</formula>
    </cfRule>
    <cfRule type="containsText" dxfId="4554" priority="4455" operator="containsText" text="RECHAZADA">
      <formula>NOT(ISERROR(SEARCH("RECHAZADA",L892)))</formula>
    </cfRule>
    <cfRule type="containsText" dxfId="4553" priority="4456" operator="containsText" text="Atendida">
      <formula>NOT(ISERROR(SEARCH("Atendida",L892)))</formula>
    </cfRule>
    <cfRule type="containsText" dxfId="4552" priority="4457" operator="containsText" text="Reasignación">
      <formula>NOT(ISERROR(SEARCH("Reasignación",L892)))</formula>
    </cfRule>
    <cfRule type="containsText" dxfId="4551" priority="4458" operator="containsText" text="RECHAZADA">
      <formula>NOT(ISERROR(SEARCH("RECHAZADA",L892)))</formula>
    </cfRule>
    <cfRule type="containsText" dxfId="4550" priority="4459" operator="containsText" text="Atendida">
      <formula>NOT(ISERROR(SEARCH("Atendida",L892)))</formula>
    </cfRule>
    <cfRule type="containsText" dxfId="4549" priority="4460" operator="containsText" text="Reasignación">
      <formula>NOT(ISERROR(SEARCH("Reasignación",L892)))</formula>
    </cfRule>
    <cfRule type="containsText" dxfId="4548" priority="4461" operator="containsText" text="RECHAZADA">
      <formula>NOT(ISERROR(SEARCH("RECHAZADA",L892)))</formula>
    </cfRule>
    <cfRule type="containsText" dxfId="4547" priority="4462" operator="containsText" text="Atendida">
      <formula>NOT(ISERROR(SEARCH("Atendida",L892)))</formula>
    </cfRule>
    <cfRule type="containsText" dxfId="4546" priority="4463" operator="containsText" text="Reasignación">
      <formula>NOT(ISERROR(SEARCH("Reasignación",L892)))</formula>
    </cfRule>
    <cfRule type="containsText" dxfId="4545" priority="4464" operator="containsText" text="RECHAZADA">
      <formula>NOT(ISERROR(SEARCH("RECHAZADA",L892)))</formula>
    </cfRule>
    <cfRule type="containsText" dxfId="4544" priority="4465" operator="containsText" text="Atendida">
      <formula>NOT(ISERROR(SEARCH("Atendida",L892)))</formula>
    </cfRule>
    <cfRule type="containsText" dxfId="4543" priority="4466" operator="containsText" text="Reasignación">
      <formula>NOT(ISERROR(SEARCH("Reasignación",L892)))</formula>
    </cfRule>
    <cfRule type="containsText" dxfId="4542" priority="4467" operator="containsText" text="RECHAZADA">
      <formula>NOT(ISERROR(SEARCH("RECHAZADA",L892)))</formula>
    </cfRule>
    <cfRule type="containsText" dxfId="4541" priority="4468" operator="containsText" text="Atendida">
      <formula>NOT(ISERROR(SEARCH("Atendida",L892)))</formula>
    </cfRule>
    <cfRule type="containsText" dxfId="4540" priority="4469" operator="containsText" text="Reasignación">
      <formula>NOT(ISERROR(SEARCH("Reasignación",L892)))</formula>
    </cfRule>
    <cfRule type="containsText" dxfId="4539" priority="4470" operator="containsText" text="RECHAZADA">
      <formula>NOT(ISERROR(SEARCH("RECHAZADA",L892)))</formula>
    </cfRule>
    <cfRule type="containsText" dxfId="4538" priority="4471" operator="containsText" text="Atendida">
      <formula>NOT(ISERROR(SEARCH("Atendida",L892)))</formula>
    </cfRule>
    <cfRule type="containsText" dxfId="4537" priority="4472" operator="containsText" text="Reasignación">
      <formula>NOT(ISERROR(SEARCH("Reasignación",L892)))</formula>
    </cfRule>
    <cfRule type="containsText" dxfId="4536" priority="4473" operator="containsText" text="RECHAZADA">
      <formula>NOT(ISERROR(SEARCH("RECHAZADA",L892)))</formula>
    </cfRule>
    <cfRule type="containsText" dxfId="4535" priority="4474" operator="containsText" text="Atendida">
      <formula>NOT(ISERROR(SEARCH("Atendida",L892)))</formula>
    </cfRule>
    <cfRule type="containsText" dxfId="4534" priority="4475" operator="containsText" text="Reasignación">
      <formula>NOT(ISERROR(SEARCH("Reasignación",L892)))</formula>
    </cfRule>
    <cfRule type="containsText" dxfId="4533" priority="4476" operator="containsText" text="RECHAZADA">
      <formula>NOT(ISERROR(SEARCH("RECHAZADA",L892)))</formula>
    </cfRule>
    <cfRule type="containsText" dxfId="4532" priority="4477" operator="containsText" text="Atendida">
      <formula>NOT(ISERROR(SEARCH("Atendida",L892)))</formula>
    </cfRule>
    <cfRule type="containsText" dxfId="4531" priority="4478" operator="containsText" text="Reasignación">
      <formula>NOT(ISERROR(SEARCH("Reasignación",L892)))</formula>
    </cfRule>
    <cfRule type="containsText" dxfId="4530" priority="4479" operator="containsText" text="RECHAZADA">
      <formula>NOT(ISERROR(SEARCH("RECHAZADA",L892)))</formula>
    </cfRule>
    <cfRule type="containsText" dxfId="4529" priority="4480" operator="containsText" text="Atendida">
      <formula>NOT(ISERROR(SEARCH("Atendida",L892)))</formula>
    </cfRule>
    <cfRule type="containsText" dxfId="4528" priority="4481" operator="containsText" text="Reasignación">
      <formula>NOT(ISERROR(SEARCH("Reasignación",L892)))</formula>
    </cfRule>
    <cfRule type="containsText" dxfId="4527" priority="4482" operator="containsText" text="RECHAZADA">
      <formula>NOT(ISERROR(SEARCH("RECHAZADA",L892)))</formula>
    </cfRule>
    <cfRule type="containsText" dxfId="4526" priority="4483" operator="containsText" text="Atendida">
      <formula>NOT(ISERROR(SEARCH("Atendida",L892)))</formula>
    </cfRule>
    <cfRule type="containsText" dxfId="4525" priority="4484" operator="containsText" text="Reasignación">
      <formula>NOT(ISERROR(SEARCH("Reasignación",L892)))</formula>
    </cfRule>
    <cfRule type="containsText" dxfId="4524" priority="4485" operator="containsText" text="RECHAZADA">
      <formula>NOT(ISERROR(SEARCH("RECHAZADA",L892)))</formula>
    </cfRule>
    <cfRule type="containsText" dxfId="4523" priority="4486" operator="containsText" text="Atendida">
      <formula>NOT(ISERROR(SEARCH("Atendida",L892)))</formula>
    </cfRule>
    <cfRule type="containsText" dxfId="4522" priority="4487" operator="containsText" text="Reasignación">
      <formula>NOT(ISERROR(SEARCH("Reasignación",L892)))</formula>
    </cfRule>
    <cfRule type="containsText" dxfId="4521" priority="4488" operator="containsText" text="RECHAZADA">
      <formula>NOT(ISERROR(SEARCH("RECHAZADA",L892)))</formula>
    </cfRule>
    <cfRule type="containsText" dxfId="4520" priority="4489" operator="containsText" text="Atendida">
      <formula>NOT(ISERROR(SEARCH("Atendida",L892)))</formula>
    </cfRule>
    <cfRule type="containsText" dxfId="4519" priority="4490" operator="containsText" text="Reasignación">
      <formula>NOT(ISERROR(SEARCH("Reasignación",L892)))</formula>
    </cfRule>
    <cfRule type="containsText" dxfId="4518" priority="4491" operator="containsText" text="RECHAZADA">
      <formula>NOT(ISERROR(SEARCH("RECHAZADA",L892)))</formula>
    </cfRule>
    <cfRule type="containsText" dxfId="4517" priority="4492" operator="containsText" text="Atendida">
      <formula>NOT(ISERROR(SEARCH("Atendida",L892)))</formula>
    </cfRule>
    <cfRule type="containsText" dxfId="4516" priority="4493" operator="containsText" text="Reasignación">
      <formula>NOT(ISERROR(SEARCH("Reasignación",L892)))</formula>
    </cfRule>
    <cfRule type="containsText" dxfId="4515" priority="4494" operator="containsText" text="RECHAZADA">
      <formula>NOT(ISERROR(SEARCH("RECHAZADA",L892)))</formula>
    </cfRule>
    <cfRule type="containsText" dxfId="4514" priority="4495" operator="containsText" text="Atendida">
      <formula>NOT(ISERROR(SEARCH("Atendida",L892)))</formula>
    </cfRule>
    <cfRule type="containsText" dxfId="4513" priority="4496" operator="containsText" text="Reasignación">
      <formula>NOT(ISERROR(SEARCH("Reasignación",L892)))</formula>
    </cfRule>
    <cfRule type="containsText" dxfId="4512" priority="4497" operator="containsText" text="RECHAZADA">
      <formula>NOT(ISERROR(SEARCH("RECHAZADA",L892)))</formula>
    </cfRule>
    <cfRule type="containsText" dxfId="4511" priority="4498" operator="containsText" text="Atendida">
      <formula>NOT(ISERROR(SEARCH("Atendida",L892)))</formula>
    </cfRule>
    <cfRule type="containsText" dxfId="4510" priority="4499" operator="containsText" text="Reasignación">
      <formula>NOT(ISERROR(SEARCH("Reasignación",L892)))</formula>
    </cfRule>
    <cfRule type="containsText" dxfId="4509" priority="4500" operator="containsText" text="RECHAZADA">
      <formula>NOT(ISERROR(SEARCH("RECHAZADA",L892)))</formula>
    </cfRule>
    <cfRule type="containsText" dxfId="4508" priority="4501" operator="containsText" text="Atendida">
      <formula>NOT(ISERROR(SEARCH("Atendida",L892)))</formula>
    </cfRule>
    <cfRule type="containsText" dxfId="4507" priority="4502" operator="containsText" text="Reasignación">
      <formula>NOT(ISERROR(SEARCH("Reasignación",L892)))</formula>
    </cfRule>
    <cfRule type="containsText" dxfId="4506" priority="4503" operator="containsText" text="RECHAZADA">
      <formula>NOT(ISERROR(SEARCH("RECHAZADA",L892)))</formula>
    </cfRule>
    <cfRule type="containsText" dxfId="4505" priority="4504" operator="containsText" text="Atendida">
      <formula>NOT(ISERROR(SEARCH("Atendida",L892)))</formula>
    </cfRule>
    <cfRule type="containsText" dxfId="4504" priority="4505" operator="containsText" text="Reasignación">
      <formula>NOT(ISERROR(SEARCH("Reasignación",L892)))</formula>
    </cfRule>
    <cfRule type="containsText" dxfId="4503" priority="4506" operator="containsText" text="RECHAZADA">
      <formula>NOT(ISERROR(SEARCH("RECHAZADA",L892)))</formula>
    </cfRule>
    <cfRule type="containsText" dxfId="4502" priority="4507" operator="containsText" text="Atendida">
      <formula>NOT(ISERROR(SEARCH("Atendida",L892)))</formula>
    </cfRule>
    <cfRule type="containsText" dxfId="4501" priority="4508" operator="containsText" text="Reasignación">
      <formula>NOT(ISERROR(SEARCH("Reasignación",L892)))</formula>
    </cfRule>
    <cfRule type="containsText" dxfId="4500" priority="4509" operator="containsText" text="RECHAZADA">
      <formula>NOT(ISERROR(SEARCH("RECHAZADA",L892)))</formula>
    </cfRule>
    <cfRule type="containsText" dxfId="4499" priority="4510" operator="containsText" text="Atendida">
      <formula>NOT(ISERROR(SEARCH("Atendida",L892)))</formula>
    </cfRule>
    <cfRule type="containsText" dxfId="4498" priority="4511" operator="containsText" text="Reasignación">
      <formula>NOT(ISERROR(SEARCH("Reasignación",L892)))</formula>
    </cfRule>
    <cfRule type="containsText" dxfId="4497" priority="4512" operator="containsText" text="RECHAZADA">
      <formula>NOT(ISERROR(SEARCH("RECHAZADA",L892)))</formula>
    </cfRule>
    <cfRule type="containsText" dxfId="4496" priority="4513" operator="containsText" text="Atendida">
      <formula>NOT(ISERROR(SEARCH("Atendida",L892)))</formula>
    </cfRule>
    <cfRule type="containsText" dxfId="4495" priority="4514" operator="containsText" text="Reasignación">
      <formula>NOT(ISERROR(SEARCH("Reasignación",L892)))</formula>
    </cfRule>
    <cfRule type="containsText" dxfId="4494" priority="4515" operator="containsText" text="RECHAZADA">
      <formula>NOT(ISERROR(SEARCH("RECHAZADA",L892)))</formula>
    </cfRule>
    <cfRule type="containsText" dxfId="4493" priority="4516" operator="containsText" text="Atendida">
      <formula>NOT(ISERROR(SEARCH("Atendida",L892)))</formula>
    </cfRule>
    <cfRule type="containsText" dxfId="4492" priority="4517" operator="containsText" text="Reasignación">
      <formula>NOT(ISERROR(SEARCH("Reasignación",L892)))</formula>
    </cfRule>
    <cfRule type="containsText" dxfId="4491" priority="4518" operator="containsText" text="RECHAZADA">
      <formula>NOT(ISERROR(SEARCH("RECHAZADA",L892)))</formula>
    </cfRule>
    <cfRule type="containsText" dxfId="4490" priority="4519" operator="containsText" text="Atendida">
      <formula>NOT(ISERROR(SEARCH("Atendida",L892)))</formula>
    </cfRule>
    <cfRule type="containsText" dxfId="4489" priority="4520" operator="containsText" text="Reasignación">
      <formula>NOT(ISERROR(SEARCH("Reasignación",L892)))</formula>
    </cfRule>
    <cfRule type="containsText" dxfId="4488" priority="4521" operator="containsText" text="RECHAZADA">
      <formula>NOT(ISERROR(SEARCH("RECHAZADA",L892)))</formula>
    </cfRule>
    <cfRule type="containsText" dxfId="4487" priority="4522" operator="containsText" text="Atendida">
      <formula>NOT(ISERROR(SEARCH("Atendida",L892)))</formula>
    </cfRule>
    <cfRule type="containsText" dxfId="4486" priority="4523" operator="containsText" text="Reasignación">
      <formula>NOT(ISERROR(SEARCH("Reasignación",L892)))</formula>
    </cfRule>
    <cfRule type="containsText" dxfId="4485" priority="4524" operator="containsText" text="RECHAZADA">
      <formula>NOT(ISERROR(SEARCH("RECHAZADA",L892)))</formula>
    </cfRule>
    <cfRule type="containsText" dxfId="4484" priority="4525" operator="containsText" text="Atendida">
      <formula>NOT(ISERROR(SEARCH("Atendida",L892)))</formula>
    </cfRule>
    <cfRule type="containsText" dxfId="4483" priority="4526" operator="containsText" text="Reasignación">
      <formula>NOT(ISERROR(SEARCH("Reasignación",L892)))</formula>
    </cfRule>
    <cfRule type="containsText" dxfId="4482" priority="4527" operator="containsText" text="RECHAZADA">
      <formula>NOT(ISERROR(SEARCH("RECHAZADA",L892)))</formula>
    </cfRule>
    <cfRule type="containsText" dxfId="4481" priority="4528" operator="containsText" text="Atendida">
      <formula>NOT(ISERROR(SEARCH("Atendida",L892)))</formula>
    </cfRule>
    <cfRule type="containsText" dxfId="4480" priority="4529" operator="containsText" text="Reasignación">
      <formula>NOT(ISERROR(SEARCH("Reasignación",L892)))</formula>
    </cfRule>
    <cfRule type="containsText" dxfId="4479" priority="4530" operator="containsText" text="RECHAZADA">
      <formula>NOT(ISERROR(SEARCH("RECHAZADA",L892)))</formula>
    </cfRule>
    <cfRule type="containsText" dxfId="4478" priority="4531" operator="containsText" text="Atendida">
      <formula>NOT(ISERROR(SEARCH("Atendida",L892)))</formula>
    </cfRule>
    <cfRule type="containsText" dxfId="4477" priority="4532" operator="containsText" text="Reasignación">
      <formula>NOT(ISERROR(SEARCH("Reasignación",L892)))</formula>
    </cfRule>
    <cfRule type="containsText" dxfId="4476" priority="4533" operator="containsText" text="RECHAZADA">
      <formula>NOT(ISERROR(SEARCH("RECHAZADA",L892)))</formula>
    </cfRule>
    <cfRule type="containsText" dxfId="4475" priority="4534" operator="containsText" text="Atendida">
      <formula>NOT(ISERROR(SEARCH("Atendida",L892)))</formula>
    </cfRule>
    <cfRule type="containsText" dxfId="4474" priority="4535" operator="containsText" text="Reasignación">
      <formula>NOT(ISERROR(SEARCH("Reasignación",L892)))</formula>
    </cfRule>
    <cfRule type="containsText" dxfId="4473" priority="4536" operator="containsText" text="RECHAZADA">
      <formula>NOT(ISERROR(SEARCH("RECHAZADA",L892)))</formula>
    </cfRule>
    <cfRule type="containsText" dxfId="4472" priority="4537" operator="containsText" text="Atendida">
      <formula>NOT(ISERROR(SEARCH("Atendida",L892)))</formula>
    </cfRule>
    <cfRule type="containsText" dxfId="4471" priority="4538" operator="containsText" text="Reasignación">
      <formula>NOT(ISERROR(SEARCH("Reasignación",L892)))</formula>
    </cfRule>
    <cfRule type="containsText" dxfId="4470" priority="4539" operator="containsText" text="RECHAZADA">
      <formula>NOT(ISERROR(SEARCH("RECHAZADA",L892)))</formula>
    </cfRule>
    <cfRule type="containsText" dxfId="4469" priority="4540" operator="containsText" text="Atendida">
      <formula>NOT(ISERROR(SEARCH("Atendida",L892)))</formula>
    </cfRule>
    <cfRule type="containsText" dxfId="4468" priority="4541" operator="containsText" text="Reasignación">
      <formula>NOT(ISERROR(SEARCH("Reasignación",L892)))</formula>
    </cfRule>
    <cfRule type="containsText" dxfId="4467" priority="4542" operator="containsText" text="RECHAZADA">
      <formula>NOT(ISERROR(SEARCH("RECHAZADA",L892)))</formula>
    </cfRule>
    <cfRule type="containsText" dxfId="4466" priority="4543" operator="containsText" text="Atendida">
      <formula>NOT(ISERROR(SEARCH("Atendida",L892)))</formula>
    </cfRule>
    <cfRule type="containsText" dxfId="4465" priority="4544" operator="containsText" text="Reasignación">
      <formula>NOT(ISERROR(SEARCH("Reasignación",L892)))</formula>
    </cfRule>
    <cfRule type="containsText" dxfId="4464" priority="4545" operator="containsText" text="RECHAZADA">
      <formula>NOT(ISERROR(SEARCH("RECHAZADA",L892)))</formula>
    </cfRule>
    <cfRule type="containsText" dxfId="4463" priority="4546" operator="containsText" text="Atendida">
      <formula>NOT(ISERROR(SEARCH("Atendida",L892)))</formula>
    </cfRule>
    <cfRule type="containsText" dxfId="4462" priority="4547" operator="containsText" text="Reasignación">
      <formula>NOT(ISERROR(SEARCH("Reasignación",L892)))</formula>
    </cfRule>
    <cfRule type="containsText" dxfId="4461" priority="4548" operator="containsText" text="RECHAZADA">
      <formula>NOT(ISERROR(SEARCH("RECHAZADA",L892)))</formula>
    </cfRule>
    <cfRule type="containsText" dxfId="4460" priority="4549" operator="containsText" text="Atendida">
      <formula>NOT(ISERROR(SEARCH("Atendida",L892)))</formula>
    </cfRule>
    <cfRule type="containsText" dxfId="4459" priority="4550" operator="containsText" text="Reasignación">
      <formula>NOT(ISERROR(SEARCH("Reasignación",L892)))</formula>
    </cfRule>
    <cfRule type="containsText" dxfId="4458" priority="4551" operator="containsText" text="RECHAZADA">
      <formula>NOT(ISERROR(SEARCH("RECHAZADA",L892)))</formula>
    </cfRule>
    <cfRule type="containsText" dxfId="4457" priority="4552" operator="containsText" text="Atendida">
      <formula>NOT(ISERROR(SEARCH("Atendida",L892)))</formula>
    </cfRule>
    <cfRule type="containsText" dxfId="4456" priority="4553" operator="containsText" text="Reasignación">
      <formula>NOT(ISERROR(SEARCH("Reasignación",L892)))</formula>
    </cfRule>
    <cfRule type="containsText" dxfId="4455" priority="4554" operator="containsText" text="RECHAZADA">
      <formula>NOT(ISERROR(SEARCH("RECHAZADA",L892)))</formula>
    </cfRule>
    <cfRule type="containsText" dxfId="4454" priority="4555" operator="containsText" text="Atendida">
      <formula>NOT(ISERROR(SEARCH("Atendida",L892)))</formula>
    </cfRule>
    <cfRule type="containsText" dxfId="4453" priority="4556" operator="containsText" text="Atendida">
      <formula>NOT(ISERROR(SEARCH("Atendida",L892)))</formula>
    </cfRule>
    <cfRule type="containsText" dxfId="4452" priority="4557" operator="containsText" text="Atendida">
      <formula>NOT(ISERROR(SEARCH("Atendida",L892)))</formula>
    </cfRule>
    <cfRule type="containsText" dxfId="4451" priority="4558" operator="containsText" text="Reasignación">
      <formula>NOT(ISERROR(SEARCH("Reasignación",L892)))</formula>
    </cfRule>
    <cfRule type="containsText" dxfId="4450" priority="4559" operator="containsText" text="RECHAZADA">
      <formula>NOT(ISERROR(SEARCH("RECHAZADA",L892)))</formula>
    </cfRule>
    <cfRule type="containsText" dxfId="4449" priority="4560" operator="containsText" text="Atendida">
      <formula>NOT(ISERROR(SEARCH("Atendida",L892)))</formula>
    </cfRule>
    <cfRule type="containsText" dxfId="4448" priority="4561" operator="containsText" text="Reasignación">
      <formula>NOT(ISERROR(SEARCH("Reasignación",L892)))</formula>
    </cfRule>
    <cfRule type="containsText" dxfId="4447" priority="4562" operator="containsText" text="RECHAZADA">
      <formula>NOT(ISERROR(SEARCH("RECHAZADA",L892)))</formula>
    </cfRule>
    <cfRule type="containsText" dxfId="4446" priority="4563" operator="containsText" text="Atendida">
      <formula>NOT(ISERROR(SEARCH("Atendida",L892)))</formula>
    </cfRule>
    <cfRule type="containsText" dxfId="4445" priority="4564" operator="containsText" text="Reasignación">
      <formula>NOT(ISERROR(SEARCH("Reasignación",L892)))</formula>
    </cfRule>
    <cfRule type="containsText" dxfId="4444" priority="4565" operator="containsText" text="RECHAZADA">
      <formula>NOT(ISERROR(SEARCH("RECHAZADA",L892)))</formula>
    </cfRule>
    <cfRule type="containsText" dxfId="4443" priority="4566" operator="containsText" text="Atendida">
      <formula>NOT(ISERROR(SEARCH("Atendida",L892)))</formula>
    </cfRule>
    <cfRule type="containsText" dxfId="4442" priority="4567" operator="containsText" text="Reasignación">
      <formula>NOT(ISERROR(SEARCH("Reasignación",L892)))</formula>
    </cfRule>
    <cfRule type="containsText" dxfId="4441" priority="4568" operator="containsText" text="RECHAZADA">
      <formula>NOT(ISERROR(SEARCH("RECHAZADA",L892)))</formula>
    </cfRule>
    <cfRule type="containsText" dxfId="4440" priority="4569" operator="containsText" text="Atendida">
      <formula>NOT(ISERROR(SEARCH("Atendida",L892)))</formula>
    </cfRule>
    <cfRule type="containsText" dxfId="4439" priority="4570" operator="containsText" text="Atendida">
      <formula>NOT(ISERROR(SEARCH("Atendida",L892)))</formula>
    </cfRule>
    <cfRule type="containsText" dxfId="4438" priority="4571" operator="containsText" text="Reasignación">
      <formula>NOT(ISERROR(SEARCH("Reasignación",L892)))</formula>
    </cfRule>
    <cfRule type="containsText" dxfId="4437" priority="4572" operator="containsText" text="RECHAZADA">
      <formula>NOT(ISERROR(SEARCH("RECHAZADA",L892)))</formula>
    </cfRule>
    <cfRule type="containsText" dxfId="4436" priority="4573" operator="containsText" text="Atendida">
      <formula>NOT(ISERROR(SEARCH("Atendida",L892)))</formula>
    </cfRule>
    <cfRule type="containsText" dxfId="4435" priority="4574" operator="containsText" text="Reasignación">
      <formula>NOT(ISERROR(SEARCH("Reasignación",L892)))</formula>
    </cfRule>
    <cfRule type="containsText" dxfId="4434" priority="4575" operator="containsText" text="RECHAZADA">
      <formula>NOT(ISERROR(SEARCH("RECHAZADA",L892)))</formula>
    </cfRule>
    <cfRule type="containsText" dxfId="4433" priority="4576" operator="containsText" text="Atendida">
      <formula>NOT(ISERROR(SEARCH("Atendida",L892)))</formula>
    </cfRule>
    <cfRule type="containsText" dxfId="4432" priority="4577" operator="containsText" text="Reasignación">
      <formula>NOT(ISERROR(SEARCH("Reasignación",L892)))</formula>
    </cfRule>
    <cfRule type="containsText" dxfId="4431" priority="4578" operator="containsText" text="RECHAZADA">
      <formula>NOT(ISERROR(SEARCH("RECHAZADA",L892)))</formula>
    </cfRule>
    <cfRule type="containsText" dxfId="4430" priority="4579" operator="containsText" text="Atendida">
      <formula>NOT(ISERROR(SEARCH("Atendida",L892)))</formula>
    </cfRule>
    <cfRule type="containsText" dxfId="4429" priority="4580" operator="containsText" text="RECHAZADA">
      <formula>NOT(ISERROR(SEARCH("RECHAZADA",L892)))</formula>
    </cfRule>
    <cfRule type="containsText" dxfId="4428" priority="4581" operator="containsText" text="Atendida">
      <formula>NOT(ISERROR(SEARCH("Atendida",L892)))</formula>
    </cfRule>
    <cfRule type="containsText" dxfId="4427" priority="4582" operator="containsText" text="Reasignación">
      <formula>NOT(ISERROR(SEARCH("Reasignación",L892)))</formula>
    </cfRule>
    <cfRule type="containsText" dxfId="4426" priority="4583" operator="containsText" text="RECHAZADA">
      <formula>NOT(ISERROR(SEARCH("RECHAZADA",L892)))</formula>
    </cfRule>
    <cfRule type="containsText" dxfId="4425" priority="4584" operator="containsText" text="Atendida">
      <formula>NOT(ISERROR(SEARCH("Atendida",L892)))</formula>
    </cfRule>
  </conditionalFormatting>
  <conditionalFormatting sqref="L892">
    <cfRule type="containsText" dxfId="4424" priority="4433" operator="containsText" text="Reasignación">
      <formula>NOT(ISERROR(SEARCH("Reasignación",L892)))</formula>
    </cfRule>
  </conditionalFormatting>
  <conditionalFormatting sqref="L893:L895">
    <cfRule type="containsText" dxfId="4423" priority="4431" operator="containsText" text="RECHAZADA">
      <formula>NOT(ISERROR(SEARCH("RECHAZADA",L893)))</formula>
    </cfRule>
    <cfRule type="containsText" dxfId="4422" priority="4432" operator="containsText" text="Atendida">
      <formula>NOT(ISERROR(SEARCH("Atendida",L893)))</formula>
    </cfRule>
  </conditionalFormatting>
  <conditionalFormatting sqref="L893:L895">
    <cfRule type="containsText" dxfId="4421" priority="4430" operator="containsText" text="Reasignación">
      <formula>NOT(ISERROR(SEARCH("Reasignación",L893)))</formula>
    </cfRule>
  </conditionalFormatting>
  <conditionalFormatting sqref="L893:L895">
    <cfRule type="containsText" dxfId="4420" priority="4428" operator="containsText" text="RECHAZADA">
      <formula>NOT(ISERROR(SEARCH("RECHAZADA",L893)))</formula>
    </cfRule>
  </conditionalFormatting>
  <conditionalFormatting sqref="L893:L895">
    <cfRule type="containsText" dxfId="4419" priority="4429" operator="containsText" text="Atendida">
      <formula>NOT(ISERROR(SEARCH("Atendida",L893)))</formula>
    </cfRule>
  </conditionalFormatting>
  <conditionalFormatting sqref="L893:L895">
    <cfRule type="containsText" dxfId="4418" priority="4420" operator="containsText" text="RECHAZADA">
      <formula>NOT(ISERROR(SEARCH("RECHAZADA",L893)))</formula>
    </cfRule>
  </conditionalFormatting>
  <conditionalFormatting sqref="L893:L895">
    <cfRule type="containsText" dxfId="4417" priority="4419" operator="containsText" text="Reasignación">
      <formula>NOT(ISERROR(SEARCH("Reasignación",L893)))</formula>
    </cfRule>
  </conditionalFormatting>
  <conditionalFormatting sqref="L893:L895">
    <cfRule type="containsText" dxfId="4416" priority="4423" operator="containsText" text="RECHAZADA">
      <formula>NOT(ISERROR(SEARCH("RECHAZADA",L893)))</formula>
    </cfRule>
    <cfRule type="containsText" dxfId="4415" priority="4424" operator="containsText" text="Atendida">
      <formula>NOT(ISERROR(SEARCH("Atendida",L893)))</formula>
    </cfRule>
    <cfRule type="containsText" dxfId="4414" priority="4425" operator="containsText" text="Reasignación">
      <formula>NOT(ISERROR(SEARCH("Reasignación",L893)))</formula>
    </cfRule>
    <cfRule type="containsText" dxfId="4413" priority="4426" operator="containsText" text="RECHAZADA">
      <formula>NOT(ISERROR(SEARCH("RECHAZADA",L893)))</formula>
    </cfRule>
    <cfRule type="containsText" dxfId="4412" priority="4427" operator="containsText" text="Atendida">
      <formula>NOT(ISERROR(SEARCH("Atendida",L893)))</formula>
    </cfRule>
  </conditionalFormatting>
  <conditionalFormatting sqref="L893:L895">
    <cfRule type="containsText" dxfId="4411" priority="4422" operator="containsText" text="Reasignación">
      <formula>NOT(ISERROR(SEARCH("Reasignación",L893)))</formula>
    </cfRule>
  </conditionalFormatting>
  <conditionalFormatting sqref="L893:L895">
    <cfRule type="containsText" dxfId="4410" priority="4421" operator="containsText" text="Atendida">
      <formula>NOT(ISERROR(SEARCH("Atendida",L893)))</formula>
    </cfRule>
  </conditionalFormatting>
  <conditionalFormatting sqref="L893:L895">
    <cfRule type="containsText" dxfId="4409" priority="4268" operator="containsText" text="RECHAZADA">
      <formula>NOT(ISERROR(SEARCH("RECHAZADA",L893)))</formula>
    </cfRule>
    <cfRule type="containsText" dxfId="4408" priority="4269" operator="containsText" text="Atendida">
      <formula>NOT(ISERROR(SEARCH("Atendida",L893)))</formula>
    </cfRule>
    <cfRule type="containsText" dxfId="4407" priority="4270" operator="containsText" text="Reasignación">
      <formula>NOT(ISERROR(SEARCH("Reasignación",L893)))</formula>
    </cfRule>
    <cfRule type="containsText" dxfId="4406" priority="4271" operator="containsText" text="RECHAZADA">
      <formula>NOT(ISERROR(SEARCH("RECHAZADA",L893)))</formula>
    </cfRule>
    <cfRule type="containsText" dxfId="4405" priority="4272" operator="containsText" text="Atendida">
      <formula>NOT(ISERROR(SEARCH("Atendida",L893)))</formula>
    </cfRule>
    <cfRule type="containsText" dxfId="4404" priority="4273" operator="containsText" text="Reasignación">
      <formula>NOT(ISERROR(SEARCH("Reasignación",L893)))</formula>
    </cfRule>
    <cfRule type="containsText" dxfId="4403" priority="4274" operator="containsText" text="RECHAZADA">
      <formula>NOT(ISERROR(SEARCH("RECHAZADA",L893)))</formula>
    </cfRule>
    <cfRule type="containsText" dxfId="4402" priority="4275" operator="containsText" text="Atendida">
      <formula>NOT(ISERROR(SEARCH("Atendida",L893)))</formula>
    </cfRule>
    <cfRule type="containsText" dxfId="4401" priority="4276" operator="containsText" text="Reasignación">
      <formula>NOT(ISERROR(SEARCH("Reasignación",L893)))</formula>
    </cfRule>
    <cfRule type="containsText" dxfId="4400" priority="4277" operator="containsText" text="RECHAZADA">
      <formula>NOT(ISERROR(SEARCH("RECHAZADA",L893)))</formula>
    </cfRule>
    <cfRule type="containsText" dxfId="4399" priority="4278" operator="containsText" text="Atendida">
      <formula>NOT(ISERROR(SEARCH("Atendida",L893)))</formula>
    </cfRule>
    <cfRule type="containsText" dxfId="4398" priority="4279" operator="containsText" text="Reasignación">
      <formula>NOT(ISERROR(SEARCH("Reasignación",L893)))</formula>
    </cfRule>
    <cfRule type="containsText" dxfId="4397" priority="4280" operator="containsText" text="RECHAZADA">
      <formula>NOT(ISERROR(SEARCH("RECHAZADA",L893)))</formula>
    </cfRule>
    <cfRule type="containsText" dxfId="4396" priority="4281" operator="containsText" text="Atendida">
      <formula>NOT(ISERROR(SEARCH("Atendida",L893)))</formula>
    </cfRule>
    <cfRule type="containsText" dxfId="4395" priority="4282" operator="containsText" text="Reasignación">
      <formula>NOT(ISERROR(SEARCH("Reasignación",L893)))</formula>
    </cfRule>
    <cfRule type="containsText" dxfId="4394" priority="4283" operator="containsText" text="RECHAZADA">
      <formula>NOT(ISERROR(SEARCH("RECHAZADA",L893)))</formula>
    </cfRule>
    <cfRule type="containsText" dxfId="4393" priority="4284" operator="containsText" text="Atendida">
      <formula>NOT(ISERROR(SEARCH("Atendida",L893)))</formula>
    </cfRule>
    <cfRule type="containsText" dxfId="4392" priority="4285" operator="containsText" text="Reasignación">
      <formula>NOT(ISERROR(SEARCH("Reasignación",L893)))</formula>
    </cfRule>
    <cfRule type="containsText" dxfId="4391" priority="4286" operator="containsText" text="RECHAZADA">
      <formula>NOT(ISERROR(SEARCH("RECHAZADA",L893)))</formula>
    </cfRule>
    <cfRule type="containsText" dxfId="4390" priority="4287" operator="containsText" text="Atendida">
      <formula>NOT(ISERROR(SEARCH("Atendida",L893)))</formula>
    </cfRule>
    <cfRule type="containsText" dxfId="4389" priority="4288" operator="containsText" text="Reasignación">
      <formula>NOT(ISERROR(SEARCH("Reasignación",L893)))</formula>
    </cfRule>
    <cfRule type="containsText" dxfId="4388" priority="4289" operator="containsText" text="RECHAZADA">
      <formula>NOT(ISERROR(SEARCH("RECHAZADA",L893)))</formula>
    </cfRule>
    <cfRule type="containsText" dxfId="4387" priority="4290" operator="containsText" text="Atendida">
      <formula>NOT(ISERROR(SEARCH("Atendida",L893)))</formula>
    </cfRule>
    <cfRule type="containsText" dxfId="4386" priority="4291" operator="containsText" text="Reasignación">
      <formula>NOT(ISERROR(SEARCH("Reasignación",L893)))</formula>
    </cfRule>
    <cfRule type="containsText" dxfId="4385" priority="4292" operator="containsText" text="RECHAZADA">
      <formula>NOT(ISERROR(SEARCH("RECHAZADA",L893)))</formula>
    </cfRule>
    <cfRule type="containsText" dxfId="4384" priority="4293" operator="containsText" text="Atendida">
      <formula>NOT(ISERROR(SEARCH("Atendida",L893)))</formula>
    </cfRule>
    <cfRule type="containsText" dxfId="4383" priority="4294" operator="containsText" text="Reasignación">
      <formula>NOT(ISERROR(SEARCH("Reasignación",L893)))</formula>
    </cfRule>
    <cfRule type="containsText" dxfId="4382" priority="4295" operator="containsText" text="RECHAZADA">
      <formula>NOT(ISERROR(SEARCH("RECHAZADA",L893)))</formula>
    </cfRule>
    <cfRule type="containsText" dxfId="4381" priority="4296" operator="containsText" text="Atendida">
      <formula>NOT(ISERROR(SEARCH("Atendida",L893)))</formula>
    </cfRule>
    <cfRule type="containsText" dxfId="4380" priority="4297" operator="containsText" text="Reasignación">
      <formula>NOT(ISERROR(SEARCH("Reasignación",L893)))</formula>
    </cfRule>
    <cfRule type="containsText" dxfId="4379" priority="4298" operator="containsText" text="RECHAZADA">
      <formula>NOT(ISERROR(SEARCH("RECHAZADA",L893)))</formula>
    </cfRule>
    <cfRule type="containsText" dxfId="4378" priority="4299" operator="containsText" text="Atendida">
      <formula>NOT(ISERROR(SEARCH("Atendida",L893)))</formula>
    </cfRule>
    <cfRule type="containsText" dxfId="4377" priority="4300" operator="containsText" text="Reasignación">
      <formula>NOT(ISERROR(SEARCH("Reasignación",L893)))</formula>
    </cfRule>
    <cfRule type="containsText" dxfId="4376" priority="4301" operator="containsText" text="RECHAZADA">
      <formula>NOT(ISERROR(SEARCH("RECHAZADA",L893)))</formula>
    </cfRule>
    <cfRule type="containsText" dxfId="4375" priority="4302" operator="containsText" text="Atendida">
      <formula>NOT(ISERROR(SEARCH("Atendida",L893)))</formula>
    </cfRule>
    <cfRule type="containsText" dxfId="4374" priority="4303" operator="containsText" text="Reasignación">
      <formula>NOT(ISERROR(SEARCH("Reasignación",L893)))</formula>
    </cfRule>
    <cfRule type="containsText" dxfId="4373" priority="4304" operator="containsText" text="RECHAZADA">
      <formula>NOT(ISERROR(SEARCH("RECHAZADA",L893)))</formula>
    </cfRule>
    <cfRule type="containsText" dxfId="4372" priority="4305" operator="containsText" text="Atendida">
      <formula>NOT(ISERROR(SEARCH("Atendida",L893)))</formula>
    </cfRule>
    <cfRule type="containsText" dxfId="4371" priority="4306" operator="containsText" text="Reasignación">
      <formula>NOT(ISERROR(SEARCH("Reasignación",L893)))</formula>
    </cfRule>
    <cfRule type="containsText" dxfId="4370" priority="4307" operator="containsText" text="RECHAZADA">
      <formula>NOT(ISERROR(SEARCH("RECHAZADA",L893)))</formula>
    </cfRule>
    <cfRule type="containsText" dxfId="4369" priority="4308" operator="containsText" text="Atendida">
      <formula>NOT(ISERROR(SEARCH("Atendida",L893)))</formula>
    </cfRule>
    <cfRule type="containsText" dxfId="4368" priority="4309" operator="containsText" text="Reasignación">
      <formula>NOT(ISERROR(SEARCH("Reasignación",L893)))</formula>
    </cfRule>
    <cfRule type="containsText" dxfId="4367" priority="4310" operator="containsText" text="RECHAZADA">
      <formula>NOT(ISERROR(SEARCH("RECHAZADA",L893)))</formula>
    </cfRule>
    <cfRule type="containsText" dxfId="4366" priority="4311" operator="containsText" text="Atendida">
      <formula>NOT(ISERROR(SEARCH("Atendida",L893)))</formula>
    </cfRule>
    <cfRule type="containsText" dxfId="4365" priority="4312" operator="containsText" text="Reasignación">
      <formula>NOT(ISERROR(SEARCH("Reasignación",L893)))</formula>
    </cfRule>
    <cfRule type="containsText" dxfId="4364" priority="4313" operator="containsText" text="RECHAZADA">
      <formula>NOT(ISERROR(SEARCH("RECHAZADA",L893)))</formula>
    </cfRule>
    <cfRule type="containsText" dxfId="4363" priority="4314" operator="containsText" text="Atendida">
      <formula>NOT(ISERROR(SEARCH("Atendida",L893)))</formula>
    </cfRule>
    <cfRule type="containsText" dxfId="4362" priority="4315" operator="containsText" text="Reasignación">
      <formula>NOT(ISERROR(SEARCH("Reasignación",L893)))</formula>
    </cfRule>
    <cfRule type="containsText" dxfId="4361" priority="4316" operator="containsText" text="RECHAZADA">
      <formula>NOT(ISERROR(SEARCH("RECHAZADA",L893)))</formula>
    </cfRule>
    <cfRule type="containsText" dxfId="4360" priority="4317" operator="containsText" text="Atendida">
      <formula>NOT(ISERROR(SEARCH("Atendida",L893)))</formula>
    </cfRule>
    <cfRule type="containsText" dxfId="4359" priority="4318" operator="containsText" text="Reasignación">
      <formula>NOT(ISERROR(SEARCH("Reasignación",L893)))</formula>
    </cfRule>
    <cfRule type="containsText" dxfId="4358" priority="4319" operator="containsText" text="RECHAZADA">
      <formula>NOT(ISERROR(SEARCH("RECHAZADA",L893)))</formula>
    </cfRule>
    <cfRule type="containsText" dxfId="4357" priority="4320" operator="containsText" text="Atendida">
      <formula>NOT(ISERROR(SEARCH("Atendida",L893)))</formula>
    </cfRule>
    <cfRule type="containsText" dxfId="4356" priority="4321" operator="containsText" text="Reasignación">
      <formula>NOT(ISERROR(SEARCH("Reasignación",L893)))</formula>
    </cfRule>
    <cfRule type="containsText" dxfId="4355" priority="4322" operator="containsText" text="RECHAZADA">
      <formula>NOT(ISERROR(SEARCH("RECHAZADA",L893)))</formula>
    </cfRule>
    <cfRule type="containsText" dxfId="4354" priority="4323" operator="containsText" text="Atendida">
      <formula>NOT(ISERROR(SEARCH("Atendida",L893)))</formula>
    </cfRule>
    <cfRule type="containsText" dxfId="4353" priority="4324" operator="containsText" text="Reasignación">
      <formula>NOT(ISERROR(SEARCH("Reasignación",L893)))</formula>
    </cfRule>
    <cfRule type="containsText" dxfId="4352" priority="4325" operator="containsText" text="RECHAZADA">
      <formula>NOT(ISERROR(SEARCH("RECHAZADA",L893)))</formula>
    </cfRule>
    <cfRule type="containsText" dxfId="4351" priority="4326" operator="containsText" text="Atendida">
      <formula>NOT(ISERROR(SEARCH("Atendida",L893)))</formula>
    </cfRule>
    <cfRule type="containsText" dxfId="4350" priority="4327" operator="containsText" text="Reasignación">
      <formula>NOT(ISERROR(SEARCH("Reasignación",L893)))</formula>
    </cfRule>
    <cfRule type="containsText" dxfId="4349" priority="4328" operator="containsText" text="RECHAZADA">
      <formula>NOT(ISERROR(SEARCH("RECHAZADA",L893)))</formula>
    </cfRule>
    <cfRule type="containsText" dxfId="4348" priority="4329" operator="containsText" text="Atendida">
      <formula>NOT(ISERROR(SEARCH("Atendida",L893)))</formula>
    </cfRule>
    <cfRule type="containsText" dxfId="4347" priority="4330" operator="containsText" text="Reasignación">
      <formula>NOT(ISERROR(SEARCH("Reasignación",L893)))</formula>
    </cfRule>
    <cfRule type="containsText" dxfId="4346" priority="4331" operator="containsText" text="RECHAZADA">
      <formula>NOT(ISERROR(SEARCH("RECHAZADA",L893)))</formula>
    </cfRule>
    <cfRule type="containsText" dxfId="4345" priority="4332" operator="containsText" text="Atendida">
      <formula>NOT(ISERROR(SEARCH("Atendida",L893)))</formula>
    </cfRule>
    <cfRule type="containsText" dxfId="4344" priority="4333" operator="containsText" text="Reasignación">
      <formula>NOT(ISERROR(SEARCH("Reasignación",L893)))</formula>
    </cfRule>
    <cfRule type="containsText" dxfId="4343" priority="4334" operator="containsText" text="RECHAZADA">
      <formula>NOT(ISERROR(SEARCH("RECHAZADA",L893)))</formula>
    </cfRule>
    <cfRule type="containsText" dxfId="4342" priority="4335" operator="containsText" text="Atendida">
      <formula>NOT(ISERROR(SEARCH("Atendida",L893)))</formula>
    </cfRule>
    <cfRule type="containsText" dxfId="4341" priority="4336" operator="containsText" text="Reasignación">
      <formula>NOT(ISERROR(SEARCH("Reasignación",L893)))</formula>
    </cfRule>
    <cfRule type="containsText" dxfId="4340" priority="4337" operator="containsText" text="RECHAZADA">
      <formula>NOT(ISERROR(SEARCH("RECHAZADA",L893)))</formula>
    </cfRule>
    <cfRule type="containsText" dxfId="4339" priority="4338" operator="containsText" text="Atendida">
      <formula>NOT(ISERROR(SEARCH("Atendida",L893)))</formula>
    </cfRule>
    <cfRule type="containsText" dxfId="4338" priority="4339" operator="containsText" text="Reasignación">
      <formula>NOT(ISERROR(SEARCH("Reasignación",L893)))</formula>
    </cfRule>
    <cfRule type="containsText" dxfId="4337" priority="4340" operator="containsText" text="RECHAZADA">
      <formula>NOT(ISERROR(SEARCH("RECHAZADA",L893)))</formula>
    </cfRule>
    <cfRule type="containsText" dxfId="4336" priority="4341" operator="containsText" text="Atendida">
      <formula>NOT(ISERROR(SEARCH("Atendida",L893)))</formula>
    </cfRule>
    <cfRule type="containsText" dxfId="4335" priority="4342" operator="containsText" text="Reasignación">
      <formula>NOT(ISERROR(SEARCH("Reasignación",L893)))</formula>
    </cfRule>
    <cfRule type="containsText" dxfId="4334" priority="4343" operator="containsText" text="RECHAZADA">
      <formula>NOT(ISERROR(SEARCH("RECHAZADA",L893)))</formula>
    </cfRule>
    <cfRule type="containsText" dxfId="4333" priority="4344" operator="containsText" text="Atendida">
      <formula>NOT(ISERROR(SEARCH("Atendida",L893)))</formula>
    </cfRule>
    <cfRule type="containsText" dxfId="4332" priority="4345" operator="containsText" text="Reasignación">
      <formula>NOT(ISERROR(SEARCH("Reasignación",L893)))</formula>
    </cfRule>
    <cfRule type="containsText" dxfId="4331" priority="4346" operator="containsText" text="RECHAZADA">
      <formula>NOT(ISERROR(SEARCH("RECHAZADA",L893)))</formula>
    </cfRule>
    <cfRule type="containsText" dxfId="4330" priority="4347" operator="containsText" text="Atendida">
      <formula>NOT(ISERROR(SEARCH("Atendida",L893)))</formula>
    </cfRule>
    <cfRule type="containsText" dxfId="4329" priority="4348" operator="containsText" text="Reasignación">
      <formula>NOT(ISERROR(SEARCH("Reasignación",L893)))</formula>
    </cfRule>
    <cfRule type="containsText" dxfId="4328" priority="4349" operator="containsText" text="RECHAZADA">
      <formula>NOT(ISERROR(SEARCH("RECHAZADA",L893)))</formula>
    </cfRule>
    <cfRule type="containsText" dxfId="4327" priority="4350" operator="containsText" text="Atendida">
      <formula>NOT(ISERROR(SEARCH("Atendida",L893)))</formula>
    </cfRule>
    <cfRule type="containsText" dxfId="4326" priority="4351" operator="containsText" text="Reasignación">
      <formula>NOT(ISERROR(SEARCH("Reasignación",L893)))</formula>
    </cfRule>
    <cfRule type="containsText" dxfId="4325" priority="4352" operator="containsText" text="RECHAZADA">
      <formula>NOT(ISERROR(SEARCH("RECHAZADA",L893)))</formula>
    </cfRule>
    <cfRule type="containsText" dxfId="4324" priority="4353" operator="containsText" text="Atendida">
      <formula>NOT(ISERROR(SEARCH("Atendida",L893)))</formula>
    </cfRule>
    <cfRule type="containsText" dxfId="4323" priority="4354" operator="containsText" text="Reasignación">
      <formula>NOT(ISERROR(SEARCH("Reasignación",L893)))</formula>
    </cfRule>
    <cfRule type="containsText" dxfId="4322" priority="4355" operator="containsText" text="RECHAZADA">
      <formula>NOT(ISERROR(SEARCH("RECHAZADA",L893)))</formula>
    </cfRule>
    <cfRule type="containsText" dxfId="4321" priority="4356" operator="containsText" text="Atendida">
      <formula>NOT(ISERROR(SEARCH("Atendida",L893)))</formula>
    </cfRule>
    <cfRule type="containsText" dxfId="4320" priority="4357" operator="containsText" text="Reasignación">
      <formula>NOT(ISERROR(SEARCH("Reasignación",L893)))</formula>
    </cfRule>
    <cfRule type="containsText" dxfId="4319" priority="4358" operator="containsText" text="RECHAZADA">
      <formula>NOT(ISERROR(SEARCH("RECHAZADA",L893)))</formula>
    </cfRule>
    <cfRule type="containsText" dxfId="4318" priority="4359" operator="containsText" text="Atendida">
      <formula>NOT(ISERROR(SEARCH("Atendida",L893)))</formula>
    </cfRule>
    <cfRule type="containsText" dxfId="4317" priority="4360" operator="containsText" text="Reasignación">
      <formula>NOT(ISERROR(SEARCH("Reasignación",L893)))</formula>
    </cfRule>
    <cfRule type="containsText" dxfId="4316" priority="4361" operator="containsText" text="RECHAZADA">
      <formula>NOT(ISERROR(SEARCH("RECHAZADA",L893)))</formula>
    </cfRule>
    <cfRule type="containsText" dxfId="4315" priority="4362" operator="containsText" text="Atendida">
      <formula>NOT(ISERROR(SEARCH("Atendida",L893)))</formula>
    </cfRule>
    <cfRule type="containsText" dxfId="4314" priority="4363" operator="containsText" text="Reasignación">
      <formula>NOT(ISERROR(SEARCH("Reasignación",L893)))</formula>
    </cfRule>
    <cfRule type="containsText" dxfId="4313" priority="4364" operator="containsText" text="RECHAZADA">
      <formula>NOT(ISERROR(SEARCH("RECHAZADA",L893)))</formula>
    </cfRule>
    <cfRule type="containsText" dxfId="4312" priority="4365" operator="containsText" text="Atendida">
      <formula>NOT(ISERROR(SEARCH("Atendida",L893)))</formula>
    </cfRule>
    <cfRule type="containsText" dxfId="4311" priority="4366" operator="containsText" text="Reasignación">
      <formula>NOT(ISERROR(SEARCH("Reasignación",L893)))</formula>
    </cfRule>
    <cfRule type="containsText" dxfId="4310" priority="4367" operator="containsText" text="RECHAZADA">
      <formula>NOT(ISERROR(SEARCH("RECHAZADA",L893)))</formula>
    </cfRule>
    <cfRule type="containsText" dxfId="4309" priority="4368" operator="containsText" text="Atendida">
      <formula>NOT(ISERROR(SEARCH("Atendida",L893)))</formula>
    </cfRule>
    <cfRule type="containsText" dxfId="4308" priority="4369" operator="containsText" text="Reasignación">
      <formula>NOT(ISERROR(SEARCH("Reasignación",L893)))</formula>
    </cfRule>
    <cfRule type="containsText" dxfId="4307" priority="4370" operator="containsText" text="RECHAZADA">
      <formula>NOT(ISERROR(SEARCH("RECHAZADA",L893)))</formula>
    </cfRule>
    <cfRule type="containsText" dxfId="4306" priority="4371" operator="containsText" text="Atendida">
      <formula>NOT(ISERROR(SEARCH("Atendida",L893)))</formula>
    </cfRule>
    <cfRule type="containsText" dxfId="4305" priority="4372" operator="containsText" text="Reasignación">
      <formula>NOT(ISERROR(SEARCH("Reasignación",L893)))</formula>
    </cfRule>
    <cfRule type="containsText" dxfId="4304" priority="4373" operator="containsText" text="RECHAZADA">
      <formula>NOT(ISERROR(SEARCH("RECHAZADA",L893)))</formula>
    </cfRule>
    <cfRule type="containsText" dxfId="4303" priority="4374" operator="containsText" text="Atendida">
      <formula>NOT(ISERROR(SEARCH("Atendida",L893)))</formula>
    </cfRule>
    <cfRule type="containsText" dxfId="4302" priority="4375" operator="containsText" text="Reasignación">
      <formula>NOT(ISERROR(SEARCH("Reasignación",L893)))</formula>
    </cfRule>
    <cfRule type="containsText" dxfId="4301" priority="4376" operator="containsText" text="RECHAZADA">
      <formula>NOT(ISERROR(SEARCH("RECHAZADA",L893)))</formula>
    </cfRule>
    <cfRule type="containsText" dxfId="4300" priority="4377" operator="containsText" text="Atendida">
      <formula>NOT(ISERROR(SEARCH("Atendida",L893)))</formula>
    </cfRule>
    <cfRule type="containsText" dxfId="4299" priority="4378" operator="containsText" text="Reasignación">
      <formula>NOT(ISERROR(SEARCH("Reasignación",L893)))</formula>
    </cfRule>
    <cfRule type="containsText" dxfId="4298" priority="4379" operator="containsText" text="RECHAZADA">
      <formula>NOT(ISERROR(SEARCH("RECHAZADA",L893)))</formula>
    </cfRule>
    <cfRule type="containsText" dxfId="4297" priority="4380" operator="containsText" text="Atendida">
      <formula>NOT(ISERROR(SEARCH("Atendida",L893)))</formula>
    </cfRule>
    <cfRule type="containsText" dxfId="4296" priority="4381" operator="containsText" text="Reasignación">
      <formula>NOT(ISERROR(SEARCH("Reasignación",L893)))</formula>
    </cfRule>
    <cfRule type="containsText" dxfId="4295" priority="4382" operator="containsText" text="RECHAZADA">
      <formula>NOT(ISERROR(SEARCH("RECHAZADA",L893)))</formula>
    </cfRule>
    <cfRule type="containsText" dxfId="4294" priority="4383" operator="containsText" text="Atendida">
      <formula>NOT(ISERROR(SEARCH("Atendida",L893)))</formula>
    </cfRule>
    <cfRule type="containsText" dxfId="4293" priority="4384" operator="containsText" text="Reasignación">
      <formula>NOT(ISERROR(SEARCH("Reasignación",L893)))</formula>
    </cfRule>
    <cfRule type="containsText" dxfId="4292" priority="4385" operator="containsText" text="RECHAZADA">
      <formula>NOT(ISERROR(SEARCH("RECHAZADA",L893)))</formula>
    </cfRule>
    <cfRule type="containsText" dxfId="4291" priority="4386" operator="containsText" text="Atendida">
      <formula>NOT(ISERROR(SEARCH("Atendida",L893)))</formula>
    </cfRule>
    <cfRule type="containsText" dxfId="4290" priority="4387" operator="containsText" text="Reasignación">
      <formula>NOT(ISERROR(SEARCH("Reasignación",L893)))</formula>
    </cfRule>
    <cfRule type="containsText" dxfId="4289" priority="4388" operator="containsText" text="RECHAZADA">
      <formula>NOT(ISERROR(SEARCH("RECHAZADA",L893)))</formula>
    </cfRule>
    <cfRule type="containsText" dxfId="4288" priority="4389" operator="containsText" text="Atendida">
      <formula>NOT(ISERROR(SEARCH("Atendida",L893)))</formula>
    </cfRule>
    <cfRule type="containsText" dxfId="4287" priority="4390" operator="containsText" text="Atendida">
      <formula>NOT(ISERROR(SEARCH("Atendida",L893)))</formula>
    </cfRule>
    <cfRule type="containsText" dxfId="4286" priority="4391" operator="containsText" text="Atendida">
      <formula>NOT(ISERROR(SEARCH("Atendida",L893)))</formula>
    </cfRule>
    <cfRule type="containsText" dxfId="4285" priority="4392" operator="containsText" text="Reasignación">
      <formula>NOT(ISERROR(SEARCH("Reasignación",L893)))</formula>
    </cfRule>
    <cfRule type="containsText" dxfId="4284" priority="4393" operator="containsText" text="RECHAZADA">
      <formula>NOT(ISERROR(SEARCH("RECHAZADA",L893)))</formula>
    </cfRule>
    <cfRule type="containsText" dxfId="4283" priority="4394" operator="containsText" text="Atendida">
      <formula>NOT(ISERROR(SEARCH("Atendida",L893)))</formula>
    </cfRule>
    <cfRule type="containsText" dxfId="4282" priority="4395" operator="containsText" text="Reasignación">
      <formula>NOT(ISERROR(SEARCH("Reasignación",L893)))</formula>
    </cfRule>
    <cfRule type="containsText" dxfId="4281" priority="4396" operator="containsText" text="RECHAZADA">
      <formula>NOT(ISERROR(SEARCH("RECHAZADA",L893)))</formula>
    </cfRule>
    <cfRule type="containsText" dxfId="4280" priority="4397" operator="containsText" text="Atendida">
      <formula>NOT(ISERROR(SEARCH("Atendida",L893)))</formula>
    </cfRule>
    <cfRule type="containsText" dxfId="4279" priority="4398" operator="containsText" text="Reasignación">
      <formula>NOT(ISERROR(SEARCH("Reasignación",L893)))</formula>
    </cfRule>
    <cfRule type="containsText" dxfId="4278" priority="4399" operator="containsText" text="RECHAZADA">
      <formula>NOT(ISERROR(SEARCH("RECHAZADA",L893)))</formula>
    </cfRule>
    <cfRule type="containsText" dxfId="4277" priority="4400" operator="containsText" text="Atendida">
      <formula>NOT(ISERROR(SEARCH("Atendida",L893)))</formula>
    </cfRule>
    <cfRule type="containsText" dxfId="4276" priority="4401" operator="containsText" text="Reasignación">
      <formula>NOT(ISERROR(SEARCH("Reasignación",L893)))</formula>
    </cfRule>
    <cfRule type="containsText" dxfId="4275" priority="4402" operator="containsText" text="RECHAZADA">
      <formula>NOT(ISERROR(SEARCH("RECHAZADA",L893)))</formula>
    </cfRule>
    <cfRule type="containsText" dxfId="4274" priority="4403" operator="containsText" text="Atendida">
      <formula>NOT(ISERROR(SEARCH("Atendida",L893)))</formula>
    </cfRule>
    <cfRule type="containsText" dxfId="4273" priority="4404" operator="containsText" text="Atendida">
      <formula>NOT(ISERROR(SEARCH("Atendida",L893)))</formula>
    </cfRule>
    <cfRule type="containsText" dxfId="4272" priority="4405" operator="containsText" text="Reasignación">
      <formula>NOT(ISERROR(SEARCH("Reasignación",L893)))</formula>
    </cfRule>
    <cfRule type="containsText" dxfId="4271" priority="4406" operator="containsText" text="RECHAZADA">
      <formula>NOT(ISERROR(SEARCH("RECHAZADA",L893)))</formula>
    </cfRule>
    <cfRule type="containsText" dxfId="4270" priority="4407" operator="containsText" text="Atendida">
      <formula>NOT(ISERROR(SEARCH("Atendida",L893)))</formula>
    </cfRule>
    <cfRule type="containsText" dxfId="4269" priority="4408" operator="containsText" text="Reasignación">
      <formula>NOT(ISERROR(SEARCH("Reasignación",L893)))</formula>
    </cfRule>
    <cfRule type="containsText" dxfId="4268" priority="4409" operator="containsText" text="RECHAZADA">
      <formula>NOT(ISERROR(SEARCH("RECHAZADA",L893)))</formula>
    </cfRule>
    <cfRule type="containsText" dxfId="4267" priority="4410" operator="containsText" text="Atendida">
      <formula>NOT(ISERROR(SEARCH("Atendida",L893)))</formula>
    </cfRule>
    <cfRule type="containsText" dxfId="4266" priority="4411" operator="containsText" text="Reasignación">
      <formula>NOT(ISERROR(SEARCH("Reasignación",L893)))</formula>
    </cfRule>
    <cfRule type="containsText" dxfId="4265" priority="4412" operator="containsText" text="RECHAZADA">
      <formula>NOT(ISERROR(SEARCH("RECHAZADA",L893)))</formula>
    </cfRule>
    <cfRule type="containsText" dxfId="4264" priority="4413" operator="containsText" text="Atendida">
      <formula>NOT(ISERROR(SEARCH("Atendida",L893)))</formula>
    </cfRule>
    <cfRule type="containsText" dxfId="4263" priority="4414" operator="containsText" text="RECHAZADA">
      <formula>NOT(ISERROR(SEARCH("RECHAZADA",L893)))</formula>
    </cfRule>
    <cfRule type="containsText" dxfId="4262" priority="4415" operator="containsText" text="Atendida">
      <formula>NOT(ISERROR(SEARCH("Atendida",L893)))</formula>
    </cfRule>
    <cfRule type="containsText" dxfId="4261" priority="4416" operator="containsText" text="Reasignación">
      <formula>NOT(ISERROR(SEARCH("Reasignación",L893)))</formula>
    </cfRule>
    <cfRule type="containsText" dxfId="4260" priority="4417" operator="containsText" text="RECHAZADA">
      <formula>NOT(ISERROR(SEARCH("RECHAZADA",L893)))</formula>
    </cfRule>
    <cfRule type="containsText" dxfId="4259" priority="4418" operator="containsText" text="Atendida">
      <formula>NOT(ISERROR(SEARCH("Atendida",L893)))</formula>
    </cfRule>
  </conditionalFormatting>
  <conditionalFormatting sqref="L893:L895">
    <cfRule type="containsText" dxfId="4258" priority="4267" operator="containsText" text="Reasignación">
      <formula>NOT(ISERROR(SEARCH("Reasignación",L893)))</formula>
    </cfRule>
  </conditionalFormatting>
  <conditionalFormatting sqref="L896">
    <cfRule type="containsText" dxfId="4257" priority="4261" operator="containsText" text="RECHAZADA">
      <formula>NOT(ISERROR(SEARCH("RECHAZADA",L896)))</formula>
    </cfRule>
    <cfRule type="containsText" dxfId="4256" priority="4262" operator="containsText" text="Atendida">
      <formula>NOT(ISERROR(SEARCH("Atendida",L896)))</formula>
    </cfRule>
  </conditionalFormatting>
  <conditionalFormatting sqref="L896">
    <cfRule type="containsText" dxfId="4255" priority="4260" operator="containsText" text="Reasignación">
      <formula>NOT(ISERROR(SEARCH("Reasignación",L896)))</formula>
    </cfRule>
  </conditionalFormatting>
  <conditionalFormatting sqref="L896">
    <cfRule type="containsText" dxfId="4254" priority="4258" operator="containsText" text="RECHAZADA">
      <formula>NOT(ISERROR(SEARCH("RECHAZADA",L896)))</formula>
    </cfRule>
  </conditionalFormatting>
  <conditionalFormatting sqref="L896">
    <cfRule type="containsText" dxfId="4253" priority="4259" operator="containsText" text="Atendida">
      <formula>NOT(ISERROR(SEARCH("Atendida",L896)))</formula>
    </cfRule>
  </conditionalFormatting>
  <conditionalFormatting sqref="L896">
    <cfRule type="containsText" dxfId="4252" priority="4250" operator="containsText" text="RECHAZADA">
      <formula>NOT(ISERROR(SEARCH("RECHAZADA",L896)))</formula>
    </cfRule>
  </conditionalFormatting>
  <conditionalFormatting sqref="L896">
    <cfRule type="containsText" dxfId="4251" priority="4249" operator="containsText" text="Reasignación">
      <formula>NOT(ISERROR(SEARCH("Reasignación",L896)))</formula>
    </cfRule>
  </conditionalFormatting>
  <conditionalFormatting sqref="L896">
    <cfRule type="containsText" dxfId="4250" priority="4253" operator="containsText" text="RECHAZADA">
      <formula>NOT(ISERROR(SEARCH("RECHAZADA",L896)))</formula>
    </cfRule>
    <cfRule type="containsText" dxfId="4249" priority="4254" operator="containsText" text="Atendida">
      <formula>NOT(ISERROR(SEARCH("Atendida",L896)))</formula>
    </cfRule>
    <cfRule type="containsText" dxfId="4248" priority="4255" operator="containsText" text="Reasignación">
      <formula>NOT(ISERROR(SEARCH("Reasignación",L896)))</formula>
    </cfRule>
    <cfRule type="containsText" dxfId="4247" priority="4256" operator="containsText" text="RECHAZADA">
      <formula>NOT(ISERROR(SEARCH("RECHAZADA",L896)))</formula>
    </cfRule>
    <cfRule type="containsText" dxfId="4246" priority="4257" operator="containsText" text="Atendida">
      <formula>NOT(ISERROR(SEARCH("Atendida",L896)))</formula>
    </cfRule>
  </conditionalFormatting>
  <conditionalFormatting sqref="L896">
    <cfRule type="containsText" dxfId="4245" priority="4252" operator="containsText" text="Reasignación">
      <formula>NOT(ISERROR(SEARCH("Reasignación",L896)))</formula>
    </cfRule>
  </conditionalFormatting>
  <conditionalFormatting sqref="L896">
    <cfRule type="containsText" dxfId="4244" priority="4251" operator="containsText" text="Atendida">
      <formula>NOT(ISERROR(SEARCH("Atendida",L896)))</formula>
    </cfRule>
  </conditionalFormatting>
  <conditionalFormatting sqref="L896">
    <cfRule type="containsText" dxfId="4243" priority="4098" operator="containsText" text="RECHAZADA">
      <formula>NOT(ISERROR(SEARCH("RECHAZADA",L896)))</formula>
    </cfRule>
    <cfRule type="containsText" dxfId="4242" priority="4099" operator="containsText" text="Atendida">
      <formula>NOT(ISERROR(SEARCH("Atendida",L896)))</formula>
    </cfRule>
    <cfRule type="containsText" dxfId="4241" priority="4100" operator="containsText" text="Reasignación">
      <formula>NOT(ISERROR(SEARCH("Reasignación",L896)))</formula>
    </cfRule>
    <cfRule type="containsText" dxfId="4240" priority="4101" operator="containsText" text="RECHAZADA">
      <formula>NOT(ISERROR(SEARCH("RECHAZADA",L896)))</formula>
    </cfRule>
    <cfRule type="containsText" dxfId="4239" priority="4102" operator="containsText" text="Atendida">
      <formula>NOT(ISERROR(SEARCH("Atendida",L896)))</formula>
    </cfRule>
    <cfRule type="containsText" dxfId="4238" priority="4103" operator="containsText" text="Reasignación">
      <formula>NOT(ISERROR(SEARCH("Reasignación",L896)))</formula>
    </cfRule>
    <cfRule type="containsText" dxfId="4237" priority="4104" operator="containsText" text="RECHAZADA">
      <formula>NOT(ISERROR(SEARCH("RECHAZADA",L896)))</formula>
    </cfRule>
    <cfRule type="containsText" dxfId="4236" priority="4105" operator="containsText" text="Atendida">
      <formula>NOT(ISERROR(SEARCH("Atendida",L896)))</formula>
    </cfRule>
    <cfRule type="containsText" dxfId="4235" priority="4106" operator="containsText" text="Reasignación">
      <formula>NOT(ISERROR(SEARCH("Reasignación",L896)))</formula>
    </cfRule>
    <cfRule type="containsText" dxfId="4234" priority="4107" operator="containsText" text="RECHAZADA">
      <formula>NOT(ISERROR(SEARCH("RECHAZADA",L896)))</formula>
    </cfRule>
    <cfRule type="containsText" dxfId="4233" priority="4108" operator="containsText" text="Atendida">
      <formula>NOT(ISERROR(SEARCH("Atendida",L896)))</formula>
    </cfRule>
    <cfRule type="containsText" dxfId="4232" priority="4109" operator="containsText" text="Reasignación">
      <formula>NOT(ISERROR(SEARCH("Reasignación",L896)))</formula>
    </cfRule>
    <cfRule type="containsText" dxfId="4231" priority="4110" operator="containsText" text="RECHAZADA">
      <formula>NOT(ISERROR(SEARCH("RECHAZADA",L896)))</formula>
    </cfRule>
    <cfRule type="containsText" dxfId="4230" priority="4111" operator="containsText" text="Atendida">
      <formula>NOT(ISERROR(SEARCH("Atendida",L896)))</formula>
    </cfRule>
    <cfRule type="containsText" dxfId="4229" priority="4112" operator="containsText" text="Reasignación">
      <formula>NOT(ISERROR(SEARCH("Reasignación",L896)))</formula>
    </cfRule>
    <cfRule type="containsText" dxfId="4228" priority="4113" operator="containsText" text="RECHAZADA">
      <formula>NOT(ISERROR(SEARCH("RECHAZADA",L896)))</formula>
    </cfRule>
    <cfRule type="containsText" dxfId="4227" priority="4114" operator="containsText" text="Atendida">
      <formula>NOT(ISERROR(SEARCH("Atendida",L896)))</formula>
    </cfRule>
    <cfRule type="containsText" dxfId="4226" priority="4115" operator="containsText" text="Reasignación">
      <formula>NOT(ISERROR(SEARCH("Reasignación",L896)))</formula>
    </cfRule>
    <cfRule type="containsText" dxfId="4225" priority="4116" operator="containsText" text="RECHAZADA">
      <formula>NOT(ISERROR(SEARCH("RECHAZADA",L896)))</formula>
    </cfRule>
    <cfRule type="containsText" dxfId="4224" priority="4117" operator="containsText" text="Atendida">
      <formula>NOT(ISERROR(SEARCH("Atendida",L896)))</formula>
    </cfRule>
    <cfRule type="containsText" dxfId="4223" priority="4118" operator="containsText" text="Reasignación">
      <formula>NOT(ISERROR(SEARCH("Reasignación",L896)))</formula>
    </cfRule>
    <cfRule type="containsText" dxfId="4222" priority="4119" operator="containsText" text="RECHAZADA">
      <formula>NOT(ISERROR(SEARCH("RECHAZADA",L896)))</formula>
    </cfRule>
    <cfRule type="containsText" dxfId="4221" priority="4120" operator="containsText" text="Atendida">
      <formula>NOT(ISERROR(SEARCH("Atendida",L896)))</formula>
    </cfRule>
    <cfRule type="containsText" dxfId="4220" priority="4121" operator="containsText" text="Reasignación">
      <formula>NOT(ISERROR(SEARCH("Reasignación",L896)))</formula>
    </cfRule>
    <cfRule type="containsText" dxfId="4219" priority="4122" operator="containsText" text="RECHAZADA">
      <formula>NOT(ISERROR(SEARCH("RECHAZADA",L896)))</formula>
    </cfRule>
    <cfRule type="containsText" dxfId="4218" priority="4123" operator="containsText" text="Atendida">
      <formula>NOT(ISERROR(SEARCH("Atendida",L896)))</formula>
    </cfRule>
    <cfRule type="containsText" dxfId="4217" priority="4124" operator="containsText" text="Reasignación">
      <formula>NOT(ISERROR(SEARCH("Reasignación",L896)))</formula>
    </cfRule>
    <cfRule type="containsText" dxfId="4216" priority="4125" operator="containsText" text="RECHAZADA">
      <formula>NOT(ISERROR(SEARCH("RECHAZADA",L896)))</formula>
    </cfRule>
    <cfRule type="containsText" dxfId="4215" priority="4126" operator="containsText" text="Atendida">
      <formula>NOT(ISERROR(SEARCH("Atendida",L896)))</formula>
    </cfRule>
    <cfRule type="containsText" dxfId="4214" priority="4127" operator="containsText" text="Reasignación">
      <formula>NOT(ISERROR(SEARCH("Reasignación",L896)))</formula>
    </cfRule>
    <cfRule type="containsText" dxfId="4213" priority="4128" operator="containsText" text="RECHAZADA">
      <formula>NOT(ISERROR(SEARCH("RECHAZADA",L896)))</formula>
    </cfRule>
    <cfRule type="containsText" dxfId="4212" priority="4129" operator="containsText" text="Atendida">
      <formula>NOT(ISERROR(SEARCH("Atendida",L896)))</formula>
    </cfRule>
    <cfRule type="containsText" dxfId="4211" priority="4130" operator="containsText" text="Reasignación">
      <formula>NOT(ISERROR(SEARCH("Reasignación",L896)))</formula>
    </cfRule>
    <cfRule type="containsText" dxfId="4210" priority="4131" operator="containsText" text="RECHAZADA">
      <formula>NOT(ISERROR(SEARCH("RECHAZADA",L896)))</formula>
    </cfRule>
    <cfRule type="containsText" dxfId="4209" priority="4132" operator="containsText" text="Atendida">
      <formula>NOT(ISERROR(SEARCH("Atendida",L896)))</formula>
    </cfRule>
    <cfRule type="containsText" dxfId="4208" priority="4133" operator="containsText" text="Reasignación">
      <formula>NOT(ISERROR(SEARCH("Reasignación",L896)))</formula>
    </cfRule>
    <cfRule type="containsText" dxfId="4207" priority="4134" operator="containsText" text="RECHAZADA">
      <formula>NOT(ISERROR(SEARCH("RECHAZADA",L896)))</formula>
    </cfRule>
    <cfRule type="containsText" dxfId="4206" priority="4135" operator="containsText" text="Atendida">
      <formula>NOT(ISERROR(SEARCH("Atendida",L896)))</formula>
    </cfRule>
    <cfRule type="containsText" dxfId="4205" priority="4136" operator="containsText" text="Reasignación">
      <formula>NOT(ISERROR(SEARCH("Reasignación",L896)))</formula>
    </cfRule>
    <cfRule type="containsText" dxfId="4204" priority="4137" operator="containsText" text="RECHAZADA">
      <formula>NOT(ISERROR(SEARCH("RECHAZADA",L896)))</formula>
    </cfRule>
    <cfRule type="containsText" dxfId="4203" priority="4138" operator="containsText" text="Atendida">
      <formula>NOT(ISERROR(SEARCH("Atendida",L896)))</formula>
    </cfRule>
    <cfRule type="containsText" dxfId="4202" priority="4139" operator="containsText" text="Reasignación">
      <formula>NOT(ISERROR(SEARCH("Reasignación",L896)))</formula>
    </cfRule>
    <cfRule type="containsText" dxfId="4201" priority="4140" operator="containsText" text="RECHAZADA">
      <formula>NOT(ISERROR(SEARCH("RECHAZADA",L896)))</formula>
    </cfRule>
    <cfRule type="containsText" dxfId="4200" priority="4141" operator="containsText" text="Atendida">
      <formula>NOT(ISERROR(SEARCH("Atendida",L896)))</formula>
    </cfRule>
    <cfRule type="containsText" dxfId="4199" priority="4142" operator="containsText" text="Reasignación">
      <formula>NOT(ISERROR(SEARCH("Reasignación",L896)))</formula>
    </cfRule>
    <cfRule type="containsText" dxfId="4198" priority="4143" operator="containsText" text="RECHAZADA">
      <formula>NOT(ISERROR(SEARCH("RECHAZADA",L896)))</formula>
    </cfRule>
    <cfRule type="containsText" dxfId="4197" priority="4144" operator="containsText" text="Atendida">
      <formula>NOT(ISERROR(SEARCH("Atendida",L896)))</formula>
    </cfRule>
    <cfRule type="containsText" dxfId="4196" priority="4145" operator="containsText" text="Reasignación">
      <formula>NOT(ISERROR(SEARCH("Reasignación",L896)))</formula>
    </cfRule>
    <cfRule type="containsText" dxfId="4195" priority="4146" operator="containsText" text="RECHAZADA">
      <formula>NOT(ISERROR(SEARCH("RECHAZADA",L896)))</formula>
    </cfRule>
    <cfRule type="containsText" dxfId="4194" priority="4147" operator="containsText" text="Atendida">
      <formula>NOT(ISERROR(SEARCH("Atendida",L896)))</formula>
    </cfRule>
    <cfRule type="containsText" dxfId="4193" priority="4148" operator="containsText" text="Reasignación">
      <formula>NOT(ISERROR(SEARCH("Reasignación",L896)))</formula>
    </cfRule>
    <cfRule type="containsText" dxfId="4192" priority="4149" operator="containsText" text="RECHAZADA">
      <formula>NOT(ISERROR(SEARCH("RECHAZADA",L896)))</formula>
    </cfRule>
    <cfRule type="containsText" dxfId="4191" priority="4150" operator="containsText" text="Atendida">
      <formula>NOT(ISERROR(SEARCH("Atendida",L896)))</formula>
    </cfRule>
    <cfRule type="containsText" dxfId="4190" priority="4151" operator="containsText" text="Reasignación">
      <formula>NOT(ISERROR(SEARCH("Reasignación",L896)))</formula>
    </cfRule>
    <cfRule type="containsText" dxfId="4189" priority="4152" operator="containsText" text="RECHAZADA">
      <formula>NOT(ISERROR(SEARCH("RECHAZADA",L896)))</formula>
    </cfRule>
    <cfRule type="containsText" dxfId="4188" priority="4153" operator="containsText" text="Atendida">
      <formula>NOT(ISERROR(SEARCH("Atendida",L896)))</formula>
    </cfRule>
    <cfRule type="containsText" dxfId="4187" priority="4154" operator="containsText" text="Reasignación">
      <formula>NOT(ISERROR(SEARCH("Reasignación",L896)))</formula>
    </cfRule>
    <cfRule type="containsText" dxfId="4186" priority="4155" operator="containsText" text="RECHAZADA">
      <formula>NOT(ISERROR(SEARCH("RECHAZADA",L896)))</formula>
    </cfRule>
    <cfRule type="containsText" dxfId="4185" priority="4156" operator="containsText" text="Atendida">
      <formula>NOT(ISERROR(SEARCH("Atendida",L896)))</formula>
    </cfRule>
    <cfRule type="containsText" dxfId="4184" priority="4157" operator="containsText" text="Reasignación">
      <formula>NOT(ISERROR(SEARCH("Reasignación",L896)))</formula>
    </cfRule>
    <cfRule type="containsText" dxfId="4183" priority="4158" operator="containsText" text="RECHAZADA">
      <formula>NOT(ISERROR(SEARCH("RECHAZADA",L896)))</formula>
    </cfRule>
    <cfRule type="containsText" dxfId="4182" priority="4159" operator="containsText" text="Atendida">
      <formula>NOT(ISERROR(SEARCH("Atendida",L896)))</formula>
    </cfRule>
    <cfRule type="containsText" dxfId="4181" priority="4160" operator="containsText" text="Reasignación">
      <formula>NOT(ISERROR(SEARCH("Reasignación",L896)))</formula>
    </cfRule>
    <cfRule type="containsText" dxfId="4180" priority="4161" operator="containsText" text="RECHAZADA">
      <formula>NOT(ISERROR(SEARCH("RECHAZADA",L896)))</formula>
    </cfRule>
    <cfRule type="containsText" dxfId="4179" priority="4162" operator="containsText" text="Atendida">
      <formula>NOT(ISERROR(SEARCH("Atendida",L896)))</formula>
    </cfRule>
    <cfRule type="containsText" dxfId="4178" priority="4163" operator="containsText" text="Reasignación">
      <formula>NOT(ISERROR(SEARCH("Reasignación",L896)))</formula>
    </cfRule>
    <cfRule type="containsText" dxfId="4177" priority="4164" operator="containsText" text="RECHAZADA">
      <formula>NOT(ISERROR(SEARCH("RECHAZADA",L896)))</formula>
    </cfRule>
    <cfRule type="containsText" dxfId="4176" priority="4165" operator="containsText" text="Atendida">
      <formula>NOT(ISERROR(SEARCH("Atendida",L896)))</formula>
    </cfRule>
    <cfRule type="containsText" dxfId="4175" priority="4166" operator="containsText" text="Reasignación">
      <formula>NOT(ISERROR(SEARCH("Reasignación",L896)))</formula>
    </cfRule>
    <cfRule type="containsText" dxfId="4174" priority="4167" operator="containsText" text="RECHAZADA">
      <formula>NOT(ISERROR(SEARCH("RECHAZADA",L896)))</formula>
    </cfRule>
    <cfRule type="containsText" dxfId="4173" priority="4168" operator="containsText" text="Atendida">
      <formula>NOT(ISERROR(SEARCH("Atendida",L896)))</formula>
    </cfRule>
    <cfRule type="containsText" dxfId="4172" priority="4169" operator="containsText" text="Reasignación">
      <formula>NOT(ISERROR(SEARCH("Reasignación",L896)))</formula>
    </cfRule>
    <cfRule type="containsText" dxfId="4171" priority="4170" operator="containsText" text="RECHAZADA">
      <formula>NOT(ISERROR(SEARCH("RECHAZADA",L896)))</formula>
    </cfRule>
    <cfRule type="containsText" dxfId="4170" priority="4171" operator="containsText" text="Atendida">
      <formula>NOT(ISERROR(SEARCH("Atendida",L896)))</formula>
    </cfRule>
    <cfRule type="containsText" dxfId="4169" priority="4172" operator="containsText" text="Reasignación">
      <formula>NOT(ISERROR(SEARCH("Reasignación",L896)))</formula>
    </cfRule>
    <cfRule type="containsText" dxfId="4168" priority="4173" operator="containsText" text="RECHAZADA">
      <formula>NOT(ISERROR(SEARCH("RECHAZADA",L896)))</formula>
    </cfRule>
    <cfRule type="containsText" dxfId="4167" priority="4174" operator="containsText" text="Atendida">
      <formula>NOT(ISERROR(SEARCH("Atendida",L896)))</formula>
    </cfRule>
    <cfRule type="containsText" dxfId="4166" priority="4175" operator="containsText" text="Reasignación">
      <formula>NOT(ISERROR(SEARCH("Reasignación",L896)))</formula>
    </cfRule>
    <cfRule type="containsText" dxfId="4165" priority="4176" operator="containsText" text="RECHAZADA">
      <formula>NOT(ISERROR(SEARCH("RECHAZADA",L896)))</formula>
    </cfRule>
    <cfRule type="containsText" dxfId="4164" priority="4177" operator="containsText" text="Atendida">
      <formula>NOT(ISERROR(SEARCH("Atendida",L896)))</formula>
    </cfRule>
    <cfRule type="containsText" dxfId="4163" priority="4178" operator="containsText" text="Reasignación">
      <formula>NOT(ISERROR(SEARCH("Reasignación",L896)))</formula>
    </cfRule>
    <cfRule type="containsText" dxfId="4162" priority="4179" operator="containsText" text="RECHAZADA">
      <formula>NOT(ISERROR(SEARCH("RECHAZADA",L896)))</formula>
    </cfRule>
    <cfRule type="containsText" dxfId="4161" priority="4180" operator="containsText" text="Atendida">
      <formula>NOT(ISERROR(SEARCH("Atendida",L896)))</formula>
    </cfRule>
    <cfRule type="containsText" dxfId="4160" priority="4181" operator="containsText" text="Reasignación">
      <formula>NOT(ISERROR(SEARCH("Reasignación",L896)))</formula>
    </cfRule>
    <cfRule type="containsText" dxfId="4159" priority="4182" operator="containsText" text="RECHAZADA">
      <formula>NOT(ISERROR(SEARCH("RECHAZADA",L896)))</formula>
    </cfRule>
    <cfRule type="containsText" dxfId="4158" priority="4183" operator="containsText" text="Atendida">
      <formula>NOT(ISERROR(SEARCH("Atendida",L896)))</formula>
    </cfRule>
    <cfRule type="containsText" dxfId="4157" priority="4184" operator="containsText" text="Reasignación">
      <formula>NOT(ISERROR(SEARCH("Reasignación",L896)))</formula>
    </cfRule>
    <cfRule type="containsText" dxfId="4156" priority="4185" operator="containsText" text="RECHAZADA">
      <formula>NOT(ISERROR(SEARCH("RECHAZADA",L896)))</formula>
    </cfRule>
    <cfRule type="containsText" dxfId="4155" priority="4186" operator="containsText" text="Atendida">
      <formula>NOT(ISERROR(SEARCH("Atendida",L896)))</formula>
    </cfRule>
    <cfRule type="containsText" dxfId="4154" priority="4187" operator="containsText" text="Reasignación">
      <formula>NOT(ISERROR(SEARCH("Reasignación",L896)))</formula>
    </cfRule>
    <cfRule type="containsText" dxfId="4153" priority="4188" operator="containsText" text="RECHAZADA">
      <formula>NOT(ISERROR(SEARCH("RECHAZADA",L896)))</formula>
    </cfRule>
    <cfRule type="containsText" dxfId="4152" priority="4189" operator="containsText" text="Atendida">
      <formula>NOT(ISERROR(SEARCH("Atendida",L896)))</formula>
    </cfRule>
    <cfRule type="containsText" dxfId="4151" priority="4190" operator="containsText" text="Reasignación">
      <formula>NOT(ISERROR(SEARCH("Reasignación",L896)))</formula>
    </cfRule>
    <cfRule type="containsText" dxfId="4150" priority="4191" operator="containsText" text="RECHAZADA">
      <formula>NOT(ISERROR(SEARCH("RECHAZADA",L896)))</formula>
    </cfRule>
    <cfRule type="containsText" dxfId="4149" priority="4192" operator="containsText" text="Atendida">
      <formula>NOT(ISERROR(SEARCH("Atendida",L896)))</formula>
    </cfRule>
    <cfRule type="containsText" dxfId="4148" priority="4193" operator="containsText" text="Reasignación">
      <formula>NOT(ISERROR(SEARCH("Reasignación",L896)))</formula>
    </cfRule>
    <cfRule type="containsText" dxfId="4147" priority="4194" operator="containsText" text="RECHAZADA">
      <formula>NOT(ISERROR(SEARCH("RECHAZADA",L896)))</formula>
    </cfRule>
    <cfRule type="containsText" dxfId="4146" priority="4195" operator="containsText" text="Atendida">
      <formula>NOT(ISERROR(SEARCH("Atendida",L896)))</formula>
    </cfRule>
    <cfRule type="containsText" dxfId="4145" priority="4196" operator="containsText" text="Reasignación">
      <formula>NOT(ISERROR(SEARCH("Reasignación",L896)))</formula>
    </cfRule>
    <cfRule type="containsText" dxfId="4144" priority="4197" operator="containsText" text="RECHAZADA">
      <formula>NOT(ISERROR(SEARCH("RECHAZADA",L896)))</formula>
    </cfRule>
    <cfRule type="containsText" dxfId="4143" priority="4198" operator="containsText" text="Atendida">
      <formula>NOT(ISERROR(SEARCH("Atendida",L896)))</formula>
    </cfRule>
    <cfRule type="containsText" dxfId="4142" priority="4199" operator="containsText" text="Reasignación">
      <formula>NOT(ISERROR(SEARCH("Reasignación",L896)))</formula>
    </cfRule>
    <cfRule type="containsText" dxfId="4141" priority="4200" operator="containsText" text="RECHAZADA">
      <formula>NOT(ISERROR(SEARCH("RECHAZADA",L896)))</formula>
    </cfRule>
    <cfRule type="containsText" dxfId="4140" priority="4201" operator="containsText" text="Atendida">
      <formula>NOT(ISERROR(SEARCH("Atendida",L896)))</formula>
    </cfRule>
    <cfRule type="containsText" dxfId="4139" priority="4202" operator="containsText" text="Reasignación">
      <formula>NOT(ISERROR(SEARCH("Reasignación",L896)))</formula>
    </cfRule>
    <cfRule type="containsText" dxfId="4138" priority="4203" operator="containsText" text="RECHAZADA">
      <formula>NOT(ISERROR(SEARCH("RECHAZADA",L896)))</formula>
    </cfRule>
    <cfRule type="containsText" dxfId="4137" priority="4204" operator="containsText" text="Atendida">
      <formula>NOT(ISERROR(SEARCH("Atendida",L896)))</formula>
    </cfRule>
    <cfRule type="containsText" dxfId="4136" priority="4205" operator="containsText" text="Reasignación">
      <formula>NOT(ISERROR(SEARCH("Reasignación",L896)))</formula>
    </cfRule>
    <cfRule type="containsText" dxfId="4135" priority="4206" operator="containsText" text="RECHAZADA">
      <formula>NOT(ISERROR(SEARCH("RECHAZADA",L896)))</formula>
    </cfRule>
    <cfRule type="containsText" dxfId="4134" priority="4207" operator="containsText" text="Atendida">
      <formula>NOT(ISERROR(SEARCH("Atendida",L896)))</formula>
    </cfRule>
    <cfRule type="containsText" dxfId="4133" priority="4208" operator="containsText" text="Reasignación">
      <formula>NOT(ISERROR(SEARCH("Reasignación",L896)))</formula>
    </cfRule>
    <cfRule type="containsText" dxfId="4132" priority="4209" operator="containsText" text="RECHAZADA">
      <formula>NOT(ISERROR(SEARCH("RECHAZADA",L896)))</formula>
    </cfRule>
    <cfRule type="containsText" dxfId="4131" priority="4210" operator="containsText" text="Atendida">
      <formula>NOT(ISERROR(SEARCH("Atendida",L896)))</formula>
    </cfRule>
    <cfRule type="containsText" dxfId="4130" priority="4211" operator="containsText" text="Reasignación">
      <formula>NOT(ISERROR(SEARCH("Reasignación",L896)))</formula>
    </cfRule>
    <cfRule type="containsText" dxfId="4129" priority="4212" operator="containsText" text="RECHAZADA">
      <formula>NOT(ISERROR(SEARCH("RECHAZADA",L896)))</formula>
    </cfRule>
    <cfRule type="containsText" dxfId="4128" priority="4213" operator="containsText" text="Atendida">
      <formula>NOT(ISERROR(SEARCH("Atendida",L896)))</formula>
    </cfRule>
    <cfRule type="containsText" dxfId="4127" priority="4214" operator="containsText" text="Reasignación">
      <formula>NOT(ISERROR(SEARCH("Reasignación",L896)))</formula>
    </cfRule>
    <cfRule type="containsText" dxfId="4126" priority="4215" operator="containsText" text="RECHAZADA">
      <formula>NOT(ISERROR(SEARCH("RECHAZADA",L896)))</formula>
    </cfRule>
    <cfRule type="containsText" dxfId="4125" priority="4216" operator="containsText" text="Atendida">
      <formula>NOT(ISERROR(SEARCH("Atendida",L896)))</formula>
    </cfRule>
    <cfRule type="containsText" dxfId="4124" priority="4217" operator="containsText" text="Reasignación">
      <formula>NOT(ISERROR(SEARCH("Reasignación",L896)))</formula>
    </cfRule>
    <cfRule type="containsText" dxfId="4123" priority="4218" operator="containsText" text="RECHAZADA">
      <formula>NOT(ISERROR(SEARCH("RECHAZADA",L896)))</formula>
    </cfRule>
    <cfRule type="containsText" dxfId="4122" priority="4219" operator="containsText" text="Atendida">
      <formula>NOT(ISERROR(SEARCH("Atendida",L896)))</formula>
    </cfRule>
    <cfRule type="containsText" dxfId="4121" priority="4220" operator="containsText" text="Atendida">
      <formula>NOT(ISERROR(SEARCH("Atendida",L896)))</formula>
    </cfRule>
    <cfRule type="containsText" dxfId="4120" priority="4221" operator="containsText" text="Atendida">
      <formula>NOT(ISERROR(SEARCH("Atendida",L896)))</formula>
    </cfRule>
    <cfRule type="containsText" dxfId="4119" priority="4222" operator="containsText" text="Reasignación">
      <formula>NOT(ISERROR(SEARCH("Reasignación",L896)))</formula>
    </cfRule>
    <cfRule type="containsText" dxfId="4118" priority="4223" operator="containsText" text="RECHAZADA">
      <formula>NOT(ISERROR(SEARCH("RECHAZADA",L896)))</formula>
    </cfRule>
    <cfRule type="containsText" dxfId="4117" priority="4224" operator="containsText" text="Atendida">
      <formula>NOT(ISERROR(SEARCH("Atendida",L896)))</formula>
    </cfRule>
    <cfRule type="containsText" dxfId="4116" priority="4225" operator="containsText" text="Reasignación">
      <formula>NOT(ISERROR(SEARCH("Reasignación",L896)))</formula>
    </cfRule>
    <cfRule type="containsText" dxfId="4115" priority="4226" operator="containsText" text="RECHAZADA">
      <formula>NOT(ISERROR(SEARCH("RECHAZADA",L896)))</formula>
    </cfRule>
    <cfRule type="containsText" dxfId="4114" priority="4227" operator="containsText" text="Atendida">
      <formula>NOT(ISERROR(SEARCH("Atendida",L896)))</formula>
    </cfRule>
    <cfRule type="containsText" dxfId="4113" priority="4228" operator="containsText" text="Reasignación">
      <formula>NOT(ISERROR(SEARCH("Reasignación",L896)))</formula>
    </cfRule>
    <cfRule type="containsText" dxfId="4112" priority="4229" operator="containsText" text="RECHAZADA">
      <formula>NOT(ISERROR(SEARCH("RECHAZADA",L896)))</formula>
    </cfRule>
    <cfRule type="containsText" dxfId="4111" priority="4230" operator="containsText" text="Atendida">
      <formula>NOT(ISERROR(SEARCH("Atendida",L896)))</formula>
    </cfRule>
    <cfRule type="containsText" dxfId="4110" priority="4231" operator="containsText" text="Reasignación">
      <formula>NOT(ISERROR(SEARCH("Reasignación",L896)))</formula>
    </cfRule>
    <cfRule type="containsText" dxfId="4109" priority="4232" operator="containsText" text="RECHAZADA">
      <formula>NOT(ISERROR(SEARCH("RECHAZADA",L896)))</formula>
    </cfRule>
    <cfRule type="containsText" dxfId="4108" priority="4233" operator="containsText" text="Atendida">
      <formula>NOT(ISERROR(SEARCH("Atendida",L896)))</formula>
    </cfRule>
    <cfRule type="containsText" dxfId="4107" priority="4234" operator="containsText" text="Atendida">
      <formula>NOT(ISERROR(SEARCH("Atendida",L896)))</formula>
    </cfRule>
    <cfRule type="containsText" dxfId="4106" priority="4235" operator="containsText" text="Reasignación">
      <formula>NOT(ISERROR(SEARCH("Reasignación",L896)))</formula>
    </cfRule>
    <cfRule type="containsText" dxfId="4105" priority="4236" operator="containsText" text="RECHAZADA">
      <formula>NOT(ISERROR(SEARCH("RECHAZADA",L896)))</formula>
    </cfRule>
    <cfRule type="containsText" dxfId="4104" priority="4237" operator="containsText" text="Atendida">
      <formula>NOT(ISERROR(SEARCH("Atendida",L896)))</formula>
    </cfRule>
    <cfRule type="containsText" dxfId="4103" priority="4238" operator="containsText" text="Reasignación">
      <formula>NOT(ISERROR(SEARCH("Reasignación",L896)))</formula>
    </cfRule>
    <cfRule type="containsText" dxfId="4102" priority="4239" operator="containsText" text="RECHAZADA">
      <formula>NOT(ISERROR(SEARCH("RECHAZADA",L896)))</formula>
    </cfRule>
    <cfRule type="containsText" dxfId="4101" priority="4240" operator="containsText" text="Atendida">
      <formula>NOT(ISERROR(SEARCH("Atendida",L896)))</formula>
    </cfRule>
    <cfRule type="containsText" dxfId="4100" priority="4241" operator="containsText" text="Reasignación">
      <formula>NOT(ISERROR(SEARCH("Reasignación",L896)))</formula>
    </cfRule>
    <cfRule type="containsText" dxfId="4099" priority="4242" operator="containsText" text="RECHAZADA">
      <formula>NOT(ISERROR(SEARCH("RECHAZADA",L896)))</formula>
    </cfRule>
    <cfRule type="containsText" dxfId="4098" priority="4243" operator="containsText" text="Atendida">
      <formula>NOT(ISERROR(SEARCH("Atendida",L896)))</formula>
    </cfRule>
    <cfRule type="containsText" dxfId="4097" priority="4244" operator="containsText" text="RECHAZADA">
      <formula>NOT(ISERROR(SEARCH("RECHAZADA",L896)))</formula>
    </cfRule>
    <cfRule type="containsText" dxfId="4096" priority="4245" operator="containsText" text="Atendida">
      <formula>NOT(ISERROR(SEARCH("Atendida",L896)))</formula>
    </cfRule>
    <cfRule type="containsText" dxfId="4095" priority="4246" operator="containsText" text="Reasignación">
      <formula>NOT(ISERROR(SEARCH("Reasignación",L896)))</formula>
    </cfRule>
    <cfRule type="containsText" dxfId="4094" priority="4247" operator="containsText" text="RECHAZADA">
      <formula>NOT(ISERROR(SEARCH("RECHAZADA",L896)))</formula>
    </cfRule>
    <cfRule type="containsText" dxfId="4093" priority="4248" operator="containsText" text="Atendida">
      <formula>NOT(ISERROR(SEARCH("Atendida",L896)))</formula>
    </cfRule>
  </conditionalFormatting>
  <conditionalFormatting sqref="L896">
    <cfRule type="containsText" dxfId="4092" priority="4097" operator="containsText" text="Reasignación">
      <formula>NOT(ISERROR(SEARCH("Reasignación",L896)))</formula>
    </cfRule>
  </conditionalFormatting>
  <conditionalFormatting sqref="K880:K882 K877:K878">
    <cfRule type="containsText" dxfId="4091" priority="4095" operator="containsText" text="RECHAZADA">
      <formula>NOT(ISERROR(SEARCH("RECHAZADA",K877)))</formula>
    </cfRule>
    <cfRule type="containsText" dxfId="4090" priority="4096" operator="containsText" text="Atendida">
      <formula>NOT(ISERROR(SEARCH("Atendida",K877)))</formula>
    </cfRule>
  </conditionalFormatting>
  <conditionalFormatting sqref="K880:K882 K877:K878">
    <cfRule type="containsText" dxfId="4089" priority="4094" operator="containsText" text="Reasignación">
      <formula>NOT(ISERROR(SEARCH("Reasignación",K877)))</formula>
    </cfRule>
  </conditionalFormatting>
  <conditionalFormatting sqref="K877">
    <cfRule type="containsText" dxfId="4088" priority="4061" operator="containsText" text="Reasignación">
      <formula>NOT(ISERROR(SEARCH("Reasignación",K877)))</formula>
    </cfRule>
    <cfRule type="containsText" dxfId="4087" priority="4062" operator="containsText" text="RECHAZADA">
      <formula>NOT(ISERROR(SEARCH("RECHAZADA",K877)))</formula>
    </cfRule>
    <cfRule type="containsText" dxfId="4086" priority="4063" operator="containsText" text="Atendida">
      <formula>NOT(ISERROR(SEARCH("Atendida",K877)))</formula>
    </cfRule>
  </conditionalFormatting>
  <conditionalFormatting sqref="K881:K882 K877">
    <cfRule type="containsText" dxfId="4085" priority="4089" operator="containsText" text="RECHAZADA">
      <formula>NOT(ISERROR(SEARCH("RECHAZADA",K877)))</formula>
    </cfRule>
    <cfRule type="containsText" dxfId="4084" priority="4090" operator="containsText" text="Atendida">
      <formula>NOT(ISERROR(SEARCH("Atendida",K877)))</formula>
    </cfRule>
    <cfRule type="containsText" dxfId="4083" priority="4091" operator="containsText" text="Reasignación">
      <formula>NOT(ISERROR(SEARCH("Reasignación",K877)))</formula>
    </cfRule>
    <cfRule type="containsText" dxfId="4082" priority="4092" operator="containsText" text="RECHAZADA">
      <formula>NOT(ISERROR(SEARCH("RECHAZADA",K877)))</formula>
    </cfRule>
    <cfRule type="containsText" dxfId="4081" priority="4093" operator="containsText" text="Atendida">
      <formula>NOT(ISERROR(SEARCH("Atendida",K877)))</formula>
    </cfRule>
  </conditionalFormatting>
  <conditionalFormatting sqref="K881:K882 K877">
    <cfRule type="containsText" dxfId="4080" priority="4088" operator="containsText" text="Reasignación">
      <formula>NOT(ISERROR(SEARCH("Reasignación",K877)))</formula>
    </cfRule>
  </conditionalFormatting>
  <conditionalFormatting sqref="K877">
    <cfRule type="containsText" dxfId="4079" priority="4082" operator="containsText" text="Reasignación">
      <formula>NOT(ISERROR(SEARCH("Reasignación",K877)))</formula>
    </cfRule>
    <cfRule type="containsText" dxfId="4078" priority="4083" operator="containsText" text="RECHAZADA">
      <formula>NOT(ISERROR(SEARCH("RECHAZADA",K877)))</formula>
    </cfRule>
    <cfRule type="containsText" dxfId="4077" priority="4084" operator="containsText" text="Atendida">
      <formula>NOT(ISERROR(SEARCH("Atendida",K877)))</formula>
    </cfRule>
    <cfRule type="containsText" dxfId="4076" priority="4085" operator="containsText" text="Reasignación">
      <formula>NOT(ISERROR(SEARCH("Reasignación",K877)))</formula>
    </cfRule>
    <cfRule type="containsText" dxfId="4075" priority="4086" operator="containsText" text="RECHAZADA">
      <formula>NOT(ISERROR(SEARCH("RECHAZADA",K877)))</formula>
    </cfRule>
    <cfRule type="containsText" dxfId="4074" priority="4087" operator="containsText" text="Atendida">
      <formula>NOT(ISERROR(SEARCH("Atendida",K877)))</formula>
    </cfRule>
  </conditionalFormatting>
  <conditionalFormatting sqref="K877">
    <cfRule type="containsText" dxfId="4073" priority="4064" operator="containsText" text="Reasignación">
      <formula>NOT(ISERROR(SEARCH("Reasignación",K877)))</formula>
    </cfRule>
    <cfRule type="containsText" dxfId="4072" priority="4065" operator="containsText" text="RECHAZADA">
      <formula>NOT(ISERROR(SEARCH("RECHAZADA",K877)))</formula>
    </cfRule>
    <cfRule type="containsText" dxfId="4071" priority="4066" operator="containsText" text="Atendida">
      <formula>NOT(ISERROR(SEARCH("Atendida",K877)))</formula>
    </cfRule>
    <cfRule type="containsText" dxfId="4070" priority="4067" operator="containsText" text="Reasignación">
      <formula>NOT(ISERROR(SEARCH("Reasignación",K877)))</formula>
    </cfRule>
    <cfRule type="containsText" dxfId="4069" priority="4068" operator="containsText" text="RECHAZADA">
      <formula>NOT(ISERROR(SEARCH("RECHAZADA",K877)))</formula>
    </cfRule>
    <cfRule type="containsText" dxfId="4068" priority="4069" operator="containsText" text="Atendida">
      <formula>NOT(ISERROR(SEARCH("Atendida",K877)))</formula>
    </cfRule>
    <cfRule type="containsText" dxfId="4067" priority="4070" operator="containsText" text="Reasignación">
      <formula>NOT(ISERROR(SEARCH("Reasignación",K877)))</formula>
    </cfRule>
    <cfRule type="containsText" dxfId="4066" priority="4071" operator="containsText" text="RECHAZADA">
      <formula>NOT(ISERROR(SEARCH("RECHAZADA",K877)))</formula>
    </cfRule>
    <cfRule type="containsText" dxfId="4065" priority="4072" operator="containsText" text="Atendida">
      <formula>NOT(ISERROR(SEARCH("Atendida",K877)))</formula>
    </cfRule>
    <cfRule type="containsText" dxfId="4064" priority="4073" operator="containsText" text="Reasignación">
      <formula>NOT(ISERROR(SEARCH("Reasignación",K877)))</formula>
    </cfRule>
    <cfRule type="containsText" dxfId="4063" priority="4074" operator="containsText" text="RECHAZADA">
      <formula>NOT(ISERROR(SEARCH("RECHAZADA",K877)))</formula>
    </cfRule>
    <cfRule type="containsText" dxfId="4062" priority="4075" operator="containsText" text="Atendida">
      <formula>NOT(ISERROR(SEARCH("Atendida",K877)))</formula>
    </cfRule>
    <cfRule type="containsText" dxfId="4061" priority="4076" operator="containsText" text="Reasignación">
      <formula>NOT(ISERROR(SEARCH("Reasignación",K877)))</formula>
    </cfRule>
    <cfRule type="containsText" dxfId="4060" priority="4077" operator="containsText" text="RECHAZADA">
      <formula>NOT(ISERROR(SEARCH("RECHAZADA",K877)))</formula>
    </cfRule>
    <cfRule type="containsText" dxfId="4059" priority="4078" operator="containsText" text="Atendida">
      <formula>NOT(ISERROR(SEARCH("Atendida",K877)))</formula>
    </cfRule>
    <cfRule type="containsText" dxfId="4058" priority="4079" operator="containsText" text="Reasignación">
      <formula>NOT(ISERROR(SEARCH("Reasignación",K877)))</formula>
    </cfRule>
    <cfRule type="containsText" dxfId="4057" priority="4080" operator="containsText" text="RECHAZADA">
      <formula>NOT(ISERROR(SEARCH("RECHAZADA",K877)))</formula>
    </cfRule>
    <cfRule type="containsText" dxfId="4056" priority="4081" operator="containsText" text="Atendida">
      <formula>NOT(ISERROR(SEARCH("Atendida",K877)))</formula>
    </cfRule>
  </conditionalFormatting>
  <conditionalFormatting sqref="K880:K882 K878">
    <cfRule type="containsText" dxfId="4055" priority="4060" operator="containsText" text="Atendida">
      <formula>NOT(ISERROR(SEARCH("Atendida",K878)))</formula>
    </cfRule>
  </conditionalFormatting>
  <conditionalFormatting sqref="K880:K882 K878">
    <cfRule type="containsText" dxfId="4054" priority="4059" operator="containsText" text="RECHAZADA">
      <formula>NOT(ISERROR(SEARCH("RECHAZADA",K878)))</formula>
    </cfRule>
  </conditionalFormatting>
  <conditionalFormatting sqref="K880:K882 K878">
    <cfRule type="containsText" dxfId="4053" priority="4058" operator="containsText" text="Reasignación">
      <formula>NOT(ISERROR(SEARCH("Reasignación",K878)))</formula>
    </cfRule>
  </conditionalFormatting>
  <conditionalFormatting sqref="K878">
    <cfRule type="containsText" dxfId="4052" priority="4019" operator="containsText" text="Reasignación">
      <formula>NOT(ISERROR(SEARCH("Reasignación",K878)))</formula>
    </cfRule>
    <cfRule type="containsText" dxfId="4051" priority="4020" operator="containsText" text="RECHAZADA">
      <formula>NOT(ISERROR(SEARCH("RECHAZADA",K878)))</formula>
    </cfRule>
    <cfRule type="containsText" dxfId="4050" priority="4021" operator="containsText" text="Atendida">
      <formula>NOT(ISERROR(SEARCH("Atendida",K878)))</formula>
    </cfRule>
    <cfRule type="containsText" dxfId="4049" priority="4022" operator="containsText" text="Reasignación">
      <formula>NOT(ISERROR(SEARCH("Reasignación",K878)))</formula>
    </cfRule>
    <cfRule type="containsText" dxfId="4048" priority="4023" operator="containsText" text="RECHAZADA">
      <formula>NOT(ISERROR(SEARCH("RECHAZADA",K878)))</formula>
    </cfRule>
    <cfRule type="containsText" dxfId="4047" priority="4024" operator="containsText" text="Atendida">
      <formula>NOT(ISERROR(SEARCH("Atendida",K878)))</formula>
    </cfRule>
    <cfRule type="containsText" dxfId="4046" priority="4025" operator="containsText" text="Reasignación">
      <formula>NOT(ISERROR(SEARCH("Reasignación",K878)))</formula>
    </cfRule>
    <cfRule type="containsText" dxfId="4045" priority="4026" operator="containsText" text="RECHAZADA">
      <formula>NOT(ISERROR(SEARCH("RECHAZADA",K878)))</formula>
    </cfRule>
    <cfRule type="containsText" dxfId="4044" priority="4027" operator="containsText" text="Atendida">
      <formula>NOT(ISERROR(SEARCH("Atendida",K878)))</formula>
    </cfRule>
    <cfRule type="containsText" dxfId="4043" priority="4028" operator="containsText" text="Reasignación">
      <formula>NOT(ISERROR(SEARCH("Reasignación",K878)))</formula>
    </cfRule>
    <cfRule type="containsText" dxfId="4042" priority="4029" operator="containsText" text="RECHAZADA">
      <formula>NOT(ISERROR(SEARCH("RECHAZADA",K878)))</formula>
    </cfRule>
    <cfRule type="containsText" dxfId="4041" priority="4030" operator="containsText" text="Atendida">
      <formula>NOT(ISERROR(SEARCH("Atendida",K878)))</formula>
    </cfRule>
    <cfRule type="containsText" dxfId="4040" priority="4031" operator="containsText" text="Reasignación">
      <formula>NOT(ISERROR(SEARCH("Reasignación",K878)))</formula>
    </cfRule>
    <cfRule type="containsText" dxfId="4039" priority="4032" operator="containsText" text="RECHAZADA">
      <formula>NOT(ISERROR(SEARCH("RECHAZADA",K878)))</formula>
    </cfRule>
    <cfRule type="containsText" dxfId="4038" priority="4033" operator="containsText" text="Atendida">
      <formula>NOT(ISERROR(SEARCH("Atendida",K878)))</formula>
    </cfRule>
    <cfRule type="containsText" dxfId="4037" priority="4034" operator="containsText" text="Reasignación">
      <formula>NOT(ISERROR(SEARCH("Reasignación",K878)))</formula>
    </cfRule>
    <cfRule type="containsText" dxfId="4036" priority="4035" operator="containsText" text="RECHAZADA">
      <formula>NOT(ISERROR(SEARCH("RECHAZADA",K878)))</formula>
    </cfRule>
    <cfRule type="containsText" dxfId="4035" priority="4036" operator="containsText" text="Atendida">
      <formula>NOT(ISERROR(SEARCH("Atendida",K878)))</formula>
    </cfRule>
    <cfRule type="containsText" dxfId="4034" priority="4037" operator="containsText" text="Reasignación">
      <formula>NOT(ISERROR(SEARCH("Reasignación",K878)))</formula>
    </cfRule>
    <cfRule type="containsText" dxfId="4033" priority="4038" operator="containsText" text="RECHAZADA">
      <formula>NOT(ISERROR(SEARCH("RECHAZADA",K878)))</formula>
    </cfRule>
    <cfRule type="containsText" dxfId="4032" priority="4039" operator="containsText" text="Atendida">
      <formula>NOT(ISERROR(SEARCH("Atendida",K878)))</formula>
    </cfRule>
    <cfRule type="containsText" dxfId="4031" priority="4040" operator="containsText" text="Reasignación">
      <formula>NOT(ISERROR(SEARCH("Reasignación",K878)))</formula>
    </cfRule>
    <cfRule type="containsText" dxfId="4030" priority="4041" operator="containsText" text="RECHAZADA">
      <formula>NOT(ISERROR(SEARCH("RECHAZADA",K878)))</formula>
    </cfRule>
    <cfRule type="containsText" dxfId="4029" priority="4042" operator="containsText" text="Atendida">
      <formula>NOT(ISERROR(SEARCH("Atendida",K878)))</formula>
    </cfRule>
    <cfRule type="containsText" dxfId="4028" priority="4043" operator="containsText" text="Reasignación">
      <formula>NOT(ISERROR(SEARCH("Reasignación",K878)))</formula>
    </cfRule>
    <cfRule type="containsText" dxfId="4027" priority="4044" operator="containsText" text="RECHAZADA">
      <formula>NOT(ISERROR(SEARCH("RECHAZADA",K878)))</formula>
    </cfRule>
    <cfRule type="containsText" dxfId="4026" priority="4045" operator="containsText" text="Atendida">
      <formula>NOT(ISERROR(SEARCH("Atendida",K878)))</formula>
    </cfRule>
    <cfRule type="containsText" dxfId="4025" priority="4046" operator="containsText" text="Reasignación">
      <formula>NOT(ISERROR(SEARCH("Reasignación",K878)))</formula>
    </cfRule>
    <cfRule type="containsText" dxfId="4024" priority="4047" operator="containsText" text="RECHAZADA">
      <formula>NOT(ISERROR(SEARCH("RECHAZADA",K878)))</formula>
    </cfRule>
    <cfRule type="containsText" dxfId="4023" priority="4048" operator="containsText" text="Atendida">
      <formula>NOT(ISERROR(SEARCH("Atendida",K878)))</formula>
    </cfRule>
    <cfRule type="containsText" dxfId="4022" priority="4049" operator="containsText" text="Reasignación">
      <formula>NOT(ISERROR(SEARCH("Reasignación",K878)))</formula>
    </cfRule>
    <cfRule type="containsText" dxfId="4021" priority="4050" operator="containsText" text="RECHAZADA">
      <formula>NOT(ISERROR(SEARCH("RECHAZADA",K878)))</formula>
    </cfRule>
    <cfRule type="containsText" dxfId="4020" priority="4051" operator="containsText" text="Atendida">
      <formula>NOT(ISERROR(SEARCH("Atendida",K878)))</formula>
    </cfRule>
    <cfRule type="containsText" dxfId="4019" priority="4052" operator="containsText" text="Reasignación">
      <formula>NOT(ISERROR(SEARCH("Reasignación",K878)))</formula>
    </cfRule>
    <cfRule type="containsText" dxfId="4018" priority="4053" operator="containsText" text="RECHAZADA">
      <formula>NOT(ISERROR(SEARCH("RECHAZADA",K878)))</formula>
    </cfRule>
    <cfRule type="containsText" dxfId="4017" priority="4054" operator="containsText" text="Atendida">
      <formula>NOT(ISERROR(SEARCH("Atendida",K878)))</formula>
    </cfRule>
    <cfRule type="containsText" dxfId="4016" priority="4055" operator="containsText" text="Reasignación">
      <formula>NOT(ISERROR(SEARCH("Reasignación",K878)))</formula>
    </cfRule>
    <cfRule type="containsText" dxfId="4015" priority="4056" operator="containsText" text="RECHAZADA">
      <formula>NOT(ISERROR(SEARCH("RECHAZADA",K878)))</formula>
    </cfRule>
    <cfRule type="containsText" dxfId="4014" priority="4057" operator="containsText" text="Atendida">
      <formula>NOT(ISERROR(SEARCH("Atendida",K878)))</formula>
    </cfRule>
  </conditionalFormatting>
  <conditionalFormatting sqref="K878">
    <cfRule type="containsText" dxfId="4013" priority="4016" operator="containsText" text="Reasignación">
      <formula>NOT(ISERROR(SEARCH("Reasignación",K878)))</formula>
    </cfRule>
    <cfRule type="containsText" dxfId="4012" priority="4017" operator="containsText" text="RECHAZADA">
      <formula>NOT(ISERROR(SEARCH("RECHAZADA",K878)))</formula>
    </cfRule>
    <cfRule type="containsText" dxfId="4011" priority="4018" operator="containsText" text="Atendida">
      <formula>NOT(ISERROR(SEARCH("Atendida",K878)))</formula>
    </cfRule>
  </conditionalFormatting>
  <conditionalFormatting sqref="K880:K882">
    <cfRule type="containsText" dxfId="4010" priority="4015" operator="containsText" text="RECHAZADA">
      <formula>NOT(ISERROR(SEARCH("RECHAZADA",K880)))</formula>
    </cfRule>
  </conditionalFormatting>
  <conditionalFormatting sqref="K879">
    <cfRule type="containsText" dxfId="4009" priority="3982" operator="containsText" text="Reasignación">
      <formula>NOT(ISERROR(SEARCH("Reasignación",K879)))</formula>
    </cfRule>
    <cfRule type="containsText" dxfId="4008" priority="3983" operator="containsText" text="RECHAZADA">
      <formula>NOT(ISERROR(SEARCH("RECHAZADA",K879)))</formula>
    </cfRule>
    <cfRule type="containsText" dxfId="4007" priority="3984" operator="containsText" text="Atendida">
      <formula>NOT(ISERROR(SEARCH("Atendida",K879)))</formula>
    </cfRule>
    <cfRule type="containsText" dxfId="4006" priority="3985" operator="containsText" text="Reasignación">
      <formula>NOT(ISERROR(SEARCH("Reasignación",K879)))</formula>
    </cfRule>
    <cfRule type="containsText" dxfId="4005" priority="3986" operator="containsText" text="RECHAZADA">
      <formula>NOT(ISERROR(SEARCH("RECHAZADA",K879)))</formula>
    </cfRule>
    <cfRule type="containsText" dxfId="4004" priority="3987" operator="containsText" text="Atendida">
      <formula>NOT(ISERROR(SEARCH("Atendida",K879)))</formula>
    </cfRule>
    <cfRule type="containsText" dxfId="4003" priority="3988" operator="containsText" text="Reasignación">
      <formula>NOT(ISERROR(SEARCH("Reasignación",K879)))</formula>
    </cfRule>
    <cfRule type="containsText" dxfId="4002" priority="3989" operator="containsText" text="RECHAZADA">
      <formula>NOT(ISERROR(SEARCH("RECHAZADA",K879)))</formula>
    </cfRule>
    <cfRule type="containsText" dxfId="4001" priority="3990" operator="containsText" text="Atendida">
      <formula>NOT(ISERROR(SEARCH("Atendida",K879)))</formula>
    </cfRule>
    <cfRule type="containsText" dxfId="4000" priority="3991" operator="containsText" text="Reasignación">
      <formula>NOT(ISERROR(SEARCH("Reasignación",K879)))</formula>
    </cfRule>
    <cfRule type="containsText" dxfId="3999" priority="3992" operator="containsText" text="RECHAZADA">
      <formula>NOT(ISERROR(SEARCH("RECHAZADA",K879)))</formula>
    </cfRule>
    <cfRule type="containsText" dxfId="3998" priority="3993" operator="containsText" text="Atendida">
      <formula>NOT(ISERROR(SEARCH("Atendida",K879)))</formula>
    </cfRule>
    <cfRule type="containsText" dxfId="3997" priority="3994" operator="containsText" text="Reasignación">
      <formula>NOT(ISERROR(SEARCH("Reasignación",K879)))</formula>
    </cfRule>
    <cfRule type="containsText" dxfId="3996" priority="3995" operator="containsText" text="RECHAZADA">
      <formula>NOT(ISERROR(SEARCH("RECHAZADA",K879)))</formula>
    </cfRule>
    <cfRule type="containsText" dxfId="3995" priority="3996" operator="containsText" text="Atendida">
      <formula>NOT(ISERROR(SEARCH("Atendida",K879)))</formula>
    </cfRule>
    <cfRule type="containsText" dxfId="3994" priority="3997" operator="containsText" text="Reasignación">
      <formula>NOT(ISERROR(SEARCH("Reasignación",K879)))</formula>
    </cfRule>
    <cfRule type="containsText" dxfId="3993" priority="3998" operator="containsText" text="RECHAZADA">
      <formula>NOT(ISERROR(SEARCH("RECHAZADA",K879)))</formula>
    </cfRule>
    <cfRule type="containsText" dxfId="3992" priority="3999" operator="containsText" text="Atendida">
      <formula>NOT(ISERROR(SEARCH("Atendida",K879)))</formula>
    </cfRule>
    <cfRule type="containsText" dxfId="3991" priority="4000" operator="containsText" text="Reasignación">
      <formula>NOT(ISERROR(SEARCH("Reasignación",K879)))</formula>
    </cfRule>
    <cfRule type="containsText" dxfId="3990" priority="4001" operator="containsText" text="RECHAZADA">
      <formula>NOT(ISERROR(SEARCH("RECHAZADA",K879)))</formula>
    </cfRule>
    <cfRule type="containsText" dxfId="3989" priority="4002" operator="containsText" text="Atendida">
      <formula>NOT(ISERROR(SEARCH("Atendida",K879)))</formula>
    </cfRule>
    <cfRule type="containsText" dxfId="3988" priority="4003" operator="containsText" text="Reasignación">
      <formula>NOT(ISERROR(SEARCH("Reasignación",K879)))</formula>
    </cfRule>
    <cfRule type="containsText" dxfId="3987" priority="4004" operator="containsText" text="RECHAZADA">
      <formula>NOT(ISERROR(SEARCH("RECHAZADA",K879)))</formula>
    </cfRule>
    <cfRule type="containsText" dxfId="3986" priority="4005" operator="containsText" text="Atendida">
      <formula>NOT(ISERROR(SEARCH("Atendida",K879)))</formula>
    </cfRule>
    <cfRule type="containsText" dxfId="3985" priority="4006" operator="containsText" text="Reasignación">
      <formula>NOT(ISERROR(SEARCH("Reasignación",K879)))</formula>
    </cfRule>
    <cfRule type="containsText" dxfId="3984" priority="4007" operator="containsText" text="RECHAZADA">
      <formula>NOT(ISERROR(SEARCH("RECHAZADA",K879)))</formula>
    </cfRule>
    <cfRule type="containsText" dxfId="3983" priority="4008" operator="containsText" text="Atendida">
      <formula>NOT(ISERROR(SEARCH("Atendida",K879)))</formula>
    </cfRule>
    <cfRule type="containsText" dxfId="3982" priority="4009" operator="containsText" text="Reasignación">
      <formula>NOT(ISERROR(SEARCH("Reasignación",K879)))</formula>
    </cfRule>
    <cfRule type="containsText" dxfId="3981" priority="4010" operator="containsText" text="RECHAZADA">
      <formula>NOT(ISERROR(SEARCH("RECHAZADA",K879)))</formula>
    </cfRule>
    <cfRule type="containsText" dxfId="3980" priority="4011" operator="containsText" text="Atendida">
      <formula>NOT(ISERROR(SEARCH("Atendida",K879)))</formula>
    </cfRule>
    <cfRule type="containsText" dxfId="3979" priority="4012" operator="containsText" text="Reasignación">
      <formula>NOT(ISERROR(SEARCH("Reasignación",K879)))</formula>
    </cfRule>
    <cfRule type="containsText" dxfId="3978" priority="4013" operator="containsText" text="RECHAZADA">
      <formula>NOT(ISERROR(SEARCH("RECHAZADA",K879)))</formula>
    </cfRule>
    <cfRule type="containsText" dxfId="3977" priority="4014" operator="containsText" text="Atendida">
      <formula>NOT(ISERROR(SEARCH("Atendida",K879)))</formula>
    </cfRule>
  </conditionalFormatting>
  <conditionalFormatting sqref="K879">
    <cfRule type="containsText" dxfId="3976" priority="3979" operator="containsText" text="Reasignación">
      <formula>NOT(ISERROR(SEARCH("Reasignación",K879)))</formula>
    </cfRule>
    <cfRule type="containsText" dxfId="3975" priority="3980" operator="containsText" text="RECHAZADA">
      <formula>NOT(ISERROR(SEARCH("RECHAZADA",K879)))</formula>
    </cfRule>
    <cfRule type="containsText" dxfId="3974" priority="3981" operator="containsText" text="Atendida">
      <formula>NOT(ISERROR(SEARCH("Atendida",K879)))</formula>
    </cfRule>
  </conditionalFormatting>
  <conditionalFormatting sqref="K880">
    <cfRule type="containsText" dxfId="3973" priority="3977" operator="containsText" text="RECHAZADA">
      <formula>NOT(ISERROR(SEARCH("RECHAZADA",K880)))</formula>
    </cfRule>
  </conditionalFormatting>
  <conditionalFormatting sqref="K880:K882">
    <cfRule type="containsText" dxfId="3972" priority="3978" operator="containsText" text="Atendida">
      <formula>NOT(ISERROR(SEARCH("Atendida",K880)))</formula>
    </cfRule>
  </conditionalFormatting>
  <conditionalFormatting sqref="K880">
    <cfRule type="containsText" dxfId="3971" priority="3976" operator="containsText" text="Reasignación">
      <formula>NOT(ISERROR(SEARCH("Reasignación",K880)))</formula>
    </cfRule>
  </conditionalFormatting>
  <conditionalFormatting sqref="K880">
    <cfRule type="containsText" dxfId="3970" priority="3975" operator="containsText" text="Atendida">
      <formula>NOT(ISERROR(SEARCH("Atendida",K880)))</formula>
    </cfRule>
  </conditionalFormatting>
  <conditionalFormatting sqref="K880">
    <cfRule type="containsText" dxfId="3969" priority="3973" operator="containsText" text="Reasignación">
      <formula>NOT(ISERROR(SEARCH("Reasignación",K880)))</formula>
    </cfRule>
    <cfRule type="containsText" dxfId="3968" priority="3974" operator="containsText" text="RECHAZADA">
      <formula>NOT(ISERROR(SEARCH("RECHAZADA",K880)))</formula>
    </cfRule>
  </conditionalFormatting>
  <conditionalFormatting sqref="K880">
    <cfRule type="containsText" dxfId="3967" priority="3895" operator="containsText" text="Reasignación">
      <formula>NOT(ISERROR(SEARCH("Reasignación",K880)))</formula>
    </cfRule>
    <cfRule type="containsText" dxfId="3966" priority="3896" operator="containsText" text="RECHAZADA">
      <formula>NOT(ISERROR(SEARCH("RECHAZADA",K880)))</formula>
    </cfRule>
    <cfRule type="containsText" dxfId="3965" priority="3897" operator="containsText" text="Atendida">
      <formula>NOT(ISERROR(SEARCH("Atendida",K880)))</formula>
    </cfRule>
    <cfRule type="containsText" dxfId="3964" priority="3898" operator="containsText" text="Reasignación">
      <formula>NOT(ISERROR(SEARCH("Reasignación",K880)))</formula>
    </cfRule>
    <cfRule type="containsText" dxfId="3963" priority="3899" operator="containsText" text="RECHAZADA">
      <formula>NOT(ISERROR(SEARCH("RECHAZADA",K880)))</formula>
    </cfRule>
    <cfRule type="containsText" dxfId="3962" priority="3900" operator="containsText" text="Atendida">
      <formula>NOT(ISERROR(SEARCH("Atendida",K880)))</formula>
    </cfRule>
    <cfRule type="containsText" dxfId="3961" priority="3901" operator="containsText" text="Reasignación">
      <formula>NOT(ISERROR(SEARCH("Reasignación",K880)))</formula>
    </cfRule>
    <cfRule type="containsText" dxfId="3960" priority="3902" operator="containsText" text="RECHAZADA">
      <formula>NOT(ISERROR(SEARCH("RECHAZADA",K880)))</formula>
    </cfRule>
    <cfRule type="containsText" dxfId="3959" priority="3903" operator="containsText" text="Atendida">
      <formula>NOT(ISERROR(SEARCH("Atendida",K880)))</formula>
    </cfRule>
    <cfRule type="containsText" dxfId="3958" priority="3904" operator="containsText" text="Reasignación">
      <formula>NOT(ISERROR(SEARCH("Reasignación",K880)))</formula>
    </cfRule>
    <cfRule type="containsText" dxfId="3957" priority="3905" operator="containsText" text="RECHAZADA">
      <formula>NOT(ISERROR(SEARCH("RECHAZADA",K880)))</formula>
    </cfRule>
    <cfRule type="containsText" dxfId="3956" priority="3906" operator="containsText" text="Atendida">
      <formula>NOT(ISERROR(SEARCH("Atendida",K880)))</formula>
    </cfRule>
    <cfRule type="containsText" dxfId="3955" priority="3907" operator="containsText" text="Reasignación">
      <formula>NOT(ISERROR(SEARCH("Reasignación",K880)))</formula>
    </cfRule>
    <cfRule type="containsText" dxfId="3954" priority="3908" operator="containsText" text="RECHAZADA">
      <formula>NOT(ISERROR(SEARCH("RECHAZADA",K880)))</formula>
    </cfRule>
    <cfRule type="containsText" dxfId="3953" priority="3909" operator="containsText" text="Atendida">
      <formula>NOT(ISERROR(SEARCH("Atendida",K880)))</formula>
    </cfRule>
    <cfRule type="containsText" dxfId="3952" priority="3910" operator="containsText" text="Reasignación">
      <formula>NOT(ISERROR(SEARCH("Reasignación",K880)))</formula>
    </cfRule>
    <cfRule type="containsText" dxfId="3951" priority="3911" operator="containsText" text="RECHAZADA">
      <formula>NOT(ISERROR(SEARCH("RECHAZADA",K880)))</formula>
    </cfRule>
    <cfRule type="containsText" dxfId="3950" priority="3912" operator="containsText" text="Atendida">
      <formula>NOT(ISERROR(SEARCH("Atendida",K880)))</formula>
    </cfRule>
    <cfRule type="containsText" dxfId="3949" priority="3913" operator="containsText" text="Reasignación">
      <formula>NOT(ISERROR(SEARCH("Reasignación",K880)))</formula>
    </cfRule>
    <cfRule type="containsText" dxfId="3948" priority="3914" operator="containsText" text="RECHAZADA">
      <formula>NOT(ISERROR(SEARCH("RECHAZADA",K880)))</formula>
    </cfRule>
    <cfRule type="containsText" dxfId="3947" priority="3915" operator="containsText" text="Atendida">
      <formula>NOT(ISERROR(SEARCH("Atendida",K880)))</formula>
    </cfRule>
    <cfRule type="containsText" dxfId="3946" priority="3916" operator="containsText" text="Reasignación">
      <formula>NOT(ISERROR(SEARCH("Reasignación",K880)))</formula>
    </cfRule>
    <cfRule type="containsText" dxfId="3945" priority="3917" operator="containsText" text="RECHAZADA">
      <formula>NOT(ISERROR(SEARCH("RECHAZADA",K880)))</formula>
    </cfRule>
    <cfRule type="containsText" dxfId="3944" priority="3918" operator="containsText" text="Atendida">
      <formula>NOT(ISERROR(SEARCH("Atendida",K880)))</formula>
    </cfRule>
    <cfRule type="containsText" dxfId="3943" priority="3919" operator="containsText" text="Reasignación">
      <formula>NOT(ISERROR(SEARCH("Reasignación",K880)))</formula>
    </cfRule>
    <cfRule type="containsText" dxfId="3942" priority="3920" operator="containsText" text="RECHAZADA">
      <formula>NOT(ISERROR(SEARCH("RECHAZADA",K880)))</formula>
    </cfRule>
    <cfRule type="containsText" dxfId="3941" priority="3921" operator="containsText" text="Atendida">
      <formula>NOT(ISERROR(SEARCH("Atendida",K880)))</formula>
    </cfRule>
    <cfRule type="containsText" dxfId="3940" priority="3922" operator="containsText" text="Reasignación">
      <formula>NOT(ISERROR(SEARCH("Reasignación",K880)))</formula>
    </cfRule>
    <cfRule type="containsText" dxfId="3939" priority="3923" operator="containsText" text="RECHAZADA">
      <formula>NOT(ISERROR(SEARCH("RECHAZADA",K880)))</formula>
    </cfRule>
    <cfRule type="containsText" dxfId="3938" priority="3924" operator="containsText" text="Atendida">
      <formula>NOT(ISERROR(SEARCH("Atendida",K880)))</formula>
    </cfRule>
    <cfRule type="containsText" dxfId="3937" priority="3925" operator="containsText" text="Reasignación">
      <formula>NOT(ISERROR(SEARCH("Reasignación",K880)))</formula>
    </cfRule>
    <cfRule type="containsText" dxfId="3936" priority="3926" operator="containsText" text="RECHAZADA">
      <formula>NOT(ISERROR(SEARCH("RECHAZADA",K880)))</formula>
    </cfRule>
    <cfRule type="containsText" dxfId="3935" priority="3927" operator="containsText" text="Atendida">
      <formula>NOT(ISERROR(SEARCH("Atendida",K880)))</formula>
    </cfRule>
    <cfRule type="containsText" dxfId="3934" priority="3928" operator="containsText" text="Reasignación">
      <formula>NOT(ISERROR(SEARCH("Reasignación",K880)))</formula>
    </cfRule>
    <cfRule type="containsText" dxfId="3933" priority="3929" operator="containsText" text="RECHAZADA">
      <formula>NOT(ISERROR(SEARCH("RECHAZADA",K880)))</formula>
    </cfRule>
    <cfRule type="containsText" dxfId="3932" priority="3930" operator="containsText" text="Atendida">
      <formula>NOT(ISERROR(SEARCH("Atendida",K880)))</formula>
    </cfRule>
    <cfRule type="containsText" dxfId="3931" priority="3931" operator="containsText" text="Reasignación">
      <formula>NOT(ISERROR(SEARCH("Reasignación",K880)))</formula>
    </cfRule>
    <cfRule type="containsText" dxfId="3930" priority="3932" operator="containsText" text="RECHAZADA">
      <formula>NOT(ISERROR(SEARCH("RECHAZADA",K880)))</formula>
    </cfRule>
    <cfRule type="containsText" dxfId="3929" priority="3933" operator="containsText" text="Atendida">
      <formula>NOT(ISERROR(SEARCH("Atendida",K880)))</formula>
    </cfRule>
    <cfRule type="containsText" dxfId="3928" priority="3934" operator="containsText" text="Reasignación">
      <formula>NOT(ISERROR(SEARCH("Reasignación",K880)))</formula>
    </cfRule>
    <cfRule type="containsText" dxfId="3927" priority="3935" operator="containsText" text="RECHAZADA">
      <formula>NOT(ISERROR(SEARCH("RECHAZADA",K880)))</formula>
    </cfRule>
    <cfRule type="containsText" dxfId="3926" priority="3936" operator="containsText" text="Atendida">
      <formula>NOT(ISERROR(SEARCH("Atendida",K880)))</formula>
    </cfRule>
    <cfRule type="containsText" dxfId="3925" priority="3937" operator="containsText" text="Reasignación">
      <formula>NOT(ISERROR(SEARCH("Reasignación",K880)))</formula>
    </cfRule>
    <cfRule type="containsText" dxfId="3924" priority="3938" operator="containsText" text="RECHAZADA">
      <formula>NOT(ISERROR(SEARCH("RECHAZADA",K880)))</formula>
    </cfRule>
    <cfRule type="containsText" dxfId="3923" priority="3939" operator="containsText" text="Atendida">
      <formula>NOT(ISERROR(SEARCH("Atendida",K880)))</formula>
    </cfRule>
    <cfRule type="containsText" dxfId="3922" priority="3940" operator="containsText" text="Reasignación">
      <formula>NOT(ISERROR(SEARCH("Reasignación",K880)))</formula>
    </cfRule>
    <cfRule type="containsText" dxfId="3921" priority="3941" operator="containsText" text="RECHAZADA">
      <formula>NOT(ISERROR(SEARCH("RECHAZADA",K880)))</formula>
    </cfRule>
    <cfRule type="containsText" dxfId="3920" priority="3942" operator="containsText" text="Atendida">
      <formula>NOT(ISERROR(SEARCH("Atendida",K880)))</formula>
    </cfRule>
    <cfRule type="containsText" dxfId="3919" priority="3943" operator="containsText" text="Reasignación">
      <formula>NOT(ISERROR(SEARCH("Reasignación",K880)))</formula>
    </cfRule>
    <cfRule type="containsText" dxfId="3918" priority="3944" operator="containsText" text="RECHAZADA">
      <formula>NOT(ISERROR(SEARCH("RECHAZADA",K880)))</formula>
    </cfRule>
    <cfRule type="containsText" dxfId="3917" priority="3945" operator="containsText" text="Atendida">
      <formula>NOT(ISERROR(SEARCH("Atendida",K880)))</formula>
    </cfRule>
    <cfRule type="containsText" dxfId="3916" priority="3946" operator="containsText" text="Reasignación">
      <formula>NOT(ISERROR(SEARCH("Reasignación",K880)))</formula>
    </cfRule>
    <cfRule type="containsText" dxfId="3915" priority="3947" operator="containsText" text="RECHAZADA">
      <formula>NOT(ISERROR(SEARCH("RECHAZADA",K880)))</formula>
    </cfRule>
    <cfRule type="containsText" dxfId="3914" priority="3948" operator="containsText" text="Atendida">
      <formula>NOT(ISERROR(SEARCH("Atendida",K880)))</formula>
    </cfRule>
    <cfRule type="containsText" dxfId="3913" priority="3949" operator="containsText" text="Reasignación">
      <formula>NOT(ISERROR(SEARCH("Reasignación",K880)))</formula>
    </cfRule>
    <cfRule type="containsText" dxfId="3912" priority="3950" operator="containsText" text="RECHAZADA">
      <formula>NOT(ISERROR(SEARCH("RECHAZADA",K880)))</formula>
    </cfRule>
    <cfRule type="containsText" dxfId="3911" priority="3951" operator="containsText" text="Atendida">
      <formula>NOT(ISERROR(SEARCH("Atendida",K880)))</formula>
    </cfRule>
    <cfRule type="containsText" dxfId="3910" priority="3952" operator="containsText" text="Reasignación">
      <formula>NOT(ISERROR(SEARCH("Reasignación",K880)))</formula>
    </cfRule>
    <cfRule type="containsText" dxfId="3909" priority="3953" operator="containsText" text="RECHAZADA">
      <formula>NOT(ISERROR(SEARCH("RECHAZADA",K880)))</formula>
    </cfRule>
    <cfRule type="containsText" dxfId="3908" priority="3954" operator="containsText" text="Atendida">
      <formula>NOT(ISERROR(SEARCH("Atendida",K880)))</formula>
    </cfRule>
    <cfRule type="containsText" dxfId="3907" priority="3955" operator="containsText" text="Reasignación">
      <formula>NOT(ISERROR(SEARCH("Reasignación",K880)))</formula>
    </cfRule>
    <cfRule type="containsText" dxfId="3906" priority="3956" operator="containsText" text="RECHAZADA">
      <formula>NOT(ISERROR(SEARCH("RECHAZADA",K880)))</formula>
    </cfRule>
    <cfRule type="containsText" dxfId="3905" priority="3957" operator="containsText" text="Atendida">
      <formula>NOT(ISERROR(SEARCH("Atendida",K880)))</formula>
    </cfRule>
    <cfRule type="containsText" dxfId="3904" priority="3958" operator="containsText" text="Reasignación">
      <formula>NOT(ISERROR(SEARCH("Reasignación",K880)))</formula>
    </cfRule>
    <cfRule type="containsText" dxfId="3903" priority="3959" operator="containsText" text="RECHAZADA">
      <formula>NOT(ISERROR(SEARCH("RECHAZADA",K880)))</formula>
    </cfRule>
    <cfRule type="containsText" dxfId="3902" priority="3960" operator="containsText" text="Atendida">
      <formula>NOT(ISERROR(SEARCH("Atendida",K880)))</formula>
    </cfRule>
    <cfRule type="containsText" dxfId="3901" priority="3961" operator="containsText" text="Reasignación">
      <formula>NOT(ISERROR(SEARCH("Reasignación",K880)))</formula>
    </cfRule>
    <cfRule type="containsText" dxfId="3900" priority="3962" operator="containsText" text="RECHAZADA">
      <formula>NOT(ISERROR(SEARCH("RECHAZADA",K880)))</formula>
    </cfRule>
    <cfRule type="containsText" dxfId="3899" priority="3963" operator="containsText" text="Atendida">
      <formula>NOT(ISERROR(SEARCH("Atendida",K880)))</formula>
    </cfRule>
    <cfRule type="containsText" dxfId="3898" priority="3964" operator="containsText" text="Reasignación">
      <formula>NOT(ISERROR(SEARCH("Reasignación",K880)))</formula>
    </cfRule>
    <cfRule type="containsText" dxfId="3897" priority="3965" operator="containsText" text="RECHAZADA">
      <formula>NOT(ISERROR(SEARCH("RECHAZADA",K880)))</formula>
    </cfRule>
    <cfRule type="containsText" dxfId="3896" priority="3966" operator="containsText" text="Atendida">
      <formula>NOT(ISERROR(SEARCH("Atendida",K880)))</formula>
    </cfRule>
    <cfRule type="containsText" dxfId="3895" priority="3967" operator="containsText" text="Reasignación">
      <formula>NOT(ISERROR(SEARCH("Reasignación",K880)))</formula>
    </cfRule>
    <cfRule type="containsText" dxfId="3894" priority="3968" operator="containsText" text="RECHAZADA">
      <formula>NOT(ISERROR(SEARCH("RECHAZADA",K880)))</formula>
    </cfRule>
    <cfRule type="containsText" dxfId="3893" priority="3969" operator="containsText" text="Atendida">
      <formula>NOT(ISERROR(SEARCH("Atendida",K880)))</formula>
    </cfRule>
    <cfRule type="containsText" dxfId="3892" priority="3970" operator="containsText" text="Reasignación">
      <formula>NOT(ISERROR(SEARCH("Reasignación",K880)))</formula>
    </cfRule>
    <cfRule type="containsText" dxfId="3891" priority="3971" operator="containsText" text="RECHAZADA">
      <formula>NOT(ISERROR(SEARCH("RECHAZADA",K880)))</formula>
    </cfRule>
    <cfRule type="containsText" dxfId="3890" priority="3972" operator="containsText" text="Atendida">
      <formula>NOT(ISERROR(SEARCH("Atendida",K880)))</formula>
    </cfRule>
  </conditionalFormatting>
  <conditionalFormatting sqref="K880">
    <cfRule type="containsText" dxfId="3889" priority="3893" operator="containsText" text="RECHAZADA">
      <formula>NOT(ISERROR(SEARCH("RECHAZADA",K880)))</formula>
    </cfRule>
    <cfRule type="containsText" dxfId="3888" priority="3894" operator="containsText" text="Atendida">
      <formula>NOT(ISERROR(SEARCH("Atendida",K880)))</formula>
    </cfRule>
  </conditionalFormatting>
  <conditionalFormatting sqref="K880">
    <cfRule type="containsText" dxfId="3887" priority="3892" operator="containsText" text="Reasignación">
      <formula>NOT(ISERROR(SEARCH("Reasignación",K880)))</formula>
    </cfRule>
  </conditionalFormatting>
  <conditionalFormatting sqref="K881">
    <cfRule type="containsText" dxfId="3886" priority="3889" operator="containsText" text="Reasignación">
      <formula>NOT(ISERROR(SEARCH("Reasignación",K881)))</formula>
    </cfRule>
    <cfRule type="containsText" dxfId="3885" priority="3890" operator="containsText" text="RECHAZADA">
      <formula>NOT(ISERROR(SEARCH("RECHAZADA",K881)))</formula>
    </cfRule>
    <cfRule type="containsText" dxfId="3884" priority="3891" operator="containsText" text="Atendida">
      <formula>NOT(ISERROR(SEARCH("Atendida",K881)))</formula>
    </cfRule>
  </conditionalFormatting>
  <conditionalFormatting sqref="K881">
    <cfRule type="containsText" dxfId="3883" priority="3772" operator="containsText" text="Reasignación">
      <formula>NOT(ISERROR(SEARCH("Reasignación",K881)))</formula>
    </cfRule>
    <cfRule type="containsText" dxfId="3882" priority="3773" operator="containsText" text="RECHAZADA">
      <formula>NOT(ISERROR(SEARCH("RECHAZADA",K881)))</formula>
    </cfRule>
    <cfRule type="containsText" dxfId="3881" priority="3774" operator="containsText" text="Atendida">
      <formula>NOT(ISERROR(SEARCH("Atendida",K881)))</formula>
    </cfRule>
    <cfRule type="containsText" dxfId="3880" priority="3775" operator="containsText" text="Reasignación">
      <formula>NOT(ISERROR(SEARCH("Reasignación",K881)))</formula>
    </cfRule>
    <cfRule type="containsText" dxfId="3879" priority="3776" operator="containsText" text="RECHAZADA">
      <formula>NOT(ISERROR(SEARCH("RECHAZADA",K881)))</formula>
    </cfRule>
    <cfRule type="containsText" dxfId="3878" priority="3777" operator="containsText" text="Atendida">
      <formula>NOT(ISERROR(SEARCH("Atendida",K881)))</formula>
    </cfRule>
    <cfRule type="containsText" dxfId="3877" priority="3778" operator="containsText" text="Reasignación">
      <formula>NOT(ISERROR(SEARCH("Reasignación",K881)))</formula>
    </cfRule>
    <cfRule type="containsText" dxfId="3876" priority="3779" operator="containsText" text="RECHAZADA">
      <formula>NOT(ISERROR(SEARCH("RECHAZADA",K881)))</formula>
    </cfRule>
    <cfRule type="containsText" dxfId="3875" priority="3780" operator="containsText" text="Atendida">
      <formula>NOT(ISERROR(SEARCH("Atendida",K881)))</formula>
    </cfRule>
    <cfRule type="containsText" dxfId="3874" priority="3781" operator="containsText" text="Reasignación">
      <formula>NOT(ISERROR(SEARCH("Reasignación",K881)))</formula>
    </cfRule>
    <cfRule type="containsText" dxfId="3873" priority="3782" operator="containsText" text="RECHAZADA">
      <formula>NOT(ISERROR(SEARCH("RECHAZADA",K881)))</formula>
    </cfRule>
    <cfRule type="containsText" dxfId="3872" priority="3783" operator="containsText" text="Atendida">
      <formula>NOT(ISERROR(SEARCH("Atendida",K881)))</formula>
    </cfRule>
    <cfRule type="containsText" dxfId="3871" priority="3784" operator="containsText" text="Reasignación">
      <formula>NOT(ISERROR(SEARCH("Reasignación",K881)))</formula>
    </cfRule>
    <cfRule type="containsText" dxfId="3870" priority="3785" operator="containsText" text="RECHAZADA">
      <formula>NOT(ISERROR(SEARCH("RECHAZADA",K881)))</formula>
    </cfRule>
    <cfRule type="containsText" dxfId="3869" priority="3786" operator="containsText" text="Atendida">
      <formula>NOT(ISERROR(SEARCH("Atendida",K881)))</formula>
    </cfRule>
    <cfRule type="containsText" dxfId="3868" priority="3787" operator="containsText" text="Reasignación">
      <formula>NOT(ISERROR(SEARCH("Reasignación",K881)))</formula>
    </cfRule>
    <cfRule type="containsText" dxfId="3867" priority="3788" operator="containsText" text="RECHAZADA">
      <formula>NOT(ISERROR(SEARCH("RECHAZADA",K881)))</formula>
    </cfRule>
    <cfRule type="containsText" dxfId="3866" priority="3789" operator="containsText" text="Atendida">
      <formula>NOT(ISERROR(SEARCH("Atendida",K881)))</formula>
    </cfRule>
    <cfRule type="containsText" dxfId="3865" priority="3790" operator="containsText" text="Reasignación">
      <formula>NOT(ISERROR(SEARCH("Reasignación",K881)))</formula>
    </cfRule>
    <cfRule type="containsText" dxfId="3864" priority="3791" operator="containsText" text="RECHAZADA">
      <formula>NOT(ISERROR(SEARCH("RECHAZADA",K881)))</formula>
    </cfRule>
    <cfRule type="containsText" dxfId="3863" priority="3792" operator="containsText" text="Atendida">
      <formula>NOT(ISERROR(SEARCH("Atendida",K881)))</formula>
    </cfRule>
    <cfRule type="containsText" dxfId="3862" priority="3793" operator="containsText" text="Reasignación">
      <formula>NOT(ISERROR(SEARCH("Reasignación",K881)))</formula>
    </cfRule>
    <cfRule type="containsText" dxfId="3861" priority="3794" operator="containsText" text="RECHAZADA">
      <formula>NOT(ISERROR(SEARCH("RECHAZADA",K881)))</formula>
    </cfRule>
    <cfRule type="containsText" dxfId="3860" priority="3795" operator="containsText" text="Atendida">
      <formula>NOT(ISERROR(SEARCH("Atendida",K881)))</formula>
    </cfRule>
    <cfRule type="containsText" dxfId="3859" priority="3796" operator="containsText" text="Reasignación">
      <formula>NOT(ISERROR(SEARCH("Reasignación",K881)))</formula>
    </cfRule>
    <cfRule type="containsText" dxfId="3858" priority="3797" operator="containsText" text="RECHAZADA">
      <formula>NOT(ISERROR(SEARCH("RECHAZADA",K881)))</formula>
    </cfRule>
    <cfRule type="containsText" dxfId="3857" priority="3798" operator="containsText" text="Atendida">
      <formula>NOT(ISERROR(SEARCH("Atendida",K881)))</formula>
    </cfRule>
    <cfRule type="containsText" dxfId="3856" priority="3799" operator="containsText" text="Reasignación">
      <formula>NOT(ISERROR(SEARCH("Reasignación",K881)))</formula>
    </cfRule>
    <cfRule type="containsText" dxfId="3855" priority="3800" operator="containsText" text="RECHAZADA">
      <formula>NOT(ISERROR(SEARCH("RECHAZADA",K881)))</formula>
    </cfRule>
    <cfRule type="containsText" dxfId="3854" priority="3801" operator="containsText" text="Atendida">
      <formula>NOT(ISERROR(SEARCH("Atendida",K881)))</formula>
    </cfRule>
    <cfRule type="containsText" dxfId="3853" priority="3802" operator="containsText" text="Reasignación">
      <formula>NOT(ISERROR(SEARCH("Reasignación",K881)))</formula>
    </cfRule>
    <cfRule type="containsText" dxfId="3852" priority="3803" operator="containsText" text="RECHAZADA">
      <formula>NOT(ISERROR(SEARCH("RECHAZADA",K881)))</formula>
    </cfRule>
    <cfRule type="containsText" dxfId="3851" priority="3804" operator="containsText" text="Atendida">
      <formula>NOT(ISERROR(SEARCH("Atendida",K881)))</formula>
    </cfRule>
    <cfRule type="containsText" dxfId="3850" priority="3805" operator="containsText" text="Reasignación">
      <formula>NOT(ISERROR(SEARCH("Reasignación",K881)))</formula>
    </cfRule>
    <cfRule type="containsText" dxfId="3849" priority="3806" operator="containsText" text="RECHAZADA">
      <formula>NOT(ISERROR(SEARCH("RECHAZADA",K881)))</formula>
    </cfRule>
    <cfRule type="containsText" dxfId="3848" priority="3807" operator="containsText" text="Atendida">
      <formula>NOT(ISERROR(SEARCH("Atendida",K881)))</formula>
    </cfRule>
    <cfRule type="containsText" dxfId="3847" priority="3808" operator="containsText" text="Reasignación">
      <formula>NOT(ISERROR(SEARCH("Reasignación",K881)))</formula>
    </cfRule>
    <cfRule type="containsText" dxfId="3846" priority="3809" operator="containsText" text="RECHAZADA">
      <formula>NOT(ISERROR(SEARCH("RECHAZADA",K881)))</formula>
    </cfRule>
    <cfRule type="containsText" dxfId="3845" priority="3810" operator="containsText" text="Atendida">
      <formula>NOT(ISERROR(SEARCH("Atendida",K881)))</formula>
    </cfRule>
    <cfRule type="containsText" dxfId="3844" priority="3811" operator="containsText" text="Reasignación">
      <formula>NOT(ISERROR(SEARCH("Reasignación",K881)))</formula>
    </cfRule>
    <cfRule type="containsText" dxfId="3843" priority="3812" operator="containsText" text="RECHAZADA">
      <formula>NOT(ISERROR(SEARCH("RECHAZADA",K881)))</formula>
    </cfRule>
    <cfRule type="containsText" dxfId="3842" priority="3813" operator="containsText" text="Atendida">
      <formula>NOT(ISERROR(SEARCH("Atendida",K881)))</formula>
    </cfRule>
    <cfRule type="containsText" dxfId="3841" priority="3814" operator="containsText" text="Reasignación">
      <formula>NOT(ISERROR(SEARCH("Reasignación",K881)))</formula>
    </cfRule>
    <cfRule type="containsText" dxfId="3840" priority="3815" operator="containsText" text="RECHAZADA">
      <formula>NOT(ISERROR(SEARCH("RECHAZADA",K881)))</formula>
    </cfRule>
    <cfRule type="containsText" dxfId="3839" priority="3816" operator="containsText" text="Atendida">
      <formula>NOT(ISERROR(SEARCH("Atendida",K881)))</formula>
    </cfRule>
    <cfRule type="containsText" dxfId="3838" priority="3817" operator="containsText" text="Reasignación">
      <formula>NOT(ISERROR(SEARCH("Reasignación",K881)))</formula>
    </cfRule>
    <cfRule type="containsText" dxfId="3837" priority="3818" operator="containsText" text="RECHAZADA">
      <formula>NOT(ISERROR(SEARCH("RECHAZADA",K881)))</formula>
    </cfRule>
    <cfRule type="containsText" dxfId="3836" priority="3819" operator="containsText" text="Atendida">
      <formula>NOT(ISERROR(SEARCH("Atendida",K881)))</formula>
    </cfRule>
    <cfRule type="containsText" dxfId="3835" priority="3820" operator="containsText" text="Reasignación">
      <formula>NOT(ISERROR(SEARCH("Reasignación",K881)))</formula>
    </cfRule>
    <cfRule type="containsText" dxfId="3834" priority="3821" operator="containsText" text="RECHAZADA">
      <formula>NOT(ISERROR(SEARCH("RECHAZADA",K881)))</formula>
    </cfRule>
    <cfRule type="containsText" dxfId="3833" priority="3822" operator="containsText" text="Atendida">
      <formula>NOT(ISERROR(SEARCH("Atendida",K881)))</formula>
    </cfRule>
    <cfRule type="containsText" dxfId="3832" priority="3823" operator="containsText" text="Reasignación">
      <formula>NOT(ISERROR(SEARCH("Reasignación",K881)))</formula>
    </cfRule>
    <cfRule type="containsText" dxfId="3831" priority="3824" operator="containsText" text="RECHAZADA">
      <formula>NOT(ISERROR(SEARCH("RECHAZADA",K881)))</formula>
    </cfRule>
    <cfRule type="containsText" dxfId="3830" priority="3825" operator="containsText" text="Atendida">
      <formula>NOT(ISERROR(SEARCH("Atendida",K881)))</formula>
    </cfRule>
    <cfRule type="containsText" dxfId="3829" priority="3826" operator="containsText" text="Reasignación">
      <formula>NOT(ISERROR(SEARCH("Reasignación",K881)))</formula>
    </cfRule>
    <cfRule type="containsText" dxfId="3828" priority="3827" operator="containsText" text="RECHAZADA">
      <formula>NOT(ISERROR(SEARCH("RECHAZADA",K881)))</formula>
    </cfRule>
    <cfRule type="containsText" dxfId="3827" priority="3828" operator="containsText" text="Atendida">
      <formula>NOT(ISERROR(SEARCH("Atendida",K881)))</formula>
    </cfRule>
    <cfRule type="containsText" dxfId="3826" priority="3829" operator="containsText" text="Reasignación">
      <formula>NOT(ISERROR(SEARCH("Reasignación",K881)))</formula>
    </cfRule>
    <cfRule type="containsText" dxfId="3825" priority="3830" operator="containsText" text="RECHAZADA">
      <formula>NOT(ISERROR(SEARCH("RECHAZADA",K881)))</formula>
    </cfRule>
    <cfRule type="containsText" dxfId="3824" priority="3831" operator="containsText" text="Atendida">
      <formula>NOT(ISERROR(SEARCH("Atendida",K881)))</formula>
    </cfRule>
    <cfRule type="containsText" dxfId="3823" priority="3832" operator="containsText" text="Reasignación">
      <formula>NOT(ISERROR(SEARCH("Reasignación",K881)))</formula>
    </cfRule>
    <cfRule type="containsText" dxfId="3822" priority="3833" operator="containsText" text="RECHAZADA">
      <formula>NOT(ISERROR(SEARCH("RECHAZADA",K881)))</formula>
    </cfRule>
    <cfRule type="containsText" dxfId="3821" priority="3834" operator="containsText" text="Atendida">
      <formula>NOT(ISERROR(SEARCH("Atendida",K881)))</formula>
    </cfRule>
    <cfRule type="containsText" dxfId="3820" priority="3835" operator="containsText" text="Reasignación">
      <formula>NOT(ISERROR(SEARCH("Reasignación",K881)))</formula>
    </cfRule>
    <cfRule type="containsText" dxfId="3819" priority="3836" operator="containsText" text="RECHAZADA">
      <formula>NOT(ISERROR(SEARCH("RECHAZADA",K881)))</formula>
    </cfRule>
    <cfRule type="containsText" dxfId="3818" priority="3837" operator="containsText" text="Atendida">
      <formula>NOT(ISERROR(SEARCH("Atendida",K881)))</formula>
    </cfRule>
    <cfRule type="containsText" dxfId="3817" priority="3838" operator="containsText" text="Reasignación">
      <formula>NOT(ISERROR(SEARCH("Reasignación",K881)))</formula>
    </cfRule>
    <cfRule type="containsText" dxfId="3816" priority="3839" operator="containsText" text="RECHAZADA">
      <formula>NOT(ISERROR(SEARCH("RECHAZADA",K881)))</formula>
    </cfRule>
    <cfRule type="containsText" dxfId="3815" priority="3840" operator="containsText" text="Atendida">
      <formula>NOT(ISERROR(SEARCH("Atendida",K881)))</formula>
    </cfRule>
    <cfRule type="containsText" dxfId="3814" priority="3841" operator="containsText" text="Reasignación">
      <formula>NOT(ISERROR(SEARCH("Reasignación",K881)))</formula>
    </cfRule>
    <cfRule type="containsText" dxfId="3813" priority="3842" operator="containsText" text="RECHAZADA">
      <formula>NOT(ISERROR(SEARCH("RECHAZADA",K881)))</formula>
    </cfRule>
    <cfRule type="containsText" dxfId="3812" priority="3843" operator="containsText" text="Atendida">
      <formula>NOT(ISERROR(SEARCH("Atendida",K881)))</formula>
    </cfRule>
    <cfRule type="containsText" dxfId="3811" priority="3844" operator="containsText" text="Reasignación">
      <formula>NOT(ISERROR(SEARCH("Reasignación",K881)))</formula>
    </cfRule>
    <cfRule type="containsText" dxfId="3810" priority="3845" operator="containsText" text="RECHAZADA">
      <formula>NOT(ISERROR(SEARCH("RECHAZADA",K881)))</formula>
    </cfRule>
    <cfRule type="containsText" dxfId="3809" priority="3846" operator="containsText" text="Atendida">
      <formula>NOT(ISERROR(SEARCH("Atendida",K881)))</formula>
    </cfRule>
    <cfRule type="containsText" dxfId="3808" priority="3847" operator="containsText" text="Reasignación">
      <formula>NOT(ISERROR(SEARCH("Reasignación",K881)))</formula>
    </cfRule>
    <cfRule type="containsText" dxfId="3807" priority="3848" operator="containsText" text="RECHAZADA">
      <formula>NOT(ISERROR(SEARCH("RECHAZADA",K881)))</formula>
    </cfRule>
    <cfRule type="containsText" dxfId="3806" priority="3849" operator="containsText" text="Atendida">
      <formula>NOT(ISERROR(SEARCH("Atendida",K881)))</formula>
    </cfRule>
    <cfRule type="containsText" dxfId="3805" priority="3850" operator="containsText" text="Reasignación">
      <formula>NOT(ISERROR(SEARCH("Reasignación",K881)))</formula>
    </cfRule>
    <cfRule type="containsText" dxfId="3804" priority="3851" operator="containsText" text="RECHAZADA">
      <formula>NOT(ISERROR(SEARCH("RECHAZADA",K881)))</formula>
    </cfRule>
    <cfRule type="containsText" dxfId="3803" priority="3852" operator="containsText" text="Atendida">
      <formula>NOT(ISERROR(SEARCH("Atendida",K881)))</formula>
    </cfRule>
    <cfRule type="containsText" dxfId="3802" priority="3853" operator="containsText" text="Reasignación">
      <formula>NOT(ISERROR(SEARCH("Reasignación",K881)))</formula>
    </cfRule>
    <cfRule type="containsText" dxfId="3801" priority="3854" operator="containsText" text="RECHAZADA">
      <formula>NOT(ISERROR(SEARCH("RECHAZADA",K881)))</formula>
    </cfRule>
    <cfRule type="containsText" dxfId="3800" priority="3855" operator="containsText" text="Atendida">
      <formula>NOT(ISERROR(SEARCH("Atendida",K881)))</formula>
    </cfRule>
    <cfRule type="containsText" dxfId="3799" priority="3856" operator="containsText" text="Reasignación">
      <formula>NOT(ISERROR(SEARCH("Reasignación",K881)))</formula>
    </cfRule>
    <cfRule type="containsText" dxfId="3798" priority="3857" operator="containsText" text="RECHAZADA">
      <formula>NOT(ISERROR(SEARCH("RECHAZADA",K881)))</formula>
    </cfRule>
    <cfRule type="containsText" dxfId="3797" priority="3858" operator="containsText" text="Atendida">
      <formula>NOT(ISERROR(SEARCH("Atendida",K881)))</formula>
    </cfRule>
    <cfRule type="containsText" dxfId="3796" priority="3859" operator="containsText" text="Reasignación">
      <formula>NOT(ISERROR(SEARCH("Reasignación",K881)))</formula>
    </cfRule>
    <cfRule type="containsText" dxfId="3795" priority="3860" operator="containsText" text="RECHAZADA">
      <formula>NOT(ISERROR(SEARCH("RECHAZADA",K881)))</formula>
    </cfRule>
    <cfRule type="containsText" dxfId="3794" priority="3861" operator="containsText" text="Atendida">
      <formula>NOT(ISERROR(SEARCH("Atendida",K881)))</formula>
    </cfRule>
    <cfRule type="containsText" dxfId="3793" priority="3862" operator="containsText" text="Reasignación">
      <formula>NOT(ISERROR(SEARCH("Reasignación",K881)))</formula>
    </cfRule>
    <cfRule type="containsText" dxfId="3792" priority="3863" operator="containsText" text="RECHAZADA">
      <formula>NOT(ISERROR(SEARCH("RECHAZADA",K881)))</formula>
    </cfRule>
    <cfRule type="containsText" dxfId="3791" priority="3864" operator="containsText" text="Atendida">
      <formula>NOT(ISERROR(SEARCH("Atendida",K881)))</formula>
    </cfRule>
    <cfRule type="containsText" dxfId="3790" priority="3865" operator="containsText" text="Reasignación">
      <formula>NOT(ISERROR(SEARCH("Reasignación",K881)))</formula>
    </cfRule>
    <cfRule type="containsText" dxfId="3789" priority="3866" operator="containsText" text="RECHAZADA">
      <formula>NOT(ISERROR(SEARCH("RECHAZADA",K881)))</formula>
    </cfRule>
    <cfRule type="containsText" dxfId="3788" priority="3867" operator="containsText" text="Atendida">
      <formula>NOT(ISERROR(SEARCH("Atendida",K881)))</formula>
    </cfRule>
    <cfRule type="containsText" dxfId="3787" priority="3868" operator="containsText" text="Reasignación">
      <formula>NOT(ISERROR(SEARCH("Reasignación",K881)))</formula>
    </cfRule>
    <cfRule type="containsText" dxfId="3786" priority="3869" operator="containsText" text="RECHAZADA">
      <formula>NOT(ISERROR(SEARCH("RECHAZADA",K881)))</formula>
    </cfRule>
    <cfRule type="containsText" dxfId="3785" priority="3870" operator="containsText" text="Atendida">
      <formula>NOT(ISERROR(SEARCH("Atendida",K881)))</formula>
    </cfRule>
    <cfRule type="containsText" dxfId="3784" priority="3871" operator="containsText" text="Reasignación">
      <formula>NOT(ISERROR(SEARCH("Reasignación",K881)))</formula>
    </cfRule>
    <cfRule type="containsText" dxfId="3783" priority="3872" operator="containsText" text="RECHAZADA">
      <formula>NOT(ISERROR(SEARCH("RECHAZADA",K881)))</formula>
    </cfRule>
    <cfRule type="containsText" dxfId="3782" priority="3873" operator="containsText" text="Atendida">
      <formula>NOT(ISERROR(SEARCH("Atendida",K881)))</formula>
    </cfRule>
    <cfRule type="containsText" dxfId="3781" priority="3874" operator="containsText" text="Reasignación">
      <formula>NOT(ISERROR(SEARCH("Reasignación",K881)))</formula>
    </cfRule>
    <cfRule type="containsText" dxfId="3780" priority="3875" operator="containsText" text="RECHAZADA">
      <formula>NOT(ISERROR(SEARCH("RECHAZADA",K881)))</formula>
    </cfRule>
    <cfRule type="containsText" dxfId="3779" priority="3876" operator="containsText" text="Atendida">
      <formula>NOT(ISERROR(SEARCH("Atendida",K881)))</formula>
    </cfRule>
    <cfRule type="containsText" dxfId="3778" priority="3877" operator="containsText" text="Reasignación">
      <formula>NOT(ISERROR(SEARCH("Reasignación",K881)))</formula>
    </cfRule>
    <cfRule type="containsText" dxfId="3777" priority="3878" operator="containsText" text="RECHAZADA">
      <formula>NOT(ISERROR(SEARCH("RECHAZADA",K881)))</formula>
    </cfRule>
    <cfRule type="containsText" dxfId="3776" priority="3879" operator="containsText" text="Atendida">
      <formula>NOT(ISERROR(SEARCH("Atendida",K881)))</formula>
    </cfRule>
    <cfRule type="containsText" dxfId="3775" priority="3880" operator="containsText" text="Reasignación">
      <formula>NOT(ISERROR(SEARCH("Reasignación",K881)))</formula>
    </cfRule>
    <cfRule type="containsText" dxfId="3774" priority="3881" operator="containsText" text="RECHAZADA">
      <formula>NOT(ISERROR(SEARCH("RECHAZADA",K881)))</formula>
    </cfRule>
    <cfRule type="containsText" dxfId="3773" priority="3882" operator="containsText" text="Atendida">
      <formula>NOT(ISERROR(SEARCH("Atendida",K881)))</formula>
    </cfRule>
    <cfRule type="containsText" dxfId="3772" priority="3883" operator="containsText" text="Reasignación">
      <formula>NOT(ISERROR(SEARCH("Reasignación",K881)))</formula>
    </cfRule>
    <cfRule type="containsText" dxfId="3771" priority="3884" operator="containsText" text="RECHAZADA">
      <formula>NOT(ISERROR(SEARCH("RECHAZADA",K881)))</formula>
    </cfRule>
    <cfRule type="containsText" dxfId="3770" priority="3885" operator="containsText" text="Atendida">
      <formula>NOT(ISERROR(SEARCH("Atendida",K881)))</formula>
    </cfRule>
    <cfRule type="containsText" dxfId="3769" priority="3886" operator="containsText" text="Reasignación">
      <formula>NOT(ISERROR(SEARCH("Reasignación",K881)))</formula>
    </cfRule>
    <cfRule type="containsText" dxfId="3768" priority="3887" operator="containsText" text="RECHAZADA">
      <formula>NOT(ISERROR(SEARCH("RECHAZADA",K881)))</formula>
    </cfRule>
    <cfRule type="containsText" dxfId="3767" priority="3888" operator="containsText" text="Atendida">
      <formula>NOT(ISERROR(SEARCH("Atendida",K881)))</formula>
    </cfRule>
  </conditionalFormatting>
  <conditionalFormatting sqref="K881">
    <cfRule type="containsText" dxfId="3766" priority="3769" operator="containsText" text="Reasignación">
      <formula>NOT(ISERROR(SEARCH("Reasignación",K881)))</formula>
    </cfRule>
    <cfRule type="containsText" dxfId="3765" priority="3770" operator="containsText" text="RECHAZADA">
      <formula>NOT(ISERROR(SEARCH("RECHAZADA",K881)))</formula>
    </cfRule>
    <cfRule type="containsText" dxfId="3764" priority="3771" operator="containsText" text="Atendida">
      <formula>NOT(ISERROR(SEARCH("Atendida",K881)))</formula>
    </cfRule>
  </conditionalFormatting>
  <conditionalFormatting sqref="K882">
    <cfRule type="containsText" dxfId="3763" priority="3766" operator="containsText" text="Reasignación">
      <formula>NOT(ISERROR(SEARCH("Reasignación",K882)))</formula>
    </cfRule>
    <cfRule type="containsText" dxfId="3762" priority="3767" operator="containsText" text="RECHAZADA">
      <formula>NOT(ISERROR(SEARCH("RECHAZADA",K882)))</formula>
    </cfRule>
    <cfRule type="containsText" dxfId="3761" priority="3768" operator="containsText" text="Atendida">
      <formula>NOT(ISERROR(SEARCH("Atendida",K882)))</formula>
    </cfRule>
  </conditionalFormatting>
  <conditionalFormatting sqref="K882">
    <cfRule type="containsText" dxfId="3760" priority="3637" operator="containsText" text="Reasignación">
      <formula>NOT(ISERROR(SEARCH("Reasignación",K882)))</formula>
    </cfRule>
    <cfRule type="containsText" dxfId="3759" priority="3638" operator="containsText" text="RECHAZADA">
      <formula>NOT(ISERROR(SEARCH("RECHAZADA",K882)))</formula>
    </cfRule>
    <cfRule type="containsText" dxfId="3758" priority="3639" operator="containsText" text="Atendida">
      <formula>NOT(ISERROR(SEARCH("Atendida",K882)))</formula>
    </cfRule>
    <cfRule type="containsText" dxfId="3757" priority="3640" operator="containsText" text="Reasignación">
      <formula>NOT(ISERROR(SEARCH("Reasignación",K882)))</formula>
    </cfRule>
    <cfRule type="containsText" dxfId="3756" priority="3641" operator="containsText" text="RECHAZADA">
      <formula>NOT(ISERROR(SEARCH("RECHAZADA",K882)))</formula>
    </cfRule>
    <cfRule type="containsText" dxfId="3755" priority="3642" operator="containsText" text="Atendida">
      <formula>NOT(ISERROR(SEARCH("Atendida",K882)))</formula>
    </cfRule>
    <cfRule type="containsText" dxfId="3754" priority="3643" operator="containsText" text="Reasignación">
      <formula>NOT(ISERROR(SEARCH("Reasignación",K882)))</formula>
    </cfRule>
    <cfRule type="containsText" dxfId="3753" priority="3644" operator="containsText" text="RECHAZADA">
      <formula>NOT(ISERROR(SEARCH("RECHAZADA",K882)))</formula>
    </cfRule>
    <cfRule type="containsText" dxfId="3752" priority="3645" operator="containsText" text="Atendida">
      <formula>NOT(ISERROR(SEARCH("Atendida",K882)))</formula>
    </cfRule>
    <cfRule type="containsText" dxfId="3751" priority="3646" operator="containsText" text="Reasignación">
      <formula>NOT(ISERROR(SEARCH("Reasignación",K882)))</formula>
    </cfRule>
    <cfRule type="containsText" dxfId="3750" priority="3647" operator="containsText" text="RECHAZADA">
      <formula>NOT(ISERROR(SEARCH("RECHAZADA",K882)))</formula>
    </cfRule>
    <cfRule type="containsText" dxfId="3749" priority="3648" operator="containsText" text="Atendida">
      <formula>NOT(ISERROR(SEARCH("Atendida",K882)))</formula>
    </cfRule>
    <cfRule type="containsText" dxfId="3748" priority="3649" operator="containsText" text="Reasignación">
      <formula>NOT(ISERROR(SEARCH("Reasignación",K882)))</formula>
    </cfRule>
    <cfRule type="containsText" dxfId="3747" priority="3650" operator="containsText" text="RECHAZADA">
      <formula>NOT(ISERROR(SEARCH("RECHAZADA",K882)))</formula>
    </cfRule>
    <cfRule type="containsText" dxfId="3746" priority="3651" operator="containsText" text="Atendida">
      <formula>NOT(ISERROR(SEARCH("Atendida",K882)))</formula>
    </cfRule>
    <cfRule type="containsText" dxfId="3745" priority="3652" operator="containsText" text="Reasignación">
      <formula>NOT(ISERROR(SEARCH("Reasignación",K882)))</formula>
    </cfRule>
    <cfRule type="containsText" dxfId="3744" priority="3653" operator="containsText" text="RECHAZADA">
      <formula>NOT(ISERROR(SEARCH("RECHAZADA",K882)))</formula>
    </cfRule>
    <cfRule type="containsText" dxfId="3743" priority="3654" operator="containsText" text="Atendida">
      <formula>NOT(ISERROR(SEARCH("Atendida",K882)))</formula>
    </cfRule>
    <cfRule type="containsText" dxfId="3742" priority="3655" operator="containsText" text="Reasignación">
      <formula>NOT(ISERROR(SEARCH("Reasignación",K882)))</formula>
    </cfRule>
    <cfRule type="containsText" dxfId="3741" priority="3656" operator="containsText" text="RECHAZADA">
      <formula>NOT(ISERROR(SEARCH("RECHAZADA",K882)))</formula>
    </cfRule>
    <cfRule type="containsText" dxfId="3740" priority="3657" operator="containsText" text="Atendida">
      <formula>NOT(ISERROR(SEARCH("Atendida",K882)))</formula>
    </cfRule>
    <cfRule type="containsText" dxfId="3739" priority="3658" operator="containsText" text="Reasignación">
      <formula>NOT(ISERROR(SEARCH("Reasignación",K882)))</formula>
    </cfRule>
    <cfRule type="containsText" dxfId="3738" priority="3659" operator="containsText" text="RECHAZADA">
      <formula>NOT(ISERROR(SEARCH("RECHAZADA",K882)))</formula>
    </cfRule>
    <cfRule type="containsText" dxfId="3737" priority="3660" operator="containsText" text="Atendida">
      <formula>NOT(ISERROR(SEARCH("Atendida",K882)))</formula>
    </cfRule>
    <cfRule type="containsText" dxfId="3736" priority="3661" operator="containsText" text="Reasignación">
      <formula>NOT(ISERROR(SEARCH("Reasignación",K882)))</formula>
    </cfRule>
    <cfRule type="containsText" dxfId="3735" priority="3662" operator="containsText" text="RECHAZADA">
      <formula>NOT(ISERROR(SEARCH("RECHAZADA",K882)))</formula>
    </cfRule>
    <cfRule type="containsText" dxfId="3734" priority="3663" operator="containsText" text="Atendida">
      <formula>NOT(ISERROR(SEARCH("Atendida",K882)))</formula>
    </cfRule>
    <cfRule type="containsText" dxfId="3733" priority="3664" operator="containsText" text="Reasignación">
      <formula>NOT(ISERROR(SEARCH("Reasignación",K882)))</formula>
    </cfRule>
    <cfRule type="containsText" dxfId="3732" priority="3665" operator="containsText" text="RECHAZADA">
      <formula>NOT(ISERROR(SEARCH("RECHAZADA",K882)))</formula>
    </cfRule>
    <cfRule type="containsText" dxfId="3731" priority="3666" operator="containsText" text="Atendida">
      <formula>NOT(ISERROR(SEARCH("Atendida",K882)))</formula>
    </cfRule>
    <cfRule type="containsText" dxfId="3730" priority="3667" operator="containsText" text="Reasignación">
      <formula>NOT(ISERROR(SEARCH("Reasignación",K882)))</formula>
    </cfRule>
    <cfRule type="containsText" dxfId="3729" priority="3668" operator="containsText" text="RECHAZADA">
      <formula>NOT(ISERROR(SEARCH("RECHAZADA",K882)))</formula>
    </cfRule>
    <cfRule type="containsText" dxfId="3728" priority="3669" operator="containsText" text="Atendida">
      <formula>NOT(ISERROR(SEARCH("Atendida",K882)))</formula>
    </cfRule>
    <cfRule type="containsText" dxfId="3727" priority="3670" operator="containsText" text="Reasignación">
      <formula>NOT(ISERROR(SEARCH("Reasignación",K882)))</formula>
    </cfRule>
    <cfRule type="containsText" dxfId="3726" priority="3671" operator="containsText" text="RECHAZADA">
      <formula>NOT(ISERROR(SEARCH("RECHAZADA",K882)))</formula>
    </cfRule>
    <cfRule type="containsText" dxfId="3725" priority="3672" operator="containsText" text="Atendida">
      <formula>NOT(ISERROR(SEARCH("Atendida",K882)))</formula>
    </cfRule>
    <cfRule type="containsText" dxfId="3724" priority="3673" operator="containsText" text="Reasignación">
      <formula>NOT(ISERROR(SEARCH("Reasignación",K882)))</formula>
    </cfRule>
    <cfRule type="containsText" dxfId="3723" priority="3674" operator="containsText" text="RECHAZADA">
      <formula>NOT(ISERROR(SEARCH("RECHAZADA",K882)))</formula>
    </cfRule>
    <cfRule type="containsText" dxfId="3722" priority="3675" operator="containsText" text="Atendida">
      <formula>NOT(ISERROR(SEARCH("Atendida",K882)))</formula>
    </cfRule>
    <cfRule type="containsText" dxfId="3721" priority="3676" operator="containsText" text="Reasignación">
      <formula>NOT(ISERROR(SEARCH("Reasignación",K882)))</formula>
    </cfRule>
    <cfRule type="containsText" dxfId="3720" priority="3677" operator="containsText" text="RECHAZADA">
      <formula>NOT(ISERROR(SEARCH("RECHAZADA",K882)))</formula>
    </cfRule>
    <cfRule type="containsText" dxfId="3719" priority="3678" operator="containsText" text="Atendida">
      <formula>NOT(ISERROR(SEARCH("Atendida",K882)))</formula>
    </cfRule>
    <cfRule type="containsText" dxfId="3718" priority="3679" operator="containsText" text="Reasignación">
      <formula>NOT(ISERROR(SEARCH("Reasignación",K882)))</formula>
    </cfRule>
    <cfRule type="containsText" dxfId="3717" priority="3680" operator="containsText" text="RECHAZADA">
      <formula>NOT(ISERROR(SEARCH("RECHAZADA",K882)))</formula>
    </cfRule>
    <cfRule type="containsText" dxfId="3716" priority="3681" operator="containsText" text="Atendida">
      <formula>NOT(ISERROR(SEARCH("Atendida",K882)))</formula>
    </cfRule>
    <cfRule type="containsText" dxfId="3715" priority="3682" operator="containsText" text="Reasignación">
      <formula>NOT(ISERROR(SEARCH("Reasignación",K882)))</formula>
    </cfRule>
    <cfRule type="containsText" dxfId="3714" priority="3683" operator="containsText" text="RECHAZADA">
      <formula>NOT(ISERROR(SEARCH("RECHAZADA",K882)))</formula>
    </cfRule>
    <cfRule type="containsText" dxfId="3713" priority="3684" operator="containsText" text="Atendida">
      <formula>NOT(ISERROR(SEARCH("Atendida",K882)))</formula>
    </cfRule>
    <cfRule type="containsText" dxfId="3712" priority="3685" operator="containsText" text="Reasignación">
      <formula>NOT(ISERROR(SEARCH("Reasignación",K882)))</formula>
    </cfRule>
    <cfRule type="containsText" dxfId="3711" priority="3686" operator="containsText" text="RECHAZADA">
      <formula>NOT(ISERROR(SEARCH("RECHAZADA",K882)))</formula>
    </cfRule>
    <cfRule type="containsText" dxfId="3710" priority="3687" operator="containsText" text="Atendida">
      <formula>NOT(ISERROR(SEARCH("Atendida",K882)))</formula>
    </cfRule>
    <cfRule type="containsText" dxfId="3709" priority="3688" operator="containsText" text="Reasignación">
      <formula>NOT(ISERROR(SEARCH("Reasignación",K882)))</formula>
    </cfRule>
    <cfRule type="containsText" dxfId="3708" priority="3689" operator="containsText" text="RECHAZADA">
      <formula>NOT(ISERROR(SEARCH("RECHAZADA",K882)))</formula>
    </cfRule>
    <cfRule type="containsText" dxfId="3707" priority="3690" operator="containsText" text="Atendida">
      <formula>NOT(ISERROR(SEARCH("Atendida",K882)))</formula>
    </cfRule>
    <cfRule type="containsText" dxfId="3706" priority="3691" operator="containsText" text="Reasignación">
      <formula>NOT(ISERROR(SEARCH("Reasignación",K882)))</formula>
    </cfRule>
    <cfRule type="containsText" dxfId="3705" priority="3692" operator="containsText" text="RECHAZADA">
      <formula>NOT(ISERROR(SEARCH("RECHAZADA",K882)))</formula>
    </cfRule>
    <cfRule type="containsText" dxfId="3704" priority="3693" operator="containsText" text="Atendida">
      <formula>NOT(ISERROR(SEARCH("Atendida",K882)))</formula>
    </cfRule>
    <cfRule type="containsText" dxfId="3703" priority="3694" operator="containsText" text="Reasignación">
      <formula>NOT(ISERROR(SEARCH("Reasignación",K882)))</formula>
    </cfRule>
    <cfRule type="containsText" dxfId="3702" priority="3695" operator="containsText" text="RECHAZADA">
      <formula>NOT(ISERROR(SEARCH("RECHAZADA",K882)))</formula>
    </cfRule>
    <cfRule type="containsText" dxfId="3701" priority="3696" operator="containsText" text="Atendida">
      <formula>NOT(ISERROR(SEARCH("Atendida",K882)))</formula>
    </cfRule>
    <cfRule type="containsText" dxfId="3700" priority="3697" operator="containsText" text="Reasignación">
      <formula>NOT(ISERROR(SEARCH("Reasignación",K882)))</formula>
    </cfRule>
    <cfRule type="containsText" dxfId="3699" priority="3698" operator="containsText" text="RECHAZADA">
      <formula>NOT(ISERROR(SEARCH("RECHAZADA",K882)))</formula>
    </cfRule>
    <cfRule type="containsText" dxfId="3698" priority="3699" operator="containsText" text="Atendida">
      <formula>NOT(ISERROR(SEARCH("Atendida",K882)))</formula>
    </cfRule>
    <cfRule type="containsText" dxfId="3697" priority="3700" operator="containsText" text="Reasignación">
      <formula>NOT(ISERROR(SEARCH("Reasignación",K882)))</formula>
    </cfRule>
    <cfRule type="containsText" dxfId="3696" priority="3701" operator="containsText" text="RECHAZADA">
      <formula>NOT(ISERROR(SEARCH("RECHAZADA",K882)))</formula>
    </cfRule>
    <cfRule type="containsText" dxfId="3695" priority="3702" operator="containsText" text="Atendida">
      <formula>NOT(ISERROR(SEARCH("Atendida",K882)))</formula>
    </cfRule>
    <cfRule type="containsText" dxfId="3694" priority="3703" operator="containsText" text="Reasignación">
      <formula>NOT(ISERROR(SEARCH("Reasignación",K882)))</formula>
    </cfRule>
    <cfRule type="containsText" dxfId="3693" priority="3704" operator="containsText" text="RECHAZADA">
      <formula>NOT(ISERROR(SEARCH("RECHAZADA",K882)))</formula>
    </cfRule>
    <cfRule type="containsText" dxfId="3692" priority="3705" operator="containsText" text="Atendida">
      <formula>NOT(ISERROR(SEARCH("Atendida",K882)))</formula>
    </cfRule>
    <cfRule type="containsText" dxfId="3691" priority="3706" operator="containsText" text="Reasignación">
      <formula>NOT(ISERROR(SEARCH("Reasignación",K882)))</formula>
    </cfRule>
    <cfRule type="containsText" dxfId="3690" priority="3707" operator="containsText" text="RECHAZADA">
      <formula>NOT(ISERROR(SEARCH("RECHAZADA",K882)))</formula>
    </cfRule>
    <cfRule type="containsText" dxfId="3689" priority="3708" operator="containsText" text="Atendida">
      <formula>NOT(ISERROR(SEARCH("Atendida",K882)))</formula>
    </cfRule>
    <cfRule type="containsText" dxfId="3688" priority="3709" operator="containsText" text="Reasignación">
      <formula>NOT(ISERROR(SEARCH("Reasignación",K882)))</formula>
    </cfRule>
    <cfRule type="containsText" dxfId="3687" priority="3710" operator="containsText" text="RECHAZADA">
      <formula>NOT(ISERROR(SEARCH("RECHAZADA",K882)))</formula>
    </cfRule>
    <cfRule type="containsText" dxfId="3686" priority="3711" operator="containsText" text="Atendida">
      <formula>NOT(ISERROR(SEARCH("Atendida",K882)))</formula>
    </cfRule>
    <cfRule type="containsText" dxfId="3685" priority="3712" operator="containsText" text="Reasignación">
      <formula>NOT(ISERROR(SEARCH("Reasignación",K882)))</formula>
    </cfRule>
    <cfRule type="containsText" dxfId="3684" priority="3713" operator="containsText" text="RECHAZADA">
      <formula>NOT(ISERROR(SEARCH("RECHAZADA",K882)))</formula>
    </cfRule>
    <cfRule type="containsText" dxfId="3683" priority="3714" operator="containsText" text="Atendida">
      <formula>NOT(ISERROR(SEARCH("Atendida",K882)))</formula>
    </cfRule>
    <cfRule type="containsText" dxfId="3682" priority="3715" operator="containsText" text="Reasignación">
      <formula>NOT(ISERROR(SEARCH("Reasignación",K882)))</formula>
    </cfRule>
    <cfRule type="containsText" dxfId="3681" priority="3716" operator="containsText" text="RECHAZADA">
      <formula>NOT(ISERROR(SEARCH("RECHAZADA",K882)))</formula>
    </cfRule>
    <cfRule type="containsText" dxfId="3680" priority="3717" operator="containsText" text="Atendida">
      <formula>NOT(ISERROR(SEARCH("Atendida",K882)))</formula>
    </cfRule>
    <cfRule type="containsText" dxfId="3679" priority="3718" operator="containsText" text="Reasignación">
      <formula>NOT(ISERROR(SEARCH("Reasignación",K882)))</formula>
    </cfRule>
    <cfRule type="containsText" dxfId="3678" priority="3719" operator="containsText" text="RECHAZADA">
      <formula>NOT(ISERROR(SEARCH("RECHAZADA",K882)))</formula>
    </cfRule>
    <cfRule type="containsText" dxfId="3677" priority="3720" operator="containsText" text="Atendida">
      <formula>NOT(ISERROR(SEARCH("Atendida",K882)))</formula>
    </cfRule>
    <cfRule type="containsText" dxfId="3676" priority="3721" operator="containsText" text="Reasignación">
      <formula>NOT(ISERROR(SEARCH("Reasignación",K882)))</formula>
    </cfRule>
    <cfRule type="containsText" dxfId="3675" priority="3722" operator="containsText" text="RECHAZADA">
      <formula>NOT(ISERROR(SEARCH("RECHAZADA",K882)))</formula>
    </cfRule>
    <cfRule type="containsText" dxfId="3674" priority="3723" operator="containsText" text="Atendida">
      <formula>NOT(ISERROR(SEARCH("Atendida",K882)))</formula>
    </cfRule>
    <cfRule type="containsText" dxfId="3673" priority="3724" operator="containsText" text="Reasignación">
      <formula>NOT(ISERROR(SEARCH("Reasignación",K882)))</formula>
    </cfRule>
    <cfRule type="containsText" dxfId="3672" priority="3725" operator="containsText" text="RECHAZADA">
      <formula>NOT(ISERROR(SEARCH("RECHAZADA",K882)))</formula>
    </cfRule>
    <cfRule type="containsText" dxfId="3671" priority="3726" operator="containsText" text="Atendida">
      <formula>NOT(ISERROR(SEARCH("Atendida",K882)))</formula>
    </cfRule>
    <cfRule type="containsText" dxfId="3670" priority="3727" operator="containsText" text="Reasignación">
      <formula>NOT(ISERROR(SEARCH("Reasignación",K882)))</formula>
    </cfRule>
    <cfRule type="containsText" dxfId="3669" priority="3728" operator="containsText" text="RECHAZADA">
      <formula>NOT(ISERROR(SEARCH("RECHAZADA",K882)))</formula>
    </cfRule>
    <cfRule type="containsText" dxfId="3668" priority="3729" operator="containsText" text="Atendida">
      <formula>NOT(ISERROR(SEARCH("Atendida",K882)))</formula>
    </cfRule>
    <cfRule type="containsText" dxfId="3667" priority="3730" operator="containsText" text="Reasignación">
      <formula>NOT(ISERROR(SEARCH("Reasignación",K882)))</formula>
    </cfRule>
    <cfRule type="containsText" dxfId="3666" priority="3731" operator="containsText" text="RECHAZADA">
      <formula>NOT(ISERROR(SEARCH("RECHAZADA",K882)))</formula>
    </cfRule>
    <cfRule type="containsText" dxfId="3665" priority="3732" operator="containsText" text="Atendida">
      <formula>NOT(ISERROR(SEARCH("Atendida",K882)))</formula>
    </cfRule>
    <cfRule type="containsText" dxfId="3664" priority="3733" operator="containsText" text="Reasignación">
      <formula>NOT(ISERROR(SEARCH("Reasignación",K882)))</formula>
    </cfRule>
    <cfRule type="containsText" dxfId="3663" priority="3734" operator="containsText" text="RECHAZADA">
      <formula>NOT(ISERROR(SEARCH("RECHAZADA",K882)))</formula>
    </cfRule>
    <cfRule type="containsText" dxfId="3662" priority="3735" operator="containsText" text="Atendida">
      <formula>NOT(ISERROR(SEARCH("Atendida",K882)))</formula>
    </cfRule>
    <cfRule type="containsText" dxfId="3661" priority="3736" operator="containsText" text="Reasignación">
      <formula>NOT(ISERROR(SEARCH("Reasignación",K882)))</formula>
    </cfRule>
    <cfRule type="containsText" dxfId="3660" priority="3737" operator="containsText" text="RECHAZADA">
      <formula>NOT(ISERROR(SEARCH("RECHAZADA",K882)))</formula>
    </cfRule>
    <cfRule type="containsText" dxfId="3659" priority="3738" operator="containsText" text="Atendida">
      <formula>NOT(ISERROR(SEARCH("Atendida",K882)))</formula>
    </cfRule>
    <cfRule type="containsText" dxfId="3658" priority="3739" operator="containsText" text="Reasignación">
      <formula>NOT(ISERROR(SEARCH("Reasignación",K882)))</formula>
    </cfRule>
    <cfRule type="containsText" dxfId="3657" priority="3740" operator="containsText" text="RECHAZADA">
      <formula>NOT(ISERROR(SEARCH("RECHAZADA",K882)))</formula>
    </cfRule>
    <cfRule type="containsText" dxfId="3656" priority="3741" operator="containsText" text="Atendida">
      <formula>NOT(ISERROR(SEARCH("Atendida",K882)))</formula>
    </cfRule>
    <cfRule type="containsText" dxfId="3655" priority="3742" operator="containsText" text="Reasignación">
      <formula>NOT(ISERROR(SEARCH("Reasignación",K882)))</formula>
    </cfRule>
    <cfRule type="containsText" dxfId="3654" priority="3743" operator="containsText" text="RECHAZADA">
      <formula>NOT(ISERROR(SEARCH("RECHAZADA",K882)))</formula>
    </cfRule>
    <cfRule type="containsText" dxfId="3653" priority="3744" operator="containsText" text="Atendida">
      <formula>NOT(ISERROR(SEARCH("Atendida",K882)))</formula>
    </cfRule>
    <cfRule type="containsText" dxfId="3652" priority="3745" operator="containsText" text="Reasignación">
      <formula>NOT(ISERROR(SEARCH("Reasignación",K882)))</formula>
    </cfRule>
    <cfRule type="containsText" dxfId="3651" priority="3746" operator="containsText" text="RECHAZADA">
      <formula>NOT(ISERROR(SEARCH("RECHAZADA",K882)))</formula>
    </cfRule>
    <cfRule type="containsText" dxfId="3650" priority="3747" operator="containsText" text="Atendida">
      <formula>NOT(ISERROR(SEARCH("Atendida",K882)))</formula>
    </cfRule>
    <cfRule type="containsText" dxfId="3649" priority="3748" operator="containsText" text="Reasignación">
      <formula>NOT(ISERROR(SEARCH("Reasignación",K882)))</formula>
    </cfRule>
    <cfRule type="containsText" dxfId="3648" priority="3749" operator="containsText" text="RECHAZADA">
      <formula>NOT(ISERROR(SEARCH("RECHAZADA",K882)))</formula>
    </cfRule>
    <cfRule type="containsText" dxfId="3647" priority="3750" operator="containsText" text="Atendida">
      <formula>NOT(ISERROR(SEARCH("Atendida",K882)))</formula>
    </cfRule>
    <cfRule type="containsText" dxfId="3646" priority="3751" operator="containsText" text="Reasignación">
      <formula>NOT(ISERROR(SEARCH("Reasignación",K882)))</formula>
    </cfRule>
    <cfRule type="containsText" dxfId="3645" priority="3752" operator="containsText" text="RECHAZADA">
      <formula>NOT(ISERROR(SEARCH("RECHAZADA",K882)))</formula>
    </cfRule>
    <cfRule type="containsText" dxfId="3644" priority="3753" operator="containsText" text="Atendida">
      <formula>NOT(ISERROR(SEARCH("Atendida",K882)))</formula>
    </cfRule>
    <cfRule type="containsText" dxfId="3643" priority="3754" operator="containsText" text="Reasignación">
      <formula>NOT(ISERROR(SEARCH("Reasignación",K882)))</formula>
    </cfRule>
    <cfRule type="containsText" dxfId="3642" priority="3755" operator="containsText" text="RECHAZADA">
      <formula>NOT(ISERROR(SEARCH("RECHAZADA",K882)))</formula>
    </cfRule>
    <cfRule type="containsText" dxfId="3641" priority="3756" operator="containsText" text="Atendida">
      <formula>NOT(ISERROR(SEARCH("Atendida",K882)))</formula>
    </cfRule>
    <cfRule type="containsText" dxfId="3640" priority="3757" operator="containsText" text="Reasignación">
      <formula>NOT(ISERROR(SEARCH("Reasignación",K882)))</formula>
    </cfRule>
    <cfRule type="containsText" dxfId="3639" priority="3758" operator="containsText" text="RECHAZADA">
      <formula>NOT(ISERROR(SEARCH("RECHAZADA",K882)))</formula>
    </cfRule>
    <cfRule type="containsText" dxfId="3638" priority="3759" operator="containsText" text="Atendida">
      <formula>NOT(ISERROR(SEARCH("Atendida",K882)))</formula>
    </cfRule>
    <cfRule type="containsText" dxfId="3637" priority="3760" operator="containsText" text="Reasignación">
      <formula>NOT(ISERROR(SEARCH("Reasignación",K882)))</formula>
    </cfRule>
    <cfRule type="containsText" dxfId="3636" priority="3761" operator="containsText" text="RECHAZADA">
      <formula>NOT(ISERROR(SEARCH("RECHAZADA",K882)))</formula>
    </cfRule>
    <cfRule type="containsText" dxfId="3635" priority="3762" operator="containsText" text="Atendida">
      <formula>NOT(ISERROR(SEARCH("Atendida",K882)))</formula>
    </cfRule>
    <cfRule type="containsText" dxfId="3634" priority="3763" operator="containsText" text="Reasignación">
      <formula>NOT(ISERROR(SEARCH("Reasignación",K882)))</formula>
    </cfRule>
    <cfRule type="containsText" dxfId="3633" priority="3764" operator="containsText" text="RECHAZADA">
      <formula>NOT(ISERROR(SEARCH("RECHAZADA",K882)))</formula>
    </cfRule>
    <cfRule type="containsText" dxfId="3632" priority="3765" operator="containsText" text="Atendida">
      <formula>NOT(ISERROR(SEARCH("Atendida",K882)))</formula>
    </cfRule>
  </conditionalFormatting>
  <conditionalFormatting sqref="K882">
    <cfRule type="containsText" dxfId="3631" priority="3634" operator="containsText" text="Reasignación">
      <formula>NOT(ISERROR(SEARCH("Reasignación",K882)))</formula>
    </cfRule>
    <cfRule type="containsText" dxfId="3630" priority="3635" operator="containsText" text="RECHAZADA">
      <formula>NOT(ISERROR(SEARCH("RECHAZADA",K882)))</formula>
    </cfRule>
    <cfRule type="containsText" dxfId="3629" priority="3636" operator="containsText" text="Atendida">
      <formula>NOT(ISERROR(SEARCH("Atendida",K882)))</formula>
    </cfRule>
  </conditionalFormatting>
  <conditionalFormatting sqref="K882">
    <cfRule type="containsText" dxfId="3628" priority="3483" operator="containsText" text="RECHAZADA">
      <formula>NOT(ISERROR(SEARCH("RECHAZADA",K882)))</formula>
    </cfRule>
    <cfRule type="containsText" dxfId="3627" priority="3484" operator="containsText" text="Atendida">
      <formula>NOT(ISERROR(SEARCH("Atendida",K882)))</formula>
    </cfRule>
    <cfRule type="containsText" dxfId="3626" priority="3485" operator="containsText" text="Reasignación">
      <formula>NOT(ISERROR(SEARCH("Reasignación",K882)))</formula>
    </cfRule>
    <cfRule type="containsText" dxfId="3625" priority="3486" operator="containsText" text="RECHAZADA">
      <formula>NOT(ISERROR(SEARCH("RECHAZADA",K882)))</formula>
    </cfRule>
    <cfRule type="containsText" dxfId="3624" priority="3487" operator="containsText" text="Atendida">
      <formula>NOT(ISERROR(SEARCH("Atendida",K882)))</formula>
    </cfRule>
    <cfRule type="containsText" dxfId="3623" priority="3488" operator="containsText" text="Reasignación">
      <formula>NOT(ISERROR(SEARCH("Reasignación",K882)))</formula>
    </cfRule>
    <cfRule type="containsText" dxfId="3622" priority="3489" operator="containsText" text="RECHAZADA">
      <formula>NOT(ISERROR(SEARCH("RECHAZADA",K882)))</formula>
    </cfRule>
    <cfRule type="containsText" dxfId="3621" priority="3490" operator="containsText" text="Atendida">
      <formula>NOT(ISERROR(SEARCH("Atendida",K882)))</formula>
    </cfRule>
    <cfRule type="containsText" dxfId="3620" priority="3491" operator="containsText" text="Reasignación">
      <formula>NOT(ISERROR(SEARCH("Reasignación",K882)))</formula>
    </cfRule>
    <cfRule type="containsText" dxfId="3619" priority="3492" operator="containsText" text="RECHAZADA">
      <formula>NOT(ISERROR(SEARCH("RECHAZADA",K882)))</formula>
    </cfRule>
    <cfRule type="containsText" dxfId="3618" priority="3493" operator="containsText" text="Atendida">
      <formula>NOT(ISERROR(SEARCH("Atendida",K882)))</formula>
    </cfRule>
    <cfRule type="containsText" dxfId="3617" priority="3494" operator="containsText" text="Reasignación">
      <formula>NOT(ISERROR(SEARCH("Reasignación",K882)))</formula>
    </cfRule>
    <cfRule type="containsText" dxfId="3616" priority="3495" operator="containsText" text="RECHAZADA">
      <formula>NOT(ISERROR(SEARCH("RECHAZADA",K882)))</formula>
    </cfRule>
    <cfRule type="containsText" dxfId="3615" priority="3496" operator="containsText" text="Atendida">
      <formula>NOT(ISERROR(SEARCH("Atendida",K882)))</formula>
    </cfRule>
    <cfRule type="containsText" dxfId="3614" priority="3497" operator="containsText" text="Reasignación">
      <formula>NOT(ISERROR(SEARCH("Reasignación",K882)))</formula>
    </cfRule>
    <cfRule type="containsText" dxfId="3613" priority="3498" operator="containsText" text="RECHAZADA">
      <formula>NOT(ISERROR(SEARCH("RECHAZADA",K882)))</formula>
    </cfRule>
    <cfRule type="containsText" dxfId="3612" priority="3499" operator="containsText" text="Atendida">
      <formula>NOT(ISERROR(SEARCH("Atendida",K882)))</formula>
    </cfRule>
    <cfRule type="containsText" dxfId="3611" priority="3500" operator="containsText" text="Reasignación">
      <formula>NOT(ISERROR(SEARCH("Reasignación",K882)))</formula>
    </cfRule>
    <cfRule type="containsText" dxfId="3610" priority="3501" operator="containsText" text="RECHAZADA">
      <formula>NOT(ISERROR(SEARCH("RECHAZADA",K882)))</formula>
    </cfRule>
    <cfRule type="containsText" dxfId="3609" priority="3502" operator="containsText" text="Atendida">
      <formula>NOT(ISERROR(SEARCH("Atendida",K882)))</formula>
    </cfRule>
    <cfRule type="containsText" dxfId="3608" priority="3503" operator="containsText" text="Reasignación">
      <formula>NOT(ISERROR(SEARCH("Reasignación",K882)))</formula>
    </cfRule>
    <cfRule type="containsText" dxfId="3607" priority="3504" operator="containsText" text="RECHAZADA">
      <formula>NOT(ISERROR(SEARCH("RECHAZADA",K882)))</formula>
    </cfRule>
    <cfRule type="containsText" dxfId="3606" priority="3505" operator="containsText" text="Atendida">
      <formula>NOT(ISERROR(SEARCH("Atendida",K882)))</formula>
    </cfRule>
    <cfRule type="containsText" dxfId="3605" priority="3506" operator="containsText" text="Reasignación">
      <formula>NOT(ISERROR(SEARCH("Reasignación",K882)))</formula>
    </cfRule>
    <cfRule type="containsText" dxfId="3604" priority="3507" operator="containsText" text="RECHAZADA">
      <formula>NOT(ISERROR(SEARCH("RECHAZADA",K882)))</formula>
    </cfRule>
    <cfRule type="containsText" dxfId="3603" priority="3508" operator="containsText" text="Atendida">
      <formula>NOT(ISERROR(SEARCH("Atendida",K882)))</formula>
    </cfRule>
    <cfRule type="containsText" dxfId="3602" priority="3509" operator="containsText" text="Reasignación">
      <formula>NOT(ISERROR(SEARCH("Reasignación",K882)))</formula>
    </cfRule>
    <cfRule type="containsText" dxfId="3601" priority="3510" operator="containsText" text="RECHAZADA">
      <formula>NOT(ISERROR(SEARCH("RECHAZADA",K882)))</formula>
    </cfRule>
    <cfRule type="containsText" dxfId="3600" priority="3511" operator="containsText" text="Atendida">
      <formula>NOT(ISERROR(SEARCH("Atendida",K882)))</formula>
    </cfRule>
    <cfRule type="containsText" dxfId="3599" priority="3512" operator="containsText" text="Reasignación">
      <formula>NOT(ISERROR(SEARCH("Reasignación",K882)))</formula>
    </cfRule>
    <cfRule type="containsText" dxfId="3598" priority="3513" operator="containsText" text="RECHAZADA">
      <formula>NOT(ISERROR(SEARCH("RECHAZADA",K882)))</formula>
    </cfRule>
    <cfRule type="containsText" dxfId="3597" priority="3514" operator="containsText" text="Atendida">
      <formula>NOT(ISERROR(SEARCH("Atendida",K882)))</formula>
    </cfRule>
    <cfRule type="containsText" dxfId="3596" priority="3515" operator="containsText" text="Reasignación">
      <formula>NOT(ISERROR(SEARCH("Reasignación",K882)))</formula>
    </cfRule>
    <cfRule type="containsText" dxfId="3595" priority="3516" operator="containsText" text="RECHAZADA">
      <formula>NOT(ISERROR(SEARCH("RECHAZADA",K882)))</formula>
    </cfRule>
    <cfRule type="containsText" dxfId="3594" priority="3517" operator="containsText" text="Atendida">
      <formula>NOT(ISERROR(SEARCH("Atendida",K882)))</formula>
    </cfRule>
    <cfRule type="containsText" dxfId="3593" priority="3518" operator="containsText" text="Reasignación">
      <formula>NOT(ISERROR(SEARCH("Reasignación",K882)))</formula>
    </cfRule>
    <cfRule type="containsText" dxfId="3592" priority="3519" operator="containsText" text="RECHAZADA">
      <formula>NOT(ISERROR(SEARCH("RECHAZADA",K882)))</formula>
    </cfRule>
    <cfRule type="containsText" dxfId="3591" priority="3520" operator="containsText" text="Atendida">
      <formula>NOT(ISERROR(SEARCH("Atendida",K882)))</formula>
    </cfRule>
    <cfRule type="containsText" dxfId="3590" priority="3521" operator="containsText" text="Reasignación">
      <formula>NOT(ISERROR(SEARCH("Reasignación",K882)))</formula>
    </cfRule>
    <cfRule type="containsText" dxfId="3589" priority="3522" operator="containsText" text="RECHAZADA">
      <formula>NOT(ISERROR(SEARCH("RECHAZADA",K882)))</formula>
    </cfRule>
    <cfRule type="containsText" dxfId="3588" priority="3523" operator="containsText" text="Atendida">
      <formula>NOT(ISERROR(SEARCH("Atendida",K882)))</formula>
    </cfRule>
    <cfRule type="containsText" dxfId="3587" priority="3524" operator="containsText" text="Reasignación">
      <formula>NOT(ISERROR(SEARCH("Reasignación",K882)))</formula>
    </cfRule>
    <cfRule type="containsText" dxfId="3586" priority="3525" operator="containsText" text="RECHAZADA">
      <formula>NOT(ISERROR(SEARCH("RECHAZADA",K882)))</formula>
    </cfRule>
    <cfRule type="containsText" dxfId="3585" priority="3526" operator="containsText" text="Atendida">
      <formula>NOT(ISERROR(SEARCH("Atendida",K882)))</formula>
    </cfRule>
    <cfRule type="containsText" dxfId="3584" priority="3527" operator="containsText" text="Reasignación">
      <formula>NOT(ISERROR(SEARCH("Reasignación",K882)))</formula>
    </cfRule>
    <cfRule type="containsText" dxfId="3583" priority="3528" operator="containsText" text="RECHAZADA">
      <formula>NOT(ISERROR(SEARCH("RECHAZADA",K882)))</formula>
    </cfRule>
    <cfRule type="containsText" dxfId="3582" priority="3529" operator="containsText" text="Atendida">
      <formula>NOT(ISERROR(SEARCH("Atendida",K882)))</formula>
    </cfRule>
    <cfRule type="containsText" dxfId="3581" priority="3530" operator="containsText" text="Reasignación">
      <formula>NOT(ISERROR(SEARCH("Reasignación",K882)))</formula>
    </cfRule>
    <cfRule type="containsText" dxfId="3580" priority="3531" operator="containsText" text="RECHAZADA">
      <formula>NOT(ISERROR(SEARCH("RECHAZADA",K882)))</formula>
    </cfRule>
    <cfRule type="containsText" dxfId="3579" priority="3532" operator="containsText" text="Atendida">
      <formula>NOT(ISERROR(SEARCH("Atendida",K882)))</formula>
    </cfRule>
    <cfRule type="containsText" dxfId="3578" priority="3533" operator="containsText" text="Reasignación">
      <formula>NOT(ISERROR(SEARCH("Reasignación",K882)))</formula>
    </cfRule>
    <cfRule type="containsText" dxfId="3577" priority="3534" operator="containsText" text="RECHAZADA">
      <formula>NOT(ISERROR(SEARCH("RECHAZADA",K882)))</formula>
    </cfRule>
    <cfRule type="containsText" dxfId="3576" priority="3535" operator="containsText" text="Atendida">
      <formula>NOT(ISERROR(SEARCH("Atendida",K882)))</formula>
    </cfRule>
    <cfRule type="containsText" dxfId="3575" priority="3536" operator="containsText" text="Reasignación">
      <formula>NOT(ISERROR(SEARCH("Reasignación",K882)))</formula>
    </cfRule>
    <cfRule type="containsText" dxfId="3574" priority="3537" operator="containsText" text="RECHAZADA">
      <formula>NOT(ISERROR(SEARCH("RECHAZADA",K882)))</formula>
    </cfRule>
    <cfRule type="containsText" dxfId="3573" priority="3538" operator="containsText" text="Atendida">
      <formula>NOT(ISERROR(SEARCH("Atendida",K882)))</formula>
    </cfRule>
    <cfRule type="containsText" dxfId="3572" priority="3539" operator="containsText" text="Reasignación">
      <formula>NOT(ISERROR(SEARCH("Reasignación",K882)))</formula>
    </cfRule>
    <cfRule type="containsText" dxfId="3571" priority="3540" operator="containsText" text="RECHAZADA">
      <formula>NOT(ISERROR(SEARCH("RECHAZADA",K882)))</formula>
    </cfRule>
    <cfRule type="containsText" dxfId="3570" priority="3541" operator="containsText" text="Atendida">
      <formula>NOT(ISERROR(SEARCH("Atendida",K882)))</formula>
    </cfRule>
    <cfRule type="containsText" dxfId="3569" priority="3542" operator="containsText" text="Reasignación">
      <formula>NOT(ISERROR(SEARCH("Reasignación",K882)))</formula>
    </cfRule>
    <cfRule type="containsText" dxfId="3568" priority="3543" operator="containsText" text="RECHAZADA">
      <formula>NOT(ISERROR(SEARCH("RECHAZADA",K882)))</formula>
    </cfRule>
    <cfRule type="containsText" dxfId="3567" priority="3544" operator="containsText" text="Atendida">
      <formula>NOT(ISERROR(SEARCH("Atendida",K882)))</formula>
    </cfRule>
    <cfRule type="containsText" dxfId="3566" priority="3545" operator="containsText" text="Reasignación">
      <formula>NOT(ISERROR(SEARCH("Reasignación",K882)))</formula>
    </cfRule>
    <cfRule type="containsText" dxfId="3565" priority="3546" operator="containsText" text="RECHAZADA">
      <formula>NOT(ISERROR(SEARCH("RECHAZADA",K882)))</formula>
    </cfRule>
    <cfRule type="containsText" dxfId="3564" priority="3547" operator="containsText" text="Atendida">
      <formula>NOT(ISERROR(SEARCH("Atendida",K882)))</formula>
    </cfRule>
    <cfRule type="containsText" dxfId="3563" priority="3548" operator="containsText" text="Reasignación">
      <formula>NOT(ISERROR(SEARCH("Reasignación",K882)))</formula>
    </cfRule>
    <cfRule type="containsText" dxfId="3562" priority="3549" operator="containsText" text="RECHAZADA">
      <formula>NOT(ISERROR(SEARCH("RECHAZADA",K882)))</formula>
    </cfRule>
    <cfRule type="containsText" dxfId="3561" priority="3550" operator="containsText" text="Atendida">
      <formula>NOT(ISERROR(SEARCH("Atendida",K882)))</formula>
    </cfRule>
    <cfRule type="containsText" dxfId="3560" priority="3551" operator="containsText" text="Reasignación">
      <formula>NOT(ISERROR(SEARCH("Reasignación",K882)))</formula>
    </cfRule>
    <cfRule type="containsText" dxfId="3559" priority="3552" operator="containsText" text="RECHAZADA">
      <formula>NOT(ISERROR(SEARCH("RECHAZADA",K882)))</formula>
    </cfRule>
    <cfRule type="containsText" dxfId="3558" priority="3553" operator="containsText" text="Atendida">
      <formula>NOT(ISERROR(SEARCH("Atendida",K882)))</formula>
    </cfRule>
    <cfRule type="containsText" dxfId="3557" priority="3554" operator="containsText" text="Reasignación">
      <formula>NOT(ISERROR(SEARCH("Reasignación",K882)))</formula>
    </cfRule>
    <cfRule type="containsText" dxfId="3556" priority="3555" operator="containsText" text="RECHAZADA">
      <formula>NOT(ISERROR(SEARCH("RECHAZADA",K882)))</formula>
    </cfRule>
    <cfRule type="containsText" dxfId="3555" priority="3556" operator="containsText" text="Atendida">
      <formula>NOT(ISERROR(SEARCH("Atendida",K882)))</formula>
    </cfRule>
    <cfRule type="containsText" dxfId="3554" priority="3557" operator="containsText" text="Reasignación">
      <formula>NOT(ISERROR(SEARCH("Reasignación",K882)))</formula>
    </cfRule>
    <cfRule type="containsText" dxfId="3553" priority="3558" operator="containsText" text="RECHAZADA">
      <formula>NOT(ISERROR(SEARCH("RECHAZADA",K882)))</formula>
    </cfRule>
    <cfRule type="containsText" dxfId="3552" priority="3559" operator="containsText" text="Atendida">
      <formula>NOT(ISERROR(SEARCH("Atendida",K882)))</formula>
    </cfRule>
    <cfRule type="containsText" dxfId="3551" priority="3560" operator="containsText" text="Reasignación">
      <formula>NOT(ISERROR(SEARCH("Reasignación",K882)))</formula>
    </cfRule>
    <cfRule type="containsText" dxfId="3550" priority="3561" operator="containsText" text="RECHAZADA">
      <formula>NOT(ISERROR(SEARCH("RECHAZADA",K882)))</formula>
    </cfRule>
    <cfRule type="containsText" dxfId="3549" priority="3562" operator="containsText" text="Atendida">
      <formula>NOT(ISERROR(SEARCH("Atendida",K882)))</formula>
    </cfRule>
    <cfRule type="containsText" dxfId="3548" priority="3563" operator="containsText" text="Reasignación">
      <formula>NOT(ISERROR(SEARCH("Reasignación",K882)))</formula>
    </cfRule>
    <cfRule type="containsText" dxfId="3547" priority="3564" operator="containsText" text="RECHAZADA">
      <formula>NOT(ISERROR(SEARCH("RECHAZADA",K882)))</formula>
    </cfRule>
    <cfRule type="containsText" dxfId="3546" priority="3565" operator="containsText" text="Atendida">
      <formula>NOT(ISERROR(SEARCH("Atendida",K882)))</formula>
    </cfRule>
    <cfRule type="containsText" dxfId="3545" priority="3566" operator="containsText" text="Reasignación">
      <formula>NOT(ISERROR(SEARCH("Reasignación",K882)))</formula>
    </cfRule>
    <cfRule type="containsText" dxfId="3544" priority="3567" operator="containsText" text="RECHAZADA">
      <formula>NOT(ISERROR(SEARCH("RECHAZADA",K882)))</formula>
    </cfRule>
    <cfRule type="containsText" dxfId="3543" priority="3568" operator="containsText" text="Atendida">
      <formula>NOT(ISERROR(SEARCH("Atendida",K882)))</formula>
    </cfRule>
    <cfRule type="containsText" dxfId="3542" priority="3569" operator="containsText" text="Reasignación">
      <formula>NOT(ISERROR(SEARCH("Reasignación",K882)))</formula>
    </cfRule>
    <cfRule type="containsText" dxfId="3541" priority="3570" operator="containsText" text="RECHAZADA">
      <formula>NOT(ISERROR(SEARCH("RECHAZADA",K882)))</formula>
    </cfRule>
    <cfRule type="containsText" dxfId="3540" priority="3571" operator="containsText" text="Atendida">
      <formula>NOT(ISERROR(SEARCH("Atendida",K882)))</formula>
    </cfRule>
    <cfRule type="containsText" dxfId="3539" priority="3572" operator="containsText" text="Reasignación">
      <formula>NOT(ISERROR(SEARCH("Reasignación",K882)))</formula>
    </cfRule>
    <cfRule type="containsText" dxfId="3538" priority="3573" operator="containsText" text="RECHAZADA">
      <formula>NOT(ISERROR(SEARCH("RECHAZADA",K882)))</formula>
    </cfRule>
    <cfRule type="containsText" dxfId="3537" priority="3574" operator="containsText" text="Atendida">
      <formula>NOT(ISERROR(SEARCH("Atendida",K882)))</formula>
    </cfRule>
    <cfRule type="containsText" dxfId="3536" priority="3575" operator="containsText" text="Reasignación">
      <formula>NOT(ISERROR(SEARCH("Reasignación",K882)))</formula>
    </cfRule>
    <cfRule type="containsText" dxfId="3535" priority="3576" operator="containsText" text="RECHAZADA">
      <formula>NOT(ISERROR(SEARCH("RECHAZADA",K882)))</formula>
    </cfRule>
    <cfRule type="containsText" dxfId="3534" priority="3577" operator="containsText" text="Atendida">
      <formula>NOT(ISERROR(SEARCH("Atendida",K882)))</formula>
    </cfRule>
    <cfRule type="containsText" dxfId="3533" priority="3578" operator="containsText" text="Reasignación">
      <formula>NOT(ISERROR(SEARCH("Reasignación",K882)))</formula>
    </cfRule>
    <cfRule type="containsText" dxfId="3532" priority="3579" operator="containsText" text="RECHAZADA">
      <formula>NOT(ISERROR(SEARCH("RECHAZADA",K882)))</formula>
    </cfRule>
    <cfRule type="containsText" dxfId="3531" priority="3580" operator="containsText" text="Atendida">
      <formula>NOT(ISERROR(SEARCH("Atendida",K882)))</formula>
    </cfRule>
    <cfRule type="containsText" dxfId="3530" priority="3581" operator="containsText" text="Reasignación">
      <formula>NOT(ISERROR(SEARCH("Reasignación",K882)))</formula>
    </cfRule>
    <cfRule type="containsText" dxfId="3529" priority="3582" operator="containsText" text="RECHAZADA">
      <formula>NOT(ISERROR(SEARCH("RECHAZADA",K882)))</formula>
    </cfRule>
    <cfRule type="containsText" dxfId="3528" priority="3583" operator="containsText" text="Atendida">
      <formula>NOT(ISERROR(SEARCH("Atendida",K882)))</formula>
    </cfRule>
    <cfRule type="containsText" dxfId="3527" priority="3584" operator="containsText" text="Reasignación">
      <formula>NOT(ISERROR(SEARCH("Reasignación",K882)))</formula>
    </cfRule>
    <cfRule type="containsText" dxfId="3526" priority="3585" operator="containsText" text="RECHAZADA">
      <formula>NOT(ISERROR(SEARCH("RECHAZADA",K882)))</formula>
    </cfRule>
    <cfRule type="containsText" dxfId="3525" priority="3586" operator="containsText" text="Atendida">
      <formula>NOT(ISERROR(SEARCH("Atendida",K882)))</formula>
    </cfRule>
    <cfRule type="containsText" dxfId="3524" priority="3587" operator="containsText" text="Reasignación">
      <formula>NOT(ISERROR(SEARCH("Reasignación",K882)))</formula>
    </cfRule>
    <cfRule type="containsText" dxfId="3523" priority="3588" operator="containsText" text="RECHAZADA">
      <formula>NOT(ISERROR(SEARCH("RECHAZADA",K882)))</formula>
    </cfRule>
    <cfRule type="containsText" dxfId="3522" priority="3589" operator="containsText" text="Atendida">
      <formula>NOT(ISERROR(SEARCH("Atendida",K882)))</formula>
    </cfRule>
    <cfRule type="containsText" dxfId="3521" priority="3590" operator="containsText" text="Reasignación">
      <formula>NOT(ISERROR(SEARCH("Reasignación",K882)))</formula>
    </cfRule>
    <cfRule type="containsText" dxfId="3520" priority="3591" operator="containsText" text="RECHAZADA">
      <formula>NOT(ISERROR(SEARCH("RECHAZADA",K882)))</formula>
    </cfRule>
    <cfRule type="containsText" dxfId="3519" priority="3592" operator="containsText" text="Atendida">
      <formula>NOT(ISERROR(SEARCH("Atendida",K882)))</formula>
    </cfRule>
    <cfRule type="containsText" dxfId="3518" priority="3593" operator="containsText" text="Reasignación">
      <formula>NOT(ISERROR(SEARCH("Reasignación",K882)))</formula>
    </cfRule>
    <cfRule type="containsText" dxfId="3517" priority="3594" operator="containsText" text="RECHAZADA">
      <formula>NOT(ISERROR(SEARCH("RECHAZADA",K882)))</formula>
    </cfRule>
    <cfRule type="containsText" dxfId="3516" priority="3595" operator="containsText" text="Atendida">
      <formula>NOT(ISERROR(SEARCH("Atendida",K882)))</formula>
    </cfRule>
    <cfRule type="containsText" dxfId="3515" priority="3596" operator="containsText" text="Reasignación">
      <formula>NOT(ISERROR(SEARCH("Reasignación",K882)))</formula>
    </cfRule>
    <cfRule type="containsText" dxfId="3514" priority="3597" operator="containsText" text="RECHAZADA">
      <formula>NOT(ISERROR(SEARCH("RECHAZADA",K882)))</formula>
    </cfRule>
    <cfRule type="containsText" dxfId="3513" priority="3598" operator="containsText" text="Atendida">
      <formula>NOT(ISERROR(SEARCH("Atendida",K882)))</formula>
    </cfRule>
    <cfRule type="containsText" dxfId="3512" priority="3599" operator="containsText" text="Reasignación">
      <formula>NOT(ISERROR(SEARCH("Reasignación",K882)))</formula>
    </cfRule>
    <cfRule type="containsText" dxfId="3511" priority="3600" operator="containsText" text="RECHAZADA">
      <formula>NOT(ISERROR(SEARCH("RECHAZADA",K882)))</formula>
    </cfRule>
    <cfRule type="containsText" dxfId="3510" priority="3601" operator="containsText" text="Atendida">
      <formula>NOT(ISERROR(SEARCH("Atendida",K882)))</formula>
    </cfRule>
    <cfRule type="containsText" dxfId="3509" priority="3602" operator="containsText" text="Reasignación">
      <formula>NOT(ISERROR(SEARCH("Reasignación",K882)))</formula>
    </cfRule>
    <cfRule type="containsText" dxfId="3508" priority="3603" operator="containsText" text="RECHAZADA">
      <formula>NOT(ISERROR(SEARCH("RECHAZADA",K882)))</formula>
    </cfRule>
    <cfRule type="containsText" dxfId="3507" priority="3604" operator="containsText" text="Atendida">
      <formula>NOT(ISERROR(SEARCH("Atendida",K882)))</formula>
    </cfRule>
    <cfRule type="containsText" dxfId="3506" priority="3605" operator="containsText" text="Atendida">
      <formula>NOT(ISERROR(SEARCH("Atendida",K882)))</formula>
    </cfRule>
    <cfRule type="containsText" dxfId="3505" priority="3606" operator="containsText" text="Atendida">
      <formula>NOT(ISERROR(SEARCH("Atendida",K882)))</formula>
    </cfRule>
    <cfRule type="containsText" dxfId="3504" priority="3607" operator="containsText" text="Reasignación">
      <formula>NOT(ISERROR(SEARCH("Reasignación",K882)))</formula>
    </cfRule>
    <cfRule type="containsText" dxfId="3503" priority="3608" operator="containsText" text="RECHAZADA">
      <formula>NOT(ISERROR(SEARCH("RECHAZADA",K882)))</formula>
    </cfRule>
    <cfRule type="containsText" dxfId="3502" priority="3609" operator="containsText" text="Atendida">
      <formula>NOT(ISERROR(SEARCH("Atendida",K882)))</formula>
    </cfRule>
    <cfRule type="containsText" dxfId="3501" priority="3610" operator="containsText" text="Reasignación">
      <formula>NOT(ISERROR(SEARCH("Reasignación",K882)))</formula>
    </cfRule>
    <cfRule type="containsText" dxfId="3500" priority="3611" operator="containsText" text="RECHAZADA">
      <formula>NOT(ISERROR(SEARCH("RECHAZADA",K882)))</formula>
    </cfRule>
    <cfRule type="containsText" dxfId="3499" priority="3612" operator="containsText" text="Atendida">
      <formula>NOT(ISERROR(SEARCH("Atendida",K882)))</formula>
    </cfRule>
    <cfRule type="containsText" dxfId="3498" priority="3613" operator="containsText" text="Reasignación">
      <formula>NOT(ISERROR(SEARCH("Reasignación",K882)))</formula>
    </cfRule>
    <cfRule type="containsText" dxfId="3497" priority="3614" operator="containsText" text="RECHAZADA">
      <formula>NOT(ISERROR(SEARCH("RECHAZADA",K882)))</formula>
    </cfRule>
    <cfRule type="containsText" dxfId="3496" priority="3615" operator="containsText" text="Atendida">
      <formula>NOT(ISERROR(SEARCH("Atendida",K882)))</formula>
    </cfRule>
    <cfRule type="containsText" dxfId="3495" priority="3616" operator="containsText" text="Reasignación">
      <formula>NOT(ISERROR(SEARCH("Reasignación",K882)))</formula>
    </cfRule>
    <cfRule type="containsText" dxfId="3494" priority="3617" operator="containsText" text="RECHAZADA">
      <formula>NOT(ISERROR(SEARCH("RECHAZADA",K882)))</formula>
    </cfRule>
    <cfRule type="containsText" dxfId="3493" priority="3618" operator="containsText" text="Atendida">
      <formula>NOT(ISERROR(SEARCH("Atendida",K882)))</formula>
    </cfRule>
    <cfRule type="containsText" dxfId="3492" priority="3619" operator="containsText" text="Atendida">
      <formula>NOT(ISERROR(SEARCH("Atendida",K882)))</formula>
    </cfRule>
    <cfRule type="containsText" dxfId="3491" priority="3620" operator="containsText" text="Reasignación">
      <formula>NOT(ISERROR(SEARCH("Reasignación",K882)))</formula>
    </cfRule>
    <cfRule type="containsText" dxfId="3490" priority="3621" operator="containsText" text="RECHAZADA">
      <formula>NOT(ISERROR(SEARCH("RECHAZADA",K882)))</formula>
    </cfRule>
    <cfRule type="containsText" dxfId="3489" priority="3622" operator="containsText" text="Atendida">
      <formula>NOT(ISERROR(SEARCH("Atendida",K882)))</formula>
    </cfRule>
    <cfRule type="containsText" dxfId="3488" priority="3623" operator="containsText" text="Reasignación">
      <formula>NOT(ISERROR(SEARCH("Reasignación",K882)))</formula>
    </cfRule>
    <cfRule type="containsText" dxfId="3487" priority="3624" operator="containsText" text="RECHAZADA">
      <formula>NOT(ISERROR(SEARCH("RECHAZADA",K882)))</formula>
    </cfRule>
    <cfRule type="containsText" dxfId="3486" priority="3625" operator="containsText" text="Atendida">
      <formula>NOT(ISERROR(SEARCH("Atendida",K882)))</formula>
    </cfRule>
    <cfRule type="containsText" dxfId="3485" priority="3626" operator="containsText" text="Reasignación">
      <formula>NOT(ISERROR(SEARCH("Reasignación",K882)))</formula>
    </cfRule>
    <cfRule type="containsText" dxfId="3484" priority="3627" operator="containsText" text="RECHAZADA">
      <formula>NOT(ISERROR(SEARCH("RECHAZADA",K882)))</formula>
    </cfRule>
    <cfRule type="containsText" dxfId="3483" priority="3628" operator="containsText" text="Atendida">
      <formula>NOT(ISERROR(SEARCH("Atendida",K882)))</formula>
    </cfRule>
    <cfRule type="containsText" dxfId="3482" priority="3629" operator="containsText" text="RECHAZADA">
      <formula>NOT(ISERROR(SEARCH("RECHAZADA",K882)))</formula>
    </cfRule>
    <cfRule type="containsText" dxfId="3481" priority="3630" operator="containsText" text="Atendida">
      <formula>NOT(ISERROR(SEARCH("Atendida",K882)))</formula>
    </cfRule>
    <cfRule type="containsText" dxfId="3480" priority="3631" operator="containsText" text="Reasignación">
      <formula>NOT(ISERROR(SEARCH("Reasignación",K882)))</formula>
    </cfRule>
    <cfRule type="containsText" dxfId="3479" priority="3632" operator="containsText" text="RECHAZADA">
      <formula>NOT(ISERROR(SEARCH("RECHAZADA",K882)))</formula>
    </cfRule>
    <cfRule type="containsText" dxfId="3478" priority="3633" operator="containsText" text="Atendida">
      <formula>NOT(ISERROR(SEARCH("Atendida",K882)))</formula>
    </cfRule>
  </conditionalFormatting>
  <conditionalFormatting sqref="K882">
    <cfRule type="containsText" dxfId="3477" priority="3482" operator="containsText" text="Reasignación">
      <formula>NOT(ISERROR(SEARCH("Reasignación",K882)))</formula>
    </cfRule>
  </conditionalFormatting>
  <conditionalFormatting sqref="K883:K891">
    <cfRule type="containsText" dxfId="3476" priority="3479" operator="containsText" text="Reasignación">
      <formula>NOT(ISERROR(SEARCH("Reasignación",K883)))</formula>
    </cfRule>
    <cfRule type="containsText" dxfId="3475" priority="3480" operator="containsText" text="RECHAZADA">
      <formula>NOT(ISERROR(SEARCH("RECHAZADA",K883)))</formula>
    </cfRule>
    <cfRule type="containsText" dxfId="3474" priority="3481" operator="containsText" text="Atendida">
      <formula>NOT(ISERROR(SEARCH("Atendida",K883)))</formula>
    </cfRule>
  </conditionalFormatting>
  <conditionalFormatting sqref="K883:K891">
    <cfRule type="containsText" dxfId="3473" priority="3336" operator="containsText" text="Reasignación">
      <formula>NOT(ISERROR(SEARCH("Reasignación",K883)))</formula>
    </cfRule>
    <cfRule type="containsText" dxfId="3472" priority="3337" operator="containsText" text="RECHAZADA">
      <formula>NOT(ISERROR(SEARCH("RECHAZADA",K883)))</formula>
    </cfRule>
    <cfRule type="containsText" dxfId="3471" priority="3338" operator="containsText" text="Atendida">
      <formula>NOT(ISERROR(SEARCH("Atendida",K883)))</formula>
    </cfRule>
    <cfRule type="containsText" dxfId="3470" priority="3339" operator="containsText" text="Reasignación">
      <formula>NOT(ISERROR(SEARCH("Reasignación",K883)))</formula>
    </cfRule>
    <cfRule type="containsText" dxfId="3469" priority="3340" operator="containsText" text="RECHAZADA">
      <formula>NOT(ISERROR(SEARCH("RECHAZADA",K883)))</formula>
    </cfRule>
    <cfRule type="containsText" dxfId="3468" priority="3341" operator="containsText" text="Atendida">
      <formula>NOT(ISERROR(SEARCH("Atendida",K883)))</formula>
    </cfRule>
    <cfRule type="containsText" dxfId="3467" priority="3342" operator="containsText" text="Reasignación">
      <formula>NOT(ISERROR(SEARCH("Reasignación",K883)))</formula>
    </cfRule>
    <cfRule type="containsText" dxfId="3466" priority="3343" operator="containsText" text="RECHAZADA">
      <formula>NOT(ISERROR(SEARCH("RECHAZADA",K883)))</formula>
    </cfRule>
    <cfRule type="containsText" dxfId="3465" priority="3344" operator="containsText" text="Atendida">
      <formula>NOT(ISERROR(SEARCH("Atendida",K883)))</formula>
    </cfRule>
    <cfRule type="containsText" dxfId="3464" priority="3345" operator="containsText" text="Reasignación">
      <formula>NOT(ISERROR(SEARCH("Reasignación",K883)))</formula>
    </cfRule>
    <cfRule type="containsText" dxfId="3463" priority="3346" operator="containsText" text="RECHAZADA">
      <formula>NOT(ISERROR(SEARCH("RECHAZADA",K883)))</formula>
    </cfRule>
    <cfRule type="containsText" dxfId="3462" priority="3347" operator="containsText" text="Atendida">
      <formula>NOT(ISERROR(SEARCH("Atendida",K883)))</formula>
    </cfRule>
    <cfRule type="containsText" dxfId="3461" priority="3348" operator="containsText" text="Reasignación">
      <formula>NOT(ISERROR(SEARCH("Reasignación",K883)))</formula>
    </cfRule>
    <cfRule type="containsText" dxfId="3460" priority="3349" operator="containsText" text="RECHAZADA">
      <formula>NOT(ISERROR(SEARCH("RECHAZADA",K883)))</formula>
    </cfRule>
    <cfRule type="containsText" dxfId="3459" priority="3350" operator="containsText" text="Atendida">
      <formula>NOT(ISERROR(SEARCH("Atendida",K883)))</formula>
    </cfRule>
    <cfRule type="containsText" dxfId="3458" priority="3351" operator="containsText" text="Reasignación">
      <formula>NOT(ISERROR(SEARCH("Reasignación",K883)))</formula>
    </cfRule>
    <cfRule type="containsText" dxfId="3457" priority="3352" operator="containsText" text="RECHAZADA">
      <formula>NOT(ISERROR(SEARCH("RECHAZADA",K883)))</formula>
    </cfRule>
    <cfRule type="containsText" dxfId="3456" priority="3353" operator="containsText" text="Atendida">
      <formula>NOT(ISERROR(SEARCH("Atendida",K883)))</formula>
    </cfRule>
    <cfRule type="containsText" dxfId="3455" priority="3354" operator="containsText" text="Reasignación">
      <formula>NOT(ISERROR(SEARCH("Reasignación",K883)))</formula>
    </cfRule>
    <cfRule type="containsText" dxfId="3454" priority="3355" operator="containsText" text="RECHAZADA">
      <formula>NOT(ISERROR(SEARCH("RECHAZADA",K883)))</formula>
    </cfRule>
    <cfRule type="containsText" dxfId="3453" priority="3356" operator="containsText" text="Atendida">
      <formula>NOT(ISERROR(SEARCH("Atendida",K883)))</formula>
    </cfRule>
    <cfRule type="containsText" dxfId="3452" priority="3357" operator="containsText" text="Reasignación">
      <formula>NOT(ISERROR(SEARCH("Reasignación",K883)))</formula>
    </cfRule>
    <cfRule type="containsText" dxfId="3451" priority="3358" operator="containsText" text="RECHAZADA">
      <formula>NOT(ISERROR(SEARCH("RECHAZADA",K883)))</formula>
    </cfRule>
    <cfRule type="containsText" dxfId="3450" priority="3359" operator="containsText" text="Atendida">
      <formula>NOT(ISERROR(SEARCH("Atendida",K883)))</formula>
    </cfRule>
    <cfRule type="containsText" dxfId="3449" priority="3360" operator="containsText" text="Reasignación">
      <formula>NOT(ISERROR(SEARCH("Reasignación",K883)))</formula>
    </cfRule>
    <cfRule type="containsText" dxfId="3448" priority="3361" operator="containsText" text="RECHAZADA">
      <formula>NOT(ISERROR(SEARCH("RECHAZADA",K883)))</formula>
    </cfRule>
    <cfRule type="containsText" dxfId="3447" priority="3362" operator="containsText" text="Atendida">
      <formula>NOT(ISERROR(SEARCH("Atendida",K883)))</formula>
    </cfRule>
    <cfRule type="containsText" dxfId="3446" priority="3363" operator="containsText" text="Reasignación">
      <formula>NOT(ISERROR(SEARCH("Reasignación",K883)))</formula>
    </cfRule>
    <cfRule type="containsText" dxfId="3445" priority="3364" operator="containsText" text="RECHAZADA">
      <formula>NOT(ISERROR(SEARCH("RECHAZADA",K883)))</formula>
    </cfRule>
    <cfRule type="containsText" dxfId="3444" priority="3365" operator="containsText" text="Atendida">
      <formula>NOT(ISERROR(SEARCH("Atendida",K883)))</formula>
    </cfRule>
    <cfRule type="containsText" dxfId="3443" priority="3366" operator="containsText" text="Reasignación">
      <formula>NOT(ISERROR(SEARCH("Reasignación",K883)))</formula>
    </cfRule>
    <cfRule type="containsText" dxfId="3442" priority="3367" operator="containsText" text="RECHAZADA">
      <formula>NOT(ISERROR(SEARCH("RECHAZADA",K883)))</formula>
    </cfRule>
    <cfRule type="containsText" dxfId="3441" priority="3368" operator="containsText" text="Atendida">
      <formula>NOT(ISERROR(SEARCH("Atendida",K883)))</formula>
    </cfRule>
    <cfRule type="containsText" dxfId="3440" priority="3369" operator="containsText" text="Reasignación">
      <formula>NOT(ISERROR(SEARCH("Reasignación",K883)))</formula>
    </cfRule>
    <cfRule type="containsText" dxfId="3439" priority="3370" operator="containsText" text="RECHAZADA">
      <formula>NOT(ISERROR(SEARCH("RECHAZADA",K883)))</formula>
    </cfRule>
    <cfRule type="containsText" dxfId="3438" priority="3371" operator="containsText" text="Atendida">
      <formula>NOT(ISERROR(SEARCH("Atendida",K883)))</formula>
    </cfRule>
    <cfRule type="containsText" dxfId="3437" priority="3372" operator="containsText" text="Reasignación">
      <formula>NOT(ISERROR(SEARCH("Reasignación",K883)))</formula>
    </cfRule>
    <cfRule type="containsText" dxfId="3436" priority="3373" operator="containsText" text="RECHAZADA">
      <formula>NOT(ISERROR(SEARCH("RECHAZADA",K883)))</formula>
    </cfRule>
    <cfRule type="containsText" dxfId="3435" priority="3374" operator="containsText" text="Atendida">
      <formula>NOT(ISERROR(SEARCH("Atendida",K883)))</formula>
    </cfRule>
    <cfRule type="containsText" dxfId="3434" priority="3375" operator="containsText" text="Reasignación">
      <formula>NOT(ISERROR(SEARCH("Reasignación",K883)))</formula>
    </cfRule>
    <cfRule type="containsText" dxfId="3433" priority="3376" operator="containsText" text="RECHAZADA">
      <formula>NOT(ISERROR(SEARCH("RECHAZADA",K883)))</formula>
    </cfRule>
    <cfRule type="containsText" dxfId="3432" priority="3377" operator="containsText" text="Atendida">
      <formula>NOT(ISERROR(SEARCH("Atendida",K883)))</formula>
    </cfRule>
    <cfRule type="containsText" dxfId="3431" priority="3378" operator="containsText" text="Reasignación">
      <formula>NOT(ISERROR(SEARCH("Reasignación",K883)))</formula>
    </cfRule>
    <cfRule type="containsText" dxfId="3430" priority="3379" operator="containsText" text="RECHAZADA">
      <formula>NOT(ISERROR(SEARCH("RECHAZADA",K883)))</formula>
    </cfRule>
    <cfRule type="containsText" dxfId="3429" priority="3380" operator="containsText" text="Atendida">
      <formula>NOT(ISERROR(SEARCH("Atendida",K883)))</formula>
    </cfRule>
    <cfRule type="containsText" dxfId="3428" priority="3381" operator="containsText" text="Reasignación">
      <formula>NOT(ISERROR(SEARCH("Reasignación",K883)))</formula>
    </cfRule>
    <cfRule type="containsText" dxfId="3427" priority="3382" operator="containsText" text="RECHAZADA">
      <formula>NOT(ISERROR(SEARCH("RECHAZADA",K883)))</formula>
    </cfRule>
    <cfRule type="containsText" dxfId="3426" priority="3383" operator="containsText" text="Atendida">
      <formula>NOT(ISERROR(SEARCH("Atendida",K883)))</formula>
    </cfRule>
    <cfRule type="containsText" dxfId="3425" priority="3384" operator="containsText" text="Reasignación">
      <formula>NOT(ISERROR(SEARCH("Reasignación",K883)))</formula>
    </cfRule>
    <cfRule type="containsText" dxfId="3424" priority="3385" operator="containsText" text="RECHAZADA">
      <formula>NOT(ISERROR(SEARCH("RECHAZADA",K883)))</formula>
    </cfRule>
    <cfRule type="containsText" dxfId="3423" priority="3386" operator="containsText" text="Atendida">
      <formula>NOT(ISERROR(SEARCH("Atendida",K883)))</formula>
    </cfRule>
    <cfRule type="containsText" dxfId="3422" priority="3387" operator="containsText" text="Reasignación">
      <formula>NOT(ISERROR(SEARCH("Reasignación",K883)))</formula>
    </cfRule>
    <cfRule type="containsText" dxfId="3421" priority="3388" operator="containsText" text="RECHAZADA">
      <formula>NOT(ISERROR(SEARCH("RECHAZADA",K883)))</formula>
    </cfRule>
    <cfRule type="containsText" dxfId="3420" priority="3389" operator="containsText" text="Atendida">
      <formula>NOT(ISERROR(SEARCH("Atendida",K883)))</formula>
    </cfRule>
    <cfRule type="containsText" dxfId="3419" priority="3390" operator="containsText" text="Reasignación">
      <formula>NOT(ISERROR(SEARCH("Reasignación",K883)))</formula>
    </cfRule>
    <cfRule type="containsText" dxfId="3418" priority="3391" operator="containsText" text="RECHAZADA">
      <formula>NOT(ISERROR(SEARCH("RECHAZADA",K883)))</formula>
    </cfRule>
    <cfRule type="containsText" dxfId="3417" priority="3392" operator="containsText" text="Atendida">
      <formula>NOT(ISERROR(SEARCH("Atendida",K883)))</formula>
    </cfRule>
    <cfRule type="containsText" dxfId="3416" priority="3393" operator="containsText" text="Reasignación">
      <formula>NOT(ISERROR(SEARCH("Reasignación",K883)))</formula>
    </cfRule>
    <cfRule type="containsText" dxfId="3415" priority="3394" operator="containsText" text="RECHAZADA">
      <formula>NOT(ISERROR(SEARCH("RECHAZADA",K883)))</formula>
    </cfRule>
    <cfRule type="containsText" dxfId="3414" priority="3395" operator="containsText" text="Atendida">
      <formula>NOT(ISERROR(SEARCH("Atendida",K883)))</formula>
    </cfRule>
    <cfRule type="containsText" dxfId="3413" priority="3396" operator="containsText" text="Reasignación">
      <formula>NOT(ISERROR(SEARCH("Reasignación",K883)))</formula>
    </cfRule>
    <cfRule type="containsText" dxfId="3412" priority="3397" operator="containsText" text="RECHAZADA">
      <formula>NOT(ISERROR(SEARCH("RECHAZADA",K883)))</formula>
    </cfRule>
    <cfRule type="containsText" dxfId="3411" priority="3398" operator="containsText" text="Atendida">
      <formula>NOT(ISERROR(SEARCH("Atendida",K883)))</formula>
    </cfRule>
    <cfRule type="containsText" dxfId="3410" priority="3399" operator="containsText" text="Reasignación">
      <formula>NOT(ISERROR(SEARCH("Reasignación",K883)))</formula>
    </cfRule>
    <cfRule type="containsText" dxfId="3409" priority="3400" operator="containsText" text="RECHAZADA">
      <formula>NOT(ISERROR(SEARCH("RECHAZADA",K883)))</formula>
    </cfRule>
    <cfRule type="containsText" dxfId="3408" priority="3401" operator="containsText" text="Atendida">
      <formula>NOT(ISERROR(SEARCH("Atendida",K883)))</formula>
    </cfRule>
    <cfRule type="containsText" dxfId="3407" priority="3402" operator="containsText" text="Reasignación">
      <formula>NOT(ISERROR(SEARCH("Reasignación",K883)))</formula>
    </cfRule>
    <cfRule type="containsText" dxfId="3406" priority="3403" operator="containsText" text="RECHAZADA">
      <formula>NOT(ISERROR(SEARCH("RECHAZADA",K883)))</formula>
    </cfRule>
    <cfRule type="containsText" dxfId="3405" priority="3404" operator="containsText" text="Atendida">
      <formula>NOT(ISERROR(SEARCH("Atendida",K883)))</formula>
    </cfRule>
    <cfRule type="containsText" dxfId="3404" priority="3405" operator="containsText" text="Reasignación">
      <formula>NOT(ISERROR(SEARCH("Reasignación",K883)))</formula>
    </cfRule>
    <cfRule type="containsText" dxfId="3403" priority="3406" operator="containsText" text="RECHAZADA">
      <formula>NOT(ISERROR(SEARCH("RECHAZADA",K883)))</formula>
    </cfRule>
    <cfRule type="containsText" dxfId="3402" priority="3407" operator="containsText" text="Atendida">
      <formula>NOT(ISERROR(SEARCH("Atendida",K883)))</formula>
    </cfRule>
    <cfRule type="containsText" dxfId="3401" priority="3408" operator="containsText" text="Reasignación">
      <formula>NOT(ISERROR(SEARCH("Reasignación",K883)))</formula>
    </cfRule>
    <cfRule type="containsText" dxfId="3400" priority="3409" operator="containsText" text="RECHAZADA">
      <formula>NOT(ISERROR(SEARCH("RECHAZADA",K883)))</formula>
    </cfRule>
    <cfRule type="containsText" dxfId="3399" priority="3410" operator="containsText" text="Atendida">
      <formula>NOT(ISERROR(SEARCH("Atendida",K883)))</formula>
    </cfRule>
    <cfRule type="containsText" dxfId="3398" priority="3411" operator="containsText" text="Reasignación">
      <formula>NOT(ISERROR(SEARCH("Reasignación",K883)))</formula>
    </cfRule>
    <cfRule type="containsText" dxfId="3397" priority="3412" operator="containsText" text="RECHAZADA">
      <formula>NOT(ISERROR(SEARCH("RECHAZADA",K883)))</formula>
    </cfRule>
    <cfRule type="containsText" dxfId="3396" priority="3413" operator="containsText" text="Atendida">
      <formula>NOT(ISERROR(SEARCH("Atendida",K883)))</formula>
    </cfRule>
    <cfRule type="containsText" dxfId="3395" priority="3414" operator="containsText" text="Reasignación">
      <formula>NOT(ISERROR(SEARCH("Reasignación",K883)))</formula>
    </cfRule>
    <cfRule type="containsText" dxfId="3394" priority="3415" operator="containsText" text="RECHAZADA">
      <formula>NOT(ISERROR(SEARCH("RECHAZADA",K883)))</formula>
    </cfRule>
    <cfRule type="containsText" dxfId="3393" priority="3416" operator="containsText" text="Atendida">
      <formula>NOT(ISERROR(SEARCH("Atendida",K883)))</formula>
    </cfRule>
    <cfRule type="containsText" dxfId="3392" priority="3417" operator="containsText" text="Reasignación">
      <formula>NOT(ISERROR(SEARCH("Reasignación",K883)))</formula>
    </cfRule>
    <cfRule type="containsText" dxfId="3391" priority="3418" operator="containsText" text="RECHAZADA">
      <formula>NOT(ISERROR(SEARCH("RECHAZADA",K883)))</formula>
    </cfRule>
    <cfRule type="containsText" dxfId="3390" priority="3419" operator="containsText" text="Atendida">
      <formula>NOT(ISERROR(SEARCH("Atendida",K883)))</formula>
    </cfRule>
    <cfRule type="containsText" dxfId="3389" priority="3420" operator="containsText" text="Reasignación">
      <formula>NOT(ISERROR(SEARCH("Reasignación",K883)))</formula>
    </cfRule>
    <cfRule type="containsText" dxfId="3388" priority="3421" operator="containsText" text="RECHAZADA">
      <formula>NOT(ISERROR(SEARCH("RECHAZADA",K883)))</formula>
    </cfRule>
    <cfRule type="containsText" dxfId="3387" priority="3422" operator="containsText" text="Atendida">
      <formula>NOT(ISERROR(SEARCH("Atendida",K883)))</formula>
    </cfRule>
    <cfRule type="containsText" dxfId="3386" priority="3423" operator="containsText" text="Reasignación">
      <formula>NOT(ISERROR(SEARCH("Reasignación",K883)))</formula>
    </cfRule>
    <cfRule type="containsText" dxfId="3385" priority="3424" operator="containsText" text="RECHAZADA">
      <formula>NOT(ISERROR(SEARCH("RECHAZADA",K883)))</formula>
    </cfRule>
    <cfRule type="containsText" dxfId="3384" priority="3425" operator="containsText" text="Atendida">
      <formula>NOT(ISERROR(SEARCH("Atendida",K883)))</formula>
    </cfRule>
    <cfRule type="containsText" dxfId="3383" priority="3426" operator="containsText" text="Reasignación">
      <formula>NOT(ISERROR(SEARCH("Reasignación",K883)))</formula>
    </cfRule>
    <cfRule type="containsText" dxfId="3382" priority="3427" operator="containsText" text="RECHAZADA">
      <formula>NOT(ISERROR(SEARCH("RECHAZADA",K883)))</formula>
    </cfRule>
    <cfRule type="containsText" dxfId="3381" priority="3428" operator="containsText" text="Atendida">
      <formula>NOT(ISERROR(SEARCH("Atendida",K883)))</formula>
    </cfRule>
    <cfRule type="containsText" dxfId="3380" priority="3429" operator="containsText" text="Reasignación">
      <formula>NOT(ISERROR(SEARCH("Reasignación",K883)))</formula>
    </cfRule>
    <cfRule type="containsText" dxfId="3379" priority="3430" operator="containsText" text="RECHAZADA">
      <formula>NOT(ISERROR(SEARCH("RECHAZADA",K883)))</formula>
    </cfRule>
    <cfRule type="containsText" dxfId="3378" priority="3431" operator="containsText" text="Atendida">
      <formula>NOT(ISERROR(SEARCH("Atendida",K883)))</formula>
    </cfRule>
    <cfRule type="containsText" dxfId="3377" priority="3432" operator="containsText" text="Reasignación">
      <formula>NOT(ISERROR(SEARCH("Reasignación",K883)))</formula>
    </cfRule>
    <cfRule type="containsText" dxfId="3376" priority="3433" operator="containsText" text="RECHAZADA">
      <formula>NOT(ISERROR(SEARCH("RECHAZADA",K883)))</formula>
    </cfRule>
    <cfRule type="containsText" dxfId="3375" priority="3434" operator="containsText" text="Atendida">
      <formula>NOT(ISERROR(SEARCH("Atendida",K883)))</formula>
    </cfRule>
    <cfRule type="containsText" dxfId="3374" priority="3435" operator="containsText" text="Reasignación">
      <formula>NOT(ISERROR(SEARCH("Reasignación",K883)))</formula>
    </cfRule>
    <cfRule type="containsText" dxfId="3373" priority="3436" operator="containsText" text="RECHAZADA">
      <formula>NOT(ISERROR(SEARCH("RECHAZADA",K883)))</formula>
    </cfRule>
    <cfRule type="containsText" dxfId="3372" priority="3437" operator="containsText" text="Atendida">
      <formula>NOT(ISERROR(SEARCH("Atendida",K883)))</formula>
    </cfRule>
    <cfRule type="containsText" dxfId="3371" priority="3438" operator="containsText" text="Reasignación">
      <formula>NOT(ISERROR(SEARCH("Reasignación",K883)))</formula>
    </cfRule>
    <cfRule type="containsText" dxfId="3370" priority="3439" operator="containsText" text="RECHAZADA">
      <formula>NOT(ISERROR(SEARCH("RECHAZADA",K883)))</formula>
    </cfRule>
    <cfRule type="containsText" dxfId="3369" priority="3440" operator="containsText" text="Atendida">
      <formula>NOT(ISERROR(SEARCH("Atendida",K883)))</formula>
    </cfRule>
    <cfRule type="containsText" dxfId="3368" priority="3441" operator="containsText" text="Reasignación">
      <formula>NOT(ISERROR(SEARCH("Reasignación",K883)))</formula>
    </cfRule>
    <cfRule type="containsText" dxfId="3367" priority="3442" operator="containsText" text="RECHAZADA">
      <formula>NOT(ISERROR(SEARCH("RECHAZADA",K883)))</formula>
    </cfRule>
    <cfRule type="containsText" dxfId="3366" priority="3443" operator="containsText" text="Atendida">
      <formula>NOT(ISERROR(SEARCH("Atendida",K883)))</formula>
    </cfRule>
    <cfRule type="containsText" dxfId="3365" priority="3444" operator="containsText" text="Reasignación">
      <formula>NOT(ISERROR(SEARCH("Reasignación",K883)))</formula>
    </cfRule>
    <cfRule type="containsText" dxfId="3364" priority="3445" operator="containsText" text="RECHAZADA">
      <formula>NOT(ISERROR(SEARCH("RECHAZADA",K883)))</formula>
    </cfRule>
    <cfRule type="containsText" dxfId="3363" priority="3446" operator="containsText" text="Atendida">
      <formula>NOT(ISERROR(SEARCH("Atendida",K883)))</formula>
    </cfRule>
    <cfRule type="containsText" dxfId="3362" priority="3447" operator="containsText" text="Reasignación">
      <formula>NOT(ISERROR(SEARCH("Reasignación",K883)))</formula>
    </cfRule>
    <cfRule type="containsText" dxfId="3361" priority="3448" operator="containsText" text="RECHAZADA">
      <formula>NOT(ISERROR(SEARCH("RECHAZADA",K883)))</formula>
    </cfRule>
    <cfRule type="containsText" dxfId="3360" priority="3449" operator="containsText" text="Atendida">
      <formula>NOT(ISERROR(SEARCH("Atendida",K883)))</formula>
    </cfRule>
    <cfRule type="containsText" dxfId="3359" priority="3450" operator="containsText" text="Reasignación">
      <formula>NOT(ISERROR(SEARCH("Reasignación",K883)))</formula>
    </cfRule>
    <cfRule type="containsText" dxfId="3358" priority="3451" operator="containsText" text="RECHAZADA">
      <formula>NOT(ISERROR(SEARCH("RECHAZADA",K883)))</formula>
    </cfRule>
    <cfRule type="containsText" dxfId="3357" priority="3452" operator="containsText" text="Atendida">
      <formula>NOT(ISERROR(SEARCH("Atendida",K883)))</formula>
    </cfRule>
    <cfRule type="containsText" dxfId="3356" priority="3453" operator="containsText" text="Reasignación">
      <formula>NOT(ISERROR(SEARCH("Reasignación",K883)))</formula>
    </cfRule>
    <cfRule type="containsText" dxfId="3355" priority="3454" operator="containsText" text="RECHAZADA">
      <formula>NOT(ISERROR(SEARCH("RECHAZADA",K883)))</formula>
    </cfRule>
    <cfRule type="containsText" dxfId="3354" priority="3455" operator="containsText" text="Atendida">
      <formula>NOT(ISERROR(SEARCH("Atendida",K883)))</formula>
    </cfRule>
    <cfRule type="containsText" dxfId="3353" priority="3456" operator="containsText" text="Reasignación">
      <formula>NOT(ISERROR(SEARCH("Reasignación",K883)))</formula>
    </cfRule>
    <cfRule type="containsText" dxfId="3352" priority="3457" operator="containsText" text="RECHAZADA">
      <formula>NOT(ISERROR(SEARCH("RECHAZADA",K883)))</formula>
    </cfRule>
    <cfRule type="containsText" dxfId="3351" priority="3458" operator="containsText" text="Atendida">
      <formula>NOT(ISERROR(SEARCH("Atendida",K883)))</formula>
    </cfRule>
    <cfRule type="containsText" dxfId="3350" priority="3459" operator="containsText" text="Reasignación">
      <formula>NOT(ISERROR(SEARCH("Reasignación",K883)))</formula>
    </cfRule>
    <cfRule type="containsText" dxfId="3349" priority="3460" operator="containsText" text="RECHAZADA">
      <formula>NOT(ISERROR(SEARCH("RECHAZADA",K883)))</formula>
    </cfRule>
    <cfRule type="containsText" dxfId="3348" priority="3461" operator="containsText" text="Atendida">
      <formula>NOT(ISERROR(SEARCH("Atendida",K883)))</formula>
    </cfRule>
    <cfRule type="containsText" dxfId="3347" priority="3462" operator="containsText" text="Reasignación">
      <formula>NOT(ISERROR(SEARCH("Reasignación",K883)))</formula>
    </cfRule>
    <cfRule type="containsText" dxfId="3346" priority="3463" operator="containsText" text="RECHAZADA">
      <formula>NOT(ISERROR(SEARCH("RECHAZADA",K883)))</formula>
    </cfRule>
    <cfRule type="containsText" dxfId="3345" priority="3464" operator="containsText" text="Atendida">
      <formula>NOT(ISERROR(SEARCH("Atendida",K883)))</formula>
    </cfRule>
    <cfRule type="containsText" dxfId="3344" priority="3465" operator="containsText" text="Reasignación">
      <formula>NOT(ISERROR(SEARCH("Reasignación",K883)))</formula>
    </cfRule>
    <cfRule type="containsText" dxfId="3343" priority="3466" operator="containsText" text="RECHAZADA">
      <formula>NOT(ISERROR(SEARCH("RECHAZADA",K883)))</formula>
    </cfRule>
    <cfRule type="containsText" dxfId="3342" priority="3467" operator="containsText" text="Atendida">
      <formula>NOT(ISERROR(SEARCH("Atendida",K883)))</formula>
    </cfRule>
    <cfRule type="containsText" dxfId="3341" priority="3468" operator="containsText" text="Reasignación">
      <formula>NOT(ISERROR(SEARCH("Reasignación",K883)))</formula>
    </cfRule>
    <cfRule type="containsText" dxfId="3340" priority="3469" operator="containsText" text="RECHAZADA">
      <formula>NOT(ISERROR(SEARCH("RECHAZADA",K883)))</formula>
    </cfRule>
    <cfRule type="containsText" dxfId="3339" priority="3470" operator="containsText" text="Atendida">
      <formula>NOT(ISERROR(SEARCH("Atendida",K883)))</formula>
    </cfRule>
    <cfRule type="containsText" dxfId="3338" priority="3471" operator="containsText" text="Reasignación">
      <formula>NOT(ISERROR(SEARCH("Reasignación",K883)))</formula>
    </cfRule>
    <cfRule type="containsText" dxfId="3337" priority="3472" operator="containsText" text="RECHAZADA">
      <formula>NOT(ISERROR(SEARCH("RECHAZADA",K883)))</formula>
    </cfRule>
    <cfRule type="containsText" dxfId="3336" priority="3473" operator="containsText" text="Atendida">
      <formula>NOT(ISERROR(SEARCH("Atendida",K883)))</formula>
    </cfRule>
    <cfRule type="containsText" dxfId="3335" priority="3474" operator="containsText" text="Reasignación">
      <formula>NOT(ISERROR(SEARCH("Reasignación",K883)))</formula>
    </cfRule>
    <cfRule type="containsText" dxfId="3334" priority="3475" operator="containsText" text="RECHAZADA">
      <formula>NOT(ISERROR(SEARCH("RECHAZADA",K883)))</formula>
    </cfRule>
    <cfRule type="containsText" dxfId="3333" priority="3476" operator="containsText" text="Atendida">
      <formula>NOT(ISERROR(SEARCH("Atendida",K883)))</formula>
    </cfRule>
    <cfRule type="containsText" dxfId="3332" priority="3477" operator="containsText" text="RECHAZADA">
      <formula>NOT(ISERROR(SEARCH("RECHAZADA",K883)))</formula>
    </cfRule>
    <cfRule type="containsText" dxfId="3331" priority="3478" operator="containsText" text="Atendida">
      <formula>NOT(ISERROR(SEARCH("Atendida",K883)))</formula>
    </cfRule>
  </conditionalFormatting>
  <conditionalFormatting sqref="K883:K891">
    <cfRule type="containsText" dxfId="3330" priority="3333" operator="containsText" text="Reasignación">
      <formula>NOT(ISERROR(SEARCH("Reasignación",K883)))</formula>
    </cfRule>
    <cfRule type="containsText" dxfId="3329" priority="3334" operator="containsText" text="RECHAZADA">
      <formula>NOT(ISERROR(SEARCH("RECHAZADA",K883)))</formula>
    </cfRule>
    <cfRule type="containsText" dxfId="3328" priority="3335" operator="containsText" text="Atendida">
      <formula>NOT(ISERROR(SEARCH("Atendida",K883)))</formula>
    </cfRule>
  </conditionalFormatting>
  <conditionalFormatting sqref="K892">
    <cfRule type="containsText" dxfId="3327" priority="3331" operator="containsText" text="RECHAZADA">
      <formula>NOT(ISERROR(SEARCH("RECHAZADA",K892)))</formula>
    </cfRule>
    <cfRule type="containsText" dxfId="3326" priority="3332" operator="containsText" text="Atendida">
      <formula>NOT(ISERROR(SEARCH("Atendida",K892)))</formula>
    </cfRule>
  </conditionalFormatting>
  <conditionalFormatting sqref="K892">
    <cfRule type="containsText" dxfId="3325" priority="3330" operator="containsText" text="Reasignación">
      <formula>NOT(ISERROR(SEARCH("Reasignación",K892)))</formula>
    </cfRule>
  </conditionalFormatting>
  <conditionalFormatting sqref="K892">
    <cfRule type="containsText" dxfId="3324" priority="3328" operator="containsText" text="RECHAZADA">
      <formula>NOT(ISERROR(SEARCH("RECHAZADA",K892)))</formula>
    </cfRule>
  </conditionalFormatting>
  <conditionalFormatting sqref="K892">
    <cfRule type="containsText" dxfId="3323" priority="3329" operator="containsText" text="Atendida">
      <formula>NOT(ISERROR(SEARCH("Atendida",K892)))</formula>
    </cfRule>
  </conditionalFormatting>
  <conditionalFormatting sqref="K892">
    <cfRule type="containsText" dxfId="3322" priority="3320" operator="containsText" text="RECHAZADA">
      <formula>NOT(ISERROR(SEARCH("RECHAZADA",K892)))</formula>
    </cfRule>
  </conditionalFormatting>
  <conditionalFormatting sqref="K892">
    <cfRule type="containsText" dxfId="3321" priority="3319" operator="containsText" text="Reasignación">
      <formula>NOT(ISERROR(SEARCH("Reasignación",K892)))</formula>
    </cfRule>
  </conditionalFormatting>
  <conditionalFormatting sqref="K892">
    <cfRule type="containsText" dxfId="3320" priority="3323" operator="containsText" text="RECHAZADA">
      <formula>NOT(ISERROR(SEARCH("RECHAZADA",K892)))</formula>
    </cfRule>
    <cfRule type="containsText" dxfId="3319" priority="3324" operator="containsText" text="Atendida">
      <formula>NOT(ISERROR(SEARCH("Atendida",K892)))</formula>
    </cfRule>
    <cfRule type="containsText" dxfId="3318" priority="3325" operator="containsText" text="Reasignación">
      <formula>NOT(ISERROR(SEARCH("Reasignación",K892)))</formula>
    </cfRule>
    <cfRule type="containsText" dxfId="3317" priority="3326" operator="containsText" text="RECHAZADA">
      <formula>NOT(ISERROR(SEARCH("RECHAZADA",K892)))</formula>
    </cfRule>
    <cfRule type="containsText" dxfId="3316" priority="3327" operator="containsText" text="Atendida">
      <formula>NOT(ISERROR(SEARCH("Atendida",K892)))</formula>
    </cfRule>
  </conditionalFormatting>
  <conditionalFormatting sqref="K892">
    <cfRule type="containsText" dxfId="3315" priority="3322" operator="containsText" text="Reasignación">
      <formula>NOT(ISERROR(SEARCH("Reasignación",K892)))</formula>
    </cfRule>
  </conditionalFormatting>
  <conditionalFormatting sqref="K892">
    <cfRule type="containsText" dxfId="3314" priority="3321" operator="containsText" text="Atendida">
      <formula>NOT(ISERROR(SEARCH("Atendida",K892)))</formula>
    </cfRule>
  </conditionalFormatting>
  <conditionalFormatting sqref="K892">
    <cfRule type="containsText" dxfId="3313" priority="3168" operator="containsText" text="RECHAZADA">
      <formula>NOT(ISERROR(SEARCH("RECHAZADA",K892)))</formula>
    </cfRule>
    <cfRule type="containsText" dxfId="3312" priority="3169" operator="containsText" text="Atendida">
      <formula>NOT(ISERROR(SEARCH("Atendida",K892)))</formula>
    </cfRule>
    <cfRule type="containsText" dxfId="3311" priority="3170" operator="containsText" text="Reasignación">
      <formula>NOT(ISERROR(SEARCH("Reasignación",K892)))</formula>
    </cfRule>
    <cfRule type="containsText" dxfId="3310" priority="3171" operator="containsText" text="RECHAZADA">
      <formula>NOT(ISERROR(SEARCH("RECHAZADA",K892)))</formula>
    </cfRule>
    <cfRule type="containsText" dxfId="3309" priority="3172" operator="containsText" text="Atendida">
      <formula>NOT(ISERROR(SEARCH("Atendida",K892)))</formula>
    </cfRule>
    <cfRule type="containsText" dxfId="3308" priority="3173" operator="containsText" text="Reasignación">
      <formula>NOT(ISERROR(SEARCH("Reasignación",K892)))</formula>
    </cfRule>
    <cfRule type="containsText" dxfId="3307" priority="3174" operator="containsText" text="RECHAZADA">
      <formula>NOT(ISERROR(SEARCH("RECHAZADA",K892)))</formula>
    </cfRule>
    <cfRule type="containsText" dxfId="3306" priority="3175" operator="containsText" text="Atendida">
      <formula>NOT(ISERROR(SEARCH("Atendida",K892)))</formula>
    </cfRule>
    <cfRule type="containsText" dxfId="3305" priority="3176" operator="containsText" text="Reasignación">
      <formula>NOT(ISERROR(SEARCH("Reasignación",K892)))</formula>
    </cfRule>
    <cfRule type="containsText" dxfId="3304" priority="3177" operator="containsText" text="RECHAZADA">
      <formula>NOT(ISERROR(SEARCH("RECHAZADA",K892)))</formula>
    </cfRule>
    <cfRule type="containsText" dxfId="3303" priority="3178" operator="containsText" text="Atendida">
      <formula>NOT(ISERROR(SEARCH("Atendida",K892)))</formula>
    </cfRule>
    <cfRule type="containsText" dxfId="3302" priority="3179" operator="containsText" text="Reasignación">
      <formula>NOT(ISERROR(SEARCH("Reasignación",K892)))</formula>
    </cfRule>
    <cfRule type="containsText" dxfId="3301" priority="3180" operator="containsText" text="RECHAZADA">
      <formula>NOT(ISERROR(SEARCH("RECHAZADA",K892)))</formula>
    </cfRule>
    <cfRule type="containsText" dxfId="3300" priority="3181" operator="containsText" text="Atendida">
      <formula>NOT(ISERROR(SEARCH("Atendida",K892)))</formula>
    </cfRule>
    <cfRule type="containsText" dxfId="3299" priority="3182" operator="containsText" text="Reasignación">
      <formula>NOT(ISERROR(SEARCH("Reasignación",K892)))</formula>
    </cfRule>
    <cfRule type="containsText" dxfId="3298" priority="3183" operator="containsText" text="RECHAZADA">
      <formula>NOT(ISERROR(SEARCH("RECHAZADA",K892)))</formula>
    </cfRule>
    <cfRule type="containsText" dxfId="3297" priority="3184" operator="containsText" text="Atendida">
      <formula>NOT(ISERROR(SEARCH("Atendida",K892)))</formula>
    </cfRule>
    <cfRule type="containsText" dxfId="3296" priority="3185" operator="containsText" text="Reasignación">
      <formula>NOT(ISERROR(SEARCH("Reasignación",K892)))</formula>
    </cfRule>
    <cfRule type="containsText" dxfId="3295" priority="3186" operator="containsText" text="RECHAZADA">
      <formula>NOT(ISERROR(SEARCH("RECHAZADA",K892)))</formula>
    </cfRule>
    <cfRule type="containsText" dxfId="3294" priority="3187" operator="containsText" text="Atendida">
      <formula>NOT(ISERROR(SEARCH("Atendida",K892)))</formula>
    </cfRule>
    <cfRule type="containsText" dxfId="3293" priority="3188" operator="containsText" text="Reasignación">
      <formula>NOT(ISERROR(SEARCH("Reasignación",K892)))</formula>
    </cfRule>
    <cfRule type="containsText" dxfId="3292" priority="3189" operator="containsText" text="RECHAZADA">
      <formula>NOT(ISERROR(SEARCH("RECHAZADA",K892)))</formula>
    </cfRule>
    <cfRule type="containsText" dxfId="3291" priority="3190" operator="containsText" text="Atendida">
      <formula>NOT(ISERROR(SEARCH("Atendida",K892)))</formula>
    </cfRule>
    <cfRule type="containsText" dxfId="3290" priority="3191" operator="containsText" text="Reasignación">
      <formula>NOT(ISERROR(SEARCH("Reasignación",K892)))</formula>
    </cfRule>
    <cfRule type="containsText" dxfId="3289" priority="3192" operator="containsText" text="RECHAZADA">
      <formula>NOT(ISERROR(SEARCH("RECHAZADA",K892)))</formula>
    </cfRule>
    <cfRule type="containsText" dxfId="3288" priority="3193" operator="containsText" text="Atendida">
      <formula>NOT(ISERROR(SEARCH("Atendida",K892)))</formula>
    </cfRule>
    <cfRule type="containsText" dxfId="3287" priority="3194" operator="containsText" text="Reasignación">
      <formula>NOT(ISERROR(SEARCH("Reasignación",K892)))</formula>
    </cfRule>
    <cfRule type="containsText" dxfId="3286" priority="3195" operator="containsText" text="RECHAZADA">
      <formula>NOT(ISERROR(SEARCH("RECHAZADA",K892)))</formula>
    </cfRule>
    <cfRule type="containsText" dxfId="3285" priority="3196" operator="containsText" text="Atendida">
      <formula>NOT(ISERROR(SEARCH("Atendida",K892)))</formula>
    </cfRule>
    <cfRule type="containsText" dxfId="3284" priority="3197" operator="containsText" text="Reasignación">
      <formula>NOT(ISERROR(SEARCH("Reasignación",K892)))</formula>
    </cfRule>
    <cfRule type="containsText" dxfId="3283" priority="3198" operator="containsText" text="RECHAZADA">
      <formula>NOT(ISERROR(SEARCH("RECHAZADA",K892)))</formula>
    </cfRule>
    <cfRule type="containsText" dxfId="3282" priority="3199" operator="containsText" text="Atendida">
      <formula>NOT(ISERROR(SEARCH("Atendida",K892)))</formula>
    </cfRule>
    <cfRule type="containsText" dxfId="3281" priority="3200" operator="containsText" text="Reasignación">
      <formula>NOT(ISERROR(SEARCH("Reasignación",K892)))</formula>
    </cfRule>
    <cfRule type="containsText" dxfId="3280" priority="3201" operator="containsText" text="RECHAZADA">
      <formula>NOT(ISERROR(SEARCH("RECHAZADA",K892)))</formula>
    </cfRule>
    <cfRule type="containsText" dxfId="3279" priority="3202" operator="containsText" text="Atendida">
      <formula>NOT(ISERROR(SEARCH("Atendida",K892)))</formula>
    </cfRule>
    <cfRule type="containsText" dxfId="3278" priority="3203" operator="containsText" text="Reasignación">
      <formula>NOT(ISERROR(SEARCH("Reasignación",K892)))</formula>
    </cfRule>
    <cfRule type="containsText" dxfId="3277" priority="3204" operator="containsText" text="RECHAZADA">
      <formula>NOT(ISERROR(SEARCH("RECHAZADA",K892)))</formula>
    </cfRule>
    <cfRule type="containsText" dxfId="3276" priority="3205" operator="containsText" text="Atendida">
      <formula>NOT(ISERROR(SEARCH("Atendida",K892)))</formula>
    </cfRule>
    <cfRule type="containsText" dxfId="3275" priority="3206" operator="containsText" text="Reasignación">
      <formula>NOT(ISERROR(SEARCH("Reasignación",K892)))</formula>
    </cfRule>
    <cfRule type="containsText" dxfId="3274" priority="3207" operator="containsText" text="RECHAZADA">
      <formula>NOT(ISERROR(SEARCH("RECHAZADA",K892)))</formula>
    </cfRule>
    <cfRule type="containsText" dxfId="3273" priority="3208" operator="containsText" text="Atendida">
      <formula>NOT(ISERROR(SEARCH("Atendida",K892)))</formula>
    </cfRule>
    <cfRule type="containsText" dxfId="3272" priority="3209" operator="containsText" text="Reasignación">
      <formula>NOT(ISERROR(SEARCH("Reasignación",K892)))</formula>
    </cfRule>
    <cfRule type="containsText" dxfId="3271" priority="3210" operator="containsText" text="RECHAZADA">
      <formula>NOT(ISERROR(SEARCH("RECHAZADA",K892)))</formula>
    </cfRule>
    <cfRule type="containsText" dxfId="3270" priority="3211" operator="containsText" text="Atendida">
      <formula>NOT(ISERROR(SEARCH("Atendida",K892)))</formula>
    </cfRule>
    <cfRule type="containsText" dxfId="3269" priority="3212" operator="containsText" text="Reasignación">
      <formula>NOT(ISERROR(SEARCH("Reasignación",K892)))</formula>
    </cfRule>
    <cfRule type="containsText" dxfId="3268" priority="3213" operator="containsText" text="RECHAZADA">
      <formula>NOT(ISERROR(SEARCH("RECHAZADA",K892)))</formula>
    </cfRule>
    <cfRule type="containsText" dxfId="3267" priority="3214" operator="containsText" text="Atendida">
      <formula>NOT(ISERROR(SEARCH("Atendida",K892)))</formula>
    </cfRule>
    <cfRule type="containsText" dxfId="3266" priority="3215" operator="containsText" text="Reasignación">
      <formula>NOT(ISERROR(SEARCH("Reasignación",K892)))</formula>
    </cfRule>
    <cfRule type="containsText" dxfId="3265" priority="3216" operator="containsText" text="RECHAZADA">
      <formula>NOT(ISERROR(SEARCH("RECHAZADA",K892)))</formula>
    </cfRule>
    <cfRule type="containsText" dxfId="3264" priority="3217" operator="containsText" text="Atendida">
      <formula>NOT(ISERROR(SEARCH("Atendida",K892)))</formula>
    </cfRule>
    <cfRule type="containsText" dxfId="3263" priority="3218" operator="containsText" text="Reasignación">
      <formula>NOT(ISERROR(SEARCH("Reasignación",K892)))</formula>
    </cfRule>
    <cfRule type="containsText" dxfId="3262" priority="3219" operator="containsText" text="RECHAZADA">
      <formula>NOT(ISERROR(SEARCH("RECHAZADA",K892)))</formula>
    </cfRule>
    <cfRule type="containsText" dxfId="3261" priority="3220" operator="containsText" text="Atendida">
      <formula>NOT(ISERROR(SEARCH("Atendida",K892)))</formula>
    </cfRule>
    <cfRule type="containsText" dxfId="3260" priority="3221" operator="containsText" text="Reasignación">
      <formula>NOT(ISERROR(SEARCH("Reasignación",K892)))</formula>
    </cfRule>
    <cfRule type="containsText" dxfId="3259" priority="3222" operator="containsText" text="RECHAZADA">
      <formula>NOT(ISERROR(SEARCH("RECHAZADA",K892)))</formula>
    </cfRule>
    <cfRule type="containsText" dxfId="3258" priority="3223" operator="containsText" text="Atendida">
      <formula>NOT(ISERROR(SEARCH("Atendida",K892)))</formula>
    </cfRule>
    <cfRule type="containsText" dxfId="3257" priority="3224" operator="containsText" text="Reasignación">
      <formula>NOT(ISERROR(SEARCH("Reasignación",K892)))</formula>
    </cfRule>
    <cfRule type="containsText" dxfId="3256" priority="3225" operator="containsText" text="RECHAZADA">
      <formula>NOT(ISERROR(SEARCH("RECHAZADA",K892)))</formula>
    </cfRule>
    <cfRule type="containsText" dxfId="3255" priority="3226" operator="containsText" text="Atendida">
      <formula>NOT(ISERROR(SEARCH("Atendida",K892)))</formula>
    </cfRule>
    <cfRule type="containsText" dxfId="3254" priority="3227" operator="containsText" text="Reasignación">
      <formula>NOT(ISERROR(SEARCH("Reasignación",K892)))</formula>
    </cfRule>
    <cfRule type="containsText" dxfId="3253" priority="3228" operator="containsText" text="RECHAZADA">
      <formula>NOT(ISERROR(SEARCH("RECHAZADA",K892)))</formula>
    </cfRule>
    <cfRule type="containsText" dxfId="3252" priority="3229" operator="containsText" text="Atendida">
      <formula>NOT(ISERROR(SEARCH("Atendida",K892)))</formula>
    </cfRule>
    <cfRule type="containsText" dxfId="3251" priority="3230" operator="containsText" text="Reasignación">
      <formula>NOT(ISERROR(SEARCH("Reasignación",K892)))</formula>
    </cfRule>
    <cfRule type="containsText" dxfId="3250" priority="3231" operator="containsText" text="RECHAZADA">
      <formula>NOT(ISERROR(SEARCH("RECHAZADA",K892)))</formula>
    </cfRule>
    <cfRule type="containsText" dxfId="3249" priority="3232" operator="containsText" text="Atendida">
      <formula>NOT(ISERROR(SEARCH("Atendida",K892)))</formula>
    </cfRule>
    <cfRule type="containsText" dxfId="3248" priority="3233" operator="containsText" text="Reasignación">
      <formula>NOT(ISERROR(SEARCH("Reasignación",K892)))</formula>
    </cfRule>
    <cfRule type="containsText" dxfId="3247" priority="3234" operator="containsText" text="RECHAZADA">
      <formula>NOT(ISERROR(SEARCH("RECHAZADA",K892)))</formula>
    </cfRule>
    <cfRule type="containsText" dxfId="3246" priority="3235" operator="containsText" text="Atendida">
      <formula>NOT(ISERROR(SEARCH("Atendida",K892)))</formula>
    </cfRule>
    <cfRule type="containsText" dxfId="3245" priority="3236" operator="containsText" text="Reasignación">
      <formula>NOT(ISERROR(SEARCH("Reasignación",K892)))</formula>
    </cfRule>
    <cfRule type="containsText" dxfId="3244" priority="3237" operator="containsText" text="RECHAZADA">
      <formula>NOT(ISERROR(SEARCH("RECHAZADA",K892)))</formula>
    </cfRule>
    <cfRule type="containsText" dxfId="3243" priority="3238" operator="containsText" text="Atendida">
      <formula>NOT(ISERROR(SEARCH("Atendida",K892)))</formula>
    </cfRule>
    <cfRule type="containsText" dxfId="3242" priority="3239" operator="containsText" text="Reasignación">
      <formula>NOT(ISERROR(SEARCH("Reasignación",K892)))</formula>
    </cfRule>
    <cfRule type="containsText" dxfId="3241" priority="3240" operator="containsText" text="RECHAZADA">
      <formula>NOT(ISERROR(SEARCH("RECHAZADA",K892)))</formula>
    </cfRule>
    <cfRule type="containsText" dxfId="3240" priority="3241" operator="containsText" text="Atendida">
      <formula>NOT(ISERROR(SEARCH("Atendida",K892)))</formula>
    </cfRule>
    <cfRule type="containsText" dxfId="3239" priority="3242" operator="containsText" text="Reasignación">
      <formula>NOT(ISERROR(SEARCH("Reasignación",K892)))</formula>
    </cfRule>
    <cfRule type="containsText" dxfId="3238" priority="3243" operator="containsText" text="RECHAZADA">
      <formula>NOT(ISERROR(SEARCH("RECHAZADA",K892)))</formula>
    </cfRule>
    <cfRule type="containsText" dxfId="3237" priority="3244" operator="containsText" text="Atendida">
      <formula>NOT(ISERROR(SEARCH("Atendida",K892)))</formula>
    </cfRule>
    <cfRule type="containsText" dxfId="3236" priority="3245" operator="containsText" text="Reasignación">
      <formula>NOT(ISERROR(SEARCH("Reasignación",K892)))</formula>
    </cfRule>
    <cfRule type="containsText" dxfId="3235" priority="3246" operator="containsText" text="RECHAZADA">
      <formula>NOT(ISERROR(SEARCH("RECHAZADA",K892)))</formula>
    </cfRule>
    <cfRule type="containsText" dxfId="3234" priority="3247" operator="containsText" text="Atendida">
      <formula>NOT(ISERROR(SEARCH("Atendida",K892)))</formula>
    </cfRule>
    <cfRule type="containsText" dxfId="3233" priority="3248" operator="containsText" text="Reasignación">
      <formula>NOT(ISERROR(SEARCH("Reasignación",K892)))</formula>
    </cfRule>
    <cfRule type="containsText" dxfId="3232" priority="3249" operator="containsText" text="RECHAZADA">
      <formula>NOT(ISERROR(SEARCH("RECHAZADA",K892)))</formula>
    </cfRule>
    <cfRule type="containsText" dxfId="3231" priority="3250" operator="containsText" text="Atendida">
      <formula>NOT(ISERROR(SEARCH("Atendida",K892)))</formula>
    </cfRule>
    <cfRule type="containsText" dxfId="3230" priority="3251" operator="containsText" text="Reasignación">
      <formula>NOT(ISERROR(SEARCH("Reasignación",K892)))</formula>
    </cfRule>
    <cfRule type="containsText" dxfId="3229" priority="3252" operator="containsText" text="RECHAZADA">
      <formula>NOT(ISERROR(SEARCH("RECHAZADA",K892)))</formula>
    </cfRule>
    <cfRule type="containsText" dxfId="3228" priority="3253" operator="containsText" text="Atendida">
      <formula>NOT(ISERROR(SEARCH("Atendida",K892)))</formula>
    </cfRule>
    <cfRule type="containsText" dxfId="3227" priority="3254" operator="containsText" text="Reasignación">
      <formula>NOT(ISERROR(SEARCH("Reasignación",K892)))</formula>
    </cfRule>
    <cfRule type="containsText" dxfId="3226" priority="3255" operator="containsText" text="RECHAZADA">
      <formula>NOT(ISERROR(SEARCH("RECHAZADA",K892)))</formula>
    </cfRule>
    <cfRule type="containsText" dxfId="3225" priority="3256" operator="containsText" text="Atendida">
      <formula>NOT(ISERROR(SEARCH("Atendida",K892)))</formula>
    </cfRule>
    <cfRule type="containsText" dxfId="3224" priority="3257" operator="containsText" text="Reasignación">
      <formula>NOT(ISERROR(SEARCH("Reasignación",K892)))</formula>
    </cfRule>
    <cfRule type="containsText" dxfId="3223" priority="3258" operator="containsText" text="RECHAZADA">
      <formula>NOT(ISERROR(SEARCH("RECHAZADA",K892)))</formula>
    </cfRule>
    <cfRule type="containsText" dxfId="3222" priority="3259" operator="containsText" text="Atendida">
      <formula>NOT(ISERROR(SEARCH("Atendida",K892)))</formula>
    </cfRule>
    <cfRule type="containsText" dxfId="3221" priority="3260" operator="containsText" text="Reasignación">
      <formula>NOT(ISERROR(SEARCH("Reasignación",K892)))</formula>
    </cfRule>
    <cfRule type="containsText" dxfId="3220" priority="3261" operator="containsText" text="RECHAZADA">
      <formula>NOT(ISERROR(SEARCH("RECHAZADA",K892)))</formula>
    </cfRule>
    <cfRule type="containsText" dxfId="3219" priority="3262" operator="containsText" text="Atendida">
      <formula>NOT(ISERROR(SEARCH("Atendida",K892)))</formula>
    </cfRule>
    <cfRule type="containsText" dxfId="3218" priority="3263" operator="containsText" text="Reasignación">
      <formula>NOT(ISERROR(SEARCH("Reasignación",K892)))</formula>
    </cfRule>
    <cfRule type="containsText" dxfId="3217" priority="3264" operator="containsText" text="RECHAZADA">
      <formula>NOT(ISERROR(SEARCH("RECHAZADA",K892)))</formula>
    </cfRule>
    <cfRule type="containsText" dxfId="3216" priority="3265" operator="containsText" text="Atendida">
      <formula>NOT(ISERROR(SEARCH("Atendida",K892)))</formula>
    </cfRule>
    <cfRule type="containsText" dxfId="3215" priority="3266" operator="containsText" text="Reasignación">
      <formula>NOT(ISERROR(SEARCH("Reasignación",K892)))</formula>
    </cfRule>
    <cfRule type="containsText" dxfId="3214" priority="3267" operator="containsText" text="RECHAZADA">
      <formula>NOT(ISERROR(SEARCH("RECHAZADA",K892)))</formula>
    </cfRule>
    <cfRule type="containsText" dxfId="3213" priority="3268" operator="containsText" text="Atendida">
      <formula>NOT(ISERROR(SEARCH("Atendida",K892)))</formula>
    </cfRule>
    <cfRule type="containsText" dxfId="3212" priority="3269" operator="containsText" text="Reasignación">
      <formula>NOT(ISERROR(SEARCH("Reasignación",K892)))</formula>
    </cfRule>
    <cfRule type="containsText" dxfId="3211" priority="3270" operator="containsText" text="RECHAZADA">
      <formula>NOT(ISERROR(SEARCH("RECHAZADA",K892)))</formula>
    </cfRule>
    <cfRule type="containsText" dxfId="3210" priority="3271" operator="containsText" text="Atendida">
      <formula>NOT(ISERROR(SEARCH("Atendida",K892)))</formula>
    </cfRule>
    <cfRule type="containsText" dxfId="3209" priority="3272" operator="containsText" text="Reasignación">
      <formula>NOT(ISERROR(SEARCH("Reasignación",K892)))</formula>
    </cfRule>
    <cfRule type="containsText" dxfId="3208" priority="3273" operator="containsText" text="RECHAZADA">
      <formula>NOT(ISERROR(SEARCH("RECHAZADA",K892)))</formula>
    </cfRule>
    <cfRule type="containsText" dxfId="3207" priority="3274" operator="containsText" text="Atendida">
      <formula>NOT(ISERROR(SEARCH("Atendida",K892)))</formula>
    </cfRule>
    <cfRule type="containsText" dxfId="3206" priority="3275" operator="containsText" text="Reasignación">
      <formula>NOT(ISERROR(SEARCH("Reasignación",K892)))</formula>
    </cfRule>
    <cfRule type="containsText" dxfId="3205" priority="3276" operator="containsText" text="RECHAZADA">
      <formula>NOT(ISERROR(SEARCH("RECHAZADA",K892)))</formula>
    </cfRule>
    <cfRule type="containsText" dxfId="3204" priority="3277" operator="containsText" text="Atendida">
      <formula>NOT(ISERROR(SEARCH("Atendida",K892)))</formula>
    </cfRule>
    <cfRule type="containsText" dxfId="3203" priority="3278" operator="containsText" text="Reasignación">
      <formula>NOT(ISERROR(SEARCH("Reasignación",K892)))</formula>
    </cfRule>
    <cfRule type="containsText" dxfId="3202" priority="3279" operator="containsText" text="RECHAZADA">
      <formula>NOT(ISERROR(SEARCH("RECHAZADA",K892)))</formula>
    </cfRule>
    <cfRule type="containsText" dxfId="3201" priority="3280" operator="containsText" text="Atendida">
      <formula>NOT(ISERROR(SEARCH("Atendida",K892)))</formula>
    </cfRule>
    <cfRule type="containsText" dxfId="3200" priority="3281" operator="containsText" text="Reasignación">
      <formula>NOT(ISERROR(SEARCH("Reasignación",K892)))</formula>
    </cfRule>
    <cfRule type="containsText" dxfId="3199" priority="3282" operator="containsText" text="RECHAZADA">
      <formula>NOT(ISERROR(SEARCH("RECHAZADA",K892)))</formula>
    </cfRule>
    <cfRule type="containsText" dxfId="3198" priority="3283" operator="containsText" text="Atendida">
      <formula>NOT(ISERROR(SEARCH("Atendida",K892)))</formula>
    </cfRule>
    <cfRule type="containsText" dxfId="3197" priority="3284" operator="containsText" text="Reasignación">
      <formula>NOT(ISERROR(SEARCH("Reasignación",K892)))</formula>
    </cfRule>
    <cfRule type="containsText" dxfId="3196" priority="3285" operator="containsText" text="RECHAZADA">
      <formula>NOT(ISERROR(SEARCH("RECHAZADA",K892)))</formula>
    </cfRule>
    <cfRule type="containsText" dxfId="3195" priority="3286" operator="containsText" text="Atendida">
      <formula>NOT(ISERROR(SEARCH("Atendida",K892)))</formula>
    </cfRule>
    <cfRule type="containsText" dxfId="3194" priority="3287" operator="containsText" text="Reasignación">
      <formula>NOT(ISERROR(SEARCH("Reasignación",K892)))</formula>
    </cfRule>
    <cfRule type="containsText" dxfId="3193" priority="3288" operator="containsText" text="RECHAZADA">
      <formula>NOT(ISERROR(SEARCH("RECHAZADA",K892)))</formula>
    </cfRule>
    <cfRule type="containsText" dxfId="3192" priority="3289" operator="containsText" text="Atendida">
      <formula>NOT(ISERROR(SEARCH("Atendida",K892)))</formula>
    </cfRule>
    <cfRule type="containsText" dxfId="3191" priority="3290" operator="containsText" text="Atendida">
      <formula>NOT(ISERROR(SEARCH("Atendida",K892)))</formula>
    </cfRule>
    <cfRule type="containsText" dxfId="3190" priority="3291" operator="containsText" text="Atendida">
      <formula>NOT(ISERROR(SEARCH("Atendida",K892)))</formula>
    </cfRule>
    <cfRule type="containsText" dxfId="3189" priority="3292" operator="containsText" text="Reasignación">
      <formula>NOT(ISERROR(SEARCH("Reasignación",K892)))</formula>
    </cfRule>
    <cfRule type="containsText" dxfId="3188" priority="3293" operator="containsText" text="RECHAZADA">
      <formula>NOT(ISERROR(SEARCH("RECHAZADA",K892)))</formula>
    </cfRule>
    <cfRule type="containsText" dxfId="3187" priority="3294" operator="containsText" text="Atendida">
      <formula>NOT(ISERROR(SEARCH("Atendida",K892)))</formula>
    </cfRule>
    <cfRule type="containsText" dxfId="3186" priority="3295" operator="containsText" text="Reasignación">
      <formula>NOT(ISERROR(SEARCH("Reasignación",K892)))</formula>
    </cfRule>
    <cfRule type="containsText" dxfId="3185" priority="3296" operator="containsText" text="RECHAZADA">
      <formula>NOT(ISERROR(SEARCH("RECHAZADA",K892)))</formula>
    </cfRule>
    <cfRule type="containsText" dxfId="3184" priority="3297" operator="containsText" text="Atendida">
      <formula>NOT(ISERROR(SEARCH("Atendida",K892)))</formula>
    </cfRule>
    <cfRule type="containsText" dxfId="3183" priority="3298" operator="containsText" text="Reasignación">
      <formula>NOT(ISERROR(SEARCH("Reasignación",K892)))</formula>
    </cfRule>
    <cfRule type="containsText" dxfId="3182" priority="3299" operator="containsText" text="RECHAZADA">
      <formula>NOT(ISERROR(SEARCH("RECHAZADA",K892)))</formula>
    </cfRule>
    <cfRule type="containsText" dxfId="3181" priority="3300" operator="containsText" text="Atendida">
      <formula>NOT(ISERROR(SEARCH("Atendida",K892)))</formula>
    </cfRule>
    <cfRule type="containsText" dxfId="3180" priority="3301" operator="containsText" text="Reasignación">
      <formula>NOT(ISERROR(SEARCH("Reasignación",K892)))</formula>
    </cfRule>
    <cfRule type="containsText" dxfId="3179" priority="3302" operator="containsText" text="RECHAZADA">
      <formula>NOT(ISERROR(SEARCH("RECHAZADA",K892)))</formula>
    </cfRule>
    <cfRule type="containsText" dxfId="3178" priority="3303" operator="containsText" text="Atendida">
      <formula>NOT(ISERROR(SEARCH("Atendida",K892)))</formula>
    </cfRule>
    <cfRule type="containsText" dxfId="3177" priority="3304" operator="containsText" text="Atendida">
      <formula>NOT(ISERROR(SEARCH("Atendida",K892)))</formula>
    </cfRule>
    <cfRule type="containsText" dxfId="3176" priority="3305" operator="containsText" text="Reasignación">
      <formula>NOT(ISERROR(SEARCH("Reasignación",K892)))</formula>
    </cfRule>
    <cfRule type="containsText" dxfId="3175" priority="3306" operator="containsText" text="RECHAZADA">
      <formula>NOT(ISERROR(SEARCH("RECHAZADA",K892)))</formula>
    </cfRule>
    <cfRule type="containsText" dxfId="3174" priority="3307" operator="containsText" text="Atendida">
      <formula>NOT(ISERROR(SEARCH("Atendida",K892)))</formula>
    </cfRule>
    <cfRule type="containsText" dxfId="3173" priority="3308" operator="containsText" text="Reasignación">
      <formula>NOT(ISERROR(SEARCH("Reasignación",K892)))</formula>
    </cfRule>
    <cfRule type="containsText" dxfId="3172" priority="3309" operator="containsText" text="RECHAZADA">
      <formula>NOT(ISERROR(SEARCH("RECHAZADA",K892)))</formula>
    </cfRule>
    <cfRule type="containsText" dxfId="3171" priority="3310" operator="containsText" text="Atendida">
      <formula>NOT(ISERROR(SEARCH("Atendida",K892)))</formula>
    </cfRule>
    <cfRule type="containsText" dxfId="3170" priority="3311" operator="containsText" text="Reasignación">
      <formula>NOT(ISERROR(SEARCH("Reasignación",K892)))</formula>
    </cfRule>
    <cfRule type="containsText" dxfId="3169" priority="3312" operator="containsText" text="RECHAZADA">
      <formula>NOT(ISERROR(SEARCH("RECHAZADA",K892)))</formula>
    </cfRule>
    <cfRule type="containsText" dxfId="3168" priority="3313" operator="containsText" text="Atendida">
      <formula>NOT(ISERROR(SEARCH("Atendida",K892)))</formula>
    </cfRule>
    <cfRule type="containsText" dxfId="3167" priority="3314" operator="containsText" text="RECHAZADA">
      <formula>NOT(ISERROR(SEARCH("RECHAZADA",K892)))</formula>
    </cfRule>
    <cfRule type="containsText" dxfId="3166" priority="3315" operator="containsText" text="Atendida">
      <formula>NOT(ISERROR(SEARCH("Atendida",K892)))</formula>
    </cfRule>
    <cfRule type="containsText" dxfId="3165" priority="3316" operator="containsText" text="Reasignación">
      <formula>NOT(ISERROR(SEARCH("Reasignación",K892)))</formula>
    </cfRule>
    <cfRule type="containsText" dxfId="3164" priority="3317" operator="containsText" text="RECHAZADA">
      <formula>NOT(ISERROR(SEARCH("RECHAZADA",K892)))</formula>
    </cfRule>
    <cfRule type="containsText" dxfId="3163" priority="3318" operator="containsText" text="Atendida">
      <formula>NOT(ISERROR(SEARCH("Atendida",K892)))</formula>
    </cfRule>
  </conditionalFormatting>
  <conditionalFormatting sqref="K892">
    <cfRule type="containsText" dxfId="3162" priority="3167" operator="containsText" text="Reasignación">
      <formula>NOT(ISERROR(SEARCH("Reasignación",K892)))</formula>
    </cfRule>
  </conditionalFormatting>
  <conditionalFormatting sqref="K893:K895">
    <cfRule type="containsText" dxfId="3161" priority="3165" operator="containsText" text="RECHAZADA">
      <formula>NOT(ISERROR(SEARCH("RECHAZADA",K893)))</formula>
    </cfRule>
    <cfRule type="containsText" dxfId="3160" priority="3166" operator="containsText" text="Atendida">
      <formula>NOT(ISERROR(SEARCH("Atendida",K893)))</formula>
    </cfRule>
  </conditionalFormatting>
  <conditionalFormatting sqref="K893:K895">
    <cfRule type="containsText" dxfId="3159" priority="3164" operator="containsText" text="Reasignación">
      <formula>NOT(ISERROR(SEARCH("Reasignación",K893)))</formula>
    </cfRule>
  </conditionalFormatting>
  <conditionalFormatting sqref="K893:K895">
    <cfRule type="containsText" dxfId="3158" priority="3162" operator="containsText" text="RECHAZADA">
      <formula>NOT(ISERROR(SEARCH("RECHAZADA",K893)))</formula>
    </cfRule>
  </conditionalFormatting>
  <conditionalFormatting sqref="K893:K895">
    <cfRule type="containsText" dxfId="3157" priority="3163" operator="containsText" text="Atendida">
      <formula>NOT(ISERROR(SEARCH("Atendida",K893)))</formula>
    </cfRule>
  </conditionalFormatting>
  <conditionalFormatting sqref="K893:K895">
    <cfRule type="containsText" dxfId="3156" priority="3154" operator="containsText" text="RECHAZADA">
      <formula>NOT(ISERROR(SEARCH("RECHAZADA",K893)))</formula>
    </cfRule>
  </conditionalFormatting>
  <conditionalFormatting sqref="K893:K895">
    <cfRule type="containsText" dxfId="3155" priority="3153" operator="containsText" text="Reasignación">
      <formula>NOT(ISERROR(SEARCH("Reasignación",K893)))</formula>
    </cfRule>
  </conditionalFormatting>
  <conditionalFormatting sqref="K893:K895">
    <cfRule type="containsText" dxfId="3154" priority="3157" operator="containsText" text="RECHAZADA">
      <formula>NOT(ISERROR(SEARCH("RECHAZADA",K893)))</formula>
    </cfRule>
    <cfRule type="containsText" dxfId="3153" priority="3158" operator="containsText" text="Atendida">
      <formula>NOT(ISERROR(SEARCH("Atendida",K893)))</formula>
    </cfRule>
    <cfRule type="containsText" dxfId="3152" priority="3159" operator="containsText" text="Reasignación">
      <formula>NOT(ISERROR(SEARCH("Reasignación",K893)))</formula>
    </cfRule>
    <cfRule type="containsText" dxfId="3151" priority="3160" operator="containsText" text="RECHAZADA">
      <formula>NOT(ISERROR(SEARCH("RECHAZADA",K893)))</formula>
    </cfRule>
    <cfRule type="containsText" dxfId="3150" priority="3161" operator="containsText" text="Atendida">
      <formula>NOT(ISERROR(SEARCH("Atendida",K893)))</formula>
    </cfRule>
  </conditionalFormatting>
  <conditionalFormatting sqref="K893:K895">
    <cfRule type="containsText" dxfId="3149" priority="3156" operator="containsText" text="Reasignación">
      <formula>NOT(ISERROR(SEARCH("Reasignación",K893)))</formula>
    </cfRule>
  </conditionalFormatting>
  <conditionalFormatting sqref="K893:K895">
    <cfRule type="containsText" dxfId="3148" priority="3155" operator="containsText" text="Atendida">
      <formula>NOT(ISERROR(SEARCH("Atendida",K893)))</formula>
    </cfRule>
  </conditionalFormatting>
  <conditionalFormatting sqref="K893:K895">
    <cfRule type="containsText" dxfId="3147" priority="3002" operator="containsText" text="RECHAZADA">
      <formula>NOT(ISERROR(SEARCH("RECHAZADA",K893)))</formula>
    </cfRule>
    <cfRule type="containsText" dxfId="3146" priority="3003" operator="containsText" text="Atendida">
      <formula>NOT(ISERROR(SEARCH("Atendida",K893)))</formula>
    </cfRule>
    <cfRule type="containsText" dxfId="3145" priority="3004" operator="containsText" text="Reasignación">
      <formula>NOT(ISERROR(SEARCH("Reasignación",K893)))</formula>
    </cfRule>
    <cfRule type="containsText" dxfId="3144" priority="3005" operator="containsText" text="RECHAZADA">
      <formula>NOT(ISERROR(SEARCH("RECHAZADA",K893)))</formula>
    </cfRule>
    <cfRule type="containsText" dxfId="3143" priority="3006" operator="containsText" text="Atendida">
      <formula>NOT(ISERROR(SEARCH("Atendida",K893)))</formula>
    </cfRule>
    <cfRule type="containsText" dxfId="3142" priority="3007" operator="containsText" text="Reasignación">
      <formula>NOT(ISERROR(SEARCH("Reasignación",K893)))</formula>
    </cfRule>
    <cfRule type="containsText" dxfId="3141" priority="3008" operator="containsText" text="RECHAZADA">
      <formula>NOT(ISERROR(SEARCH("RECHAZADA",K893)))</formula>
    </cfRule>
    <cfRule type="containsText" dxfId="3140" priority="3009" operator="containsText" text="Atendida">
      <formula>NOT(ISERROR(SEARCH("Atendida",K893)))</formula>
    </cfRule>
    <cfRule type="containsText" dxfId="3139" priority="3010" operator="containsText" text="Reasignación">
      <formula>NOT(ISERROR(SEARCH("Reasignación",K893)))</formula>
    </cfRule>
    <cfRule type="containsText" dxfId="3138" priority="3011" operator="containsText" text="RECHAZADA">
      <formula>NOT(ISERROR(SEARCH("RECHAZADA",K893)))</formula>
    </cfRule>
    <cfRule type="containsText" dxfId="3137" priority="3012" operator="containsText" text="Atendida">
      <formula>NOT(ISERROR(SEARCH("Atendida",K893)))</formula>
    </cfRule>
    <cfRule type="containsText" dxfId="3136" priority="3013" operator="containsText" text="Reasignación">
      <formula>NOT(ISERROR(SEARCH("Reasignación",K893)))</formula>
    </cfRule>
    <cfRule type="containsText" dxfId="3135" priority="3014" operator="containsText" text="RECHAZADA">
      <formula>NOT(ISERROR(SEARCH("RECHAZADA",K893)))</formula>
    </cfRule>
    <cfRule type="containsText" dxfId="3134" priority="3015" operator="containsText" text="Atendida">
      <formula>NOT(ISERROR(SEARCH("Atendida",K893)))</formula>
    </cfRule>
    <cfRule type="containsText" dxfId="3133" priority="3016" operator="containsText" text="Reasignación">
      <formula>NOT(ISERROR(SEARCH("Reasignación",K893)))</formula>
    </cfRule>
    <cfRule type="containsText" dxfId="3132" priority="3017" operator="containsText" text="RECHAZADA">
      <formula>NOT(ISERROR(SEARCH("RECHAZADA",K893)))</formula>
    </cfRule>
    <cfRule type="containsText" dxfId="3131" priority="3018" operator="containsText" text="Atendida">
      <formula>NOT(ISERROR(SEARCH("Atendida",K893)))</formula>
    </cfRule>
    <cfRule type="containsText" dxfId="3130" priority="3019" operator="containsText" text="Reasignación">
      <formula>NOT(ISERROR(SEARCH("Reasignación",K893)))</formula>
    </cfRule>
    <cfRule type="containsText" dxfId="3129" priority="3020" operator="containsText" text="RECHAZADA">
      <formula>NOT(ISERROR(SEARCH("RECHAZADA",K893)))</formula>
    </cfRule>
    <cfRule type="containsText" dxfId="3128" priority="3021" operator="containsText" text="Atendida">
      <formula>NOT(ISERROR(SEARCH("Atendida",K893)))</formula>
    </cfRule>
    <cfRule type="containsText" dxfId="3127" priority="3022" operator="containsText" text="Reasignación">
      <formula>NOT(ISERROR(SEARCH("Reasignación",K893)))</formula>
    </cfRule>
    <cfRule type="containsText" dxfId="3126" priority="3023" operator="containsText" text="RECHAZADA">
      <formula>NOT(ISERROR(SEARCH("RECHAZADA",K893)))</formula>
    </cfRule>
    <cfRule type="containsText" dxfId="3125" priority="3024" operator="containsText" text="Atendida">
      <formula>NOT(ISERROR(SEARCH("Atendida",K893)))</formula>
    </cfRule>
    <cfRule type="containsText" dxfId="3124" priority="3025" operator="containsText" text="Reasignación">
      <formula>NOT(ISERROR(SEARCH("Reasignación",K893)))</formula>
    </cfRule>
    <cfRule type="containsText" dxfId="3123" priority="3026" operator="containsText" text="RECHAZADA">
      <formula>NOT(ISERROR(SEARCH("RECHAZADA",K893)))</formula>
    </cfRule>
    <cfRule type="containsText" dxfId="3122" priority="3027" operator="containsText" text="Atendida">
      <formula>NOT(ISERROR(SEARCH("Atendida",K893)))</formula>
    </cfRule>
    <cfRule type="containsText" dxfId="3121" priority="3028" operator="containsText" text="Reasignación">
      <formula>NOT(ISERROR(SEARCH("Reasignación",K893)))</formula>
    </cfRule>
    <cfRule type="containsText" dxfId="3120" priority="3029" operator="containsText" text="RECHAZADA">
      <formula>NOT(ISERROR(SEARCH("RECHAZADA",K893)))</formula>
    </cfRule>
    <cfRule type="containsText" dxfId="3119" priority="3030" operator="containsText" text="Atendida">
      <formula>NOT(ISERROR(SEARCH("Atendida",K893)))</formula>
    </cfRule>
    <cfRule type="containsText" dxfId="3118" priority="3031" operator="containsText" text="Reasignación">
      <formula>NOT(ISERROR(SEARCH("Reasignación",K893)))</formula>
    </cfRule>
    <cfRule type="containsText" dxfId="3117" priority="3032" operator="containsText" text="RECHAZADA">
      <formula>NOT(ISERROR(SEARCH("RECHAZADA",K893)))</formula>
    </cfRule>
    <cfRule type="containsText" dxfId="3116" priority="3033" operator="containsText" text="Atendida">
      <formula>NOT(ISERROR(SEARCH("Atendida",K893)))</formula>
    </cfRule>
    <cfRule type="containsText" dxfId="3115" priority="3034" operator="containsText" text="Reasignación">
      <formula>NOT(ISERROR(SEARCH("Reasignación",K893)))</formula>
    </cfRule>
    <cfRule type="containsText" dxfId="3114" priority="3035" operator="containsText" text="RECHAZADA">
      <formula>NOT(ISERROR(SEARCH("RECHAZADA",K893)))</formula>
    </cfRule>
    <cfRule type="containsText" dxfId="3113" priority="3036" operator="containsText" text="Atendida">
      <formula>NOT(ISERROR(SEARCH("Atendida",K893)))</formula>
    </cfRule>
    <cfRule type="containsText" dxfId="3112" priority="3037" operator="containsText" text="Reasignación">
      <formula>NOT(ISERROR(SEARCH("Reasignación",K893)))</formula>
    </cfRule>
    <cfRule type="containsText" dxfId="3111" priority="3038" operator="containsText" text="RECHAZADA">
      <formula>NOT(ISERROR(SEARCH("RECHAZADA",K893)))</formula>
    </cfRule>
    <cfRule type="containsText" dxfId="3110" priority="3039" operator="containsText" text="Atendida">
      <formula>NOT(ISERROR(SEARCH("Atendida",K893)))</formula>
    </cfRule>
    <cfRule type="containsText" dxfId="3109" priority="3040" operator="containsText" text="Reasignación">
      <formula>NOT(ISERROR(SEARCH("Reasignación",K893)))</formula>
    </cfRule>
    <cfRule type="containsText" dxfId="3108" priority="3041" operator="containsText" text="RECHAZADA">
      <formula>NOT(ISERROR(SEARCH("RECHAZADA",K893)))</formula>
    </cfRule>
    <cfRule type="containsText" dxfId="3107" priority="3042" operator="containsText" text="Atendida">
      <formula>NOT(ISERROR(SEARCH("Atendida",K893)))</formula>
    </cfRule>
    <cfRule type="containsText" dxfId="3106" priority="3043" operator="containsText" text="Reasignación">
      <formula>NOT(ISERROR(SEARCH("Reasignación",K893)))</formula>
    </cfRule>
    <cfRule type="containsText" dxfId="3105" priority="3044" operator="containsText" text="RECHAZADA">
      <formula>NOT(ISERROR(SEARCH("RECHAZADA",K893)))</formula>
    </cfRule>
    <cfRule type="containsText" dxfId="3104" priority="3045" operator="containsText" text="Atendida">
      <formula>NOT(ISERROR(SEARCH("Atendida",K893)))</formula>
    </cfRule>
    <cfRule type="containsText" dxfId="3103" priority="3046" operator="containsText" text="Reasignación">
      <formula>NOT(ISERROR(SEARCH("Reasignación",K893)))</formula>
    </cfRule>
    <cfRule type="containsText" dxfId="3102" priority="3047" operator="containsText" text="RECHAZADA">
      <formula>NOT(ISERROR(SEARCH("RECHAZADA",K893)))</formula>
    </cfRule>
    <cfRule type="containsText" dxfId="3101" priority="3048" operator="containsText" text="Atendida">
      <formula>NOT(ISERROR(SEARCH("Atendida",K893)))</formula>
    </cfRule>
    <cfRule type="containsText" dxfId="3100" priority="3049" operator="containsText" text="Reasignación">
      <formula>NOT(ISERROR(SEARCH("Reasignación",K893)))</formula>
    </cfRule>
    <cfRule type="containsText" dxfId="3099" priority="3050" operator="containsText" text="RECHAZADA">
      <formula>NOT(ISERROR(SEARCH("RECHAZADA",K893)))</formula>
    </cfRule>
    <cfRule type="containsText" dxfId="3098" priority="3051" operator="containsText" text="Atendida">
      <formula>NOT(ISERROR(SEARCH("Atendida",K893)))</formula>
    </cfRule>
    <cfRule type="containsText" dxfId="3097" priority="3052" operator="containsText" text="Reasignación">
      <formula>NOT(ISERROR(SEARCH("Reasignación",K893)))</formula>
    </cfRule>
    <cfRule type="containsText" dxfId="3096" priority="3053" operator="containsText" text="RECHAZADA">
      <formula>NOT(ISERROR(SEARCH("RECHAZADA",K893)))</formula>
    </cfRule>
    <cfRule type="containsText" dxfId="3095" priority="3054" operator="containsText" text="Atendida">
      <formula>NOT(ISERROR(SEARCH("Atendida",K893)))</formula>
    </cfRule>
    <cfRule type="containsText" dxfId="3094" priority="3055" operator="containsText" text="Reasignación">
      <formula>NOT(ISERROR(SEARCH("Reasignación",K893)))</formula>
    </cfRule>
    <cfRule type="containsText" dxfId="3093" priority="3056" operator="containsText" text="RECHAZADA">
      <formula>NOT(ISERROR(SEARCH("RECHAZADA",K893)))</formula>
    </cfRule>
    <cfRule type="containsText" dxfId="3092" priority="3057" operator="containsText" text="Atendida">
      <formula>NOT(ISERROR(SEARCH("Atendida",K893)))</formula>
    </cfRule>
    <cfRule type="containsText" dxfId="3091" priority="3058" operator="containsText" text="Reasignación">
      <formula>NOT(ISERROR(SEARCH("Reasignación",K893)))</formula>
    </cfRule>
    <cfRule type="containsText" dxfId="3090" priority="3059" operator="containsText" text="RECHAZADA">
      <formula>NOT(ISERROR(SEARCH("RECHAZADA",K893)))</formula>
    </cfRule>
    <cfRule type="containsText" dxfId="3089" priority="3060" operator="containsText" text="Atendida">
      <formula>NOT(ISERROR(SEARCH("Atendida",K893)))</formula>
    </cfRule>
    <cfRule type="containsText" dxfId="3088" priority="3061" operator="containsText" text="Reasignación">
      <formula>NOT(ISERROR(SEARCH("Reasignación",K893)))</formula>
    </cfRule>
    <cfRule type="containsText" dxfId="3087" priority="3062" operator="containsText" text="RECHAZADA">
      <formula>NOT(ISERROR(SEARCH("RECHAZADA",K893)))</formula>
    </cfRule>
    <cfRule type="containsText" dxfId="3086" priority="3063" operator="containsText" text="Atendida">
      <formula>NOT(ISERROR(SEARCH("Atendida",K893)))</formula>
    </cfRule>
    <cfRule type="containsText" dxfId="3085" priority="3064" operator="containsText" text="Reasignación">
      <formula>NOT(ISERROR(SEARCH("Reasignación",K893)))</formula>
    </cfRule>
    <cfRule type="containsText" dxfId="3084" priority="3065" operator="containsText" text="RECHAZADA">
      <formula>NOT(ISERROR(SEARCH("RECHAZADA",K893)))</formula>
    </cfRule>
    <cfRule type="containsText" dxfId="3083" priority="3066" operator="containsText" text="Atendida">
      <formula>NOT(ISERROR(SEARCH("Atendida",K893)))</formula>
    </cfRule>
    <cfRule type="containsText" dxfId="3082" priority="3067" operator="containsText" text="Reasignación">
      <formula>NOT(ISERROR(SEARCH("Reasignación",K893)))</formula>
    </cfRule>
    <cfRule type="containsText" dxfId="3081" priority="3068" operator="containsText" text="RECHAZADA">
      <formula>NOT(ISERROR(SEARCH("RECHAZADA",K893)))</formula>
    </cfRule>
    <cfRule type="containsText" dxfId="3080" priority="3069" operator="containsText" text="Atendida">
      <formula>NOT(ISERROR(SEARCH("Atendida",K893)))</formula>
    </cfRule>
    <cfRule type="containsText" dxfId="3079" priority="3070" operator="containsText" text="Reasignación">
      <formula>NOT(ISERROR(SEARCH("Reasignación",K893)))</formula>
    </cfRule>
    <cfRule type="containsText" dxfId="3078" priority="3071" operator="containsText" text="RECHAZADA">
      <formula>NOT(ISERROR(SEARCH("RECHAZADA",K893)))</formula>
    </cfRule>
    <cfRule type="containsText" dxfId="3077" priority="3072" operator="containsText" text="Atendida">
      <formula>NOT(ISERROR(SEARCH("Atendida",K893)))</formula>
    </cfRule>
    <cfRule type="containsText" dxfId="3076" priority="3073" operator="containsText" text="Reasignación">
      <formula>NOT(ISERROR(SEARCH("Reasignación",K893)))</formula>
    </cfRule>
    <cfRule type="containsText" dxfId="3075" priority="3074" operator="containsText" text="RECHAZADA">
      <formula>NOT(ISERROR(SEARCH("RECHAZADA",K893)))</formula>
    </cfRule>
    <cfRule type="containsText" dxfId="3074" priority="3075" operator="containsText" text="Atendida">
      <formula>NOT(ISERROR(SEARCH("Atendida",K893)))</formula>
    </cfRule>
    <cfRule type="containsText" dxfId="3073" priority="3076" operator="containsText" text="Reasignación">
      <formula>NOT(ISERROR(SEARCH("Reasignación",K893)))</formula>
    </cfRule>
    <cfRule type="containsText" dxfId="3072" priority="3077" operator="containsText" text="RECHAZADA">
      <formula>NOT(ISERROR(SEARCH("RECHAZADA",K893)))</formula>
    </cfRule>
    <cfRule type="containsText" dxfId="3071" priority="3078" operator="containsText" text="Atendida">
      <formula>NOT(ISERROR(SEARCH("Atendida",K893)))</formula>
    </cfRule>
    <cfRule type="containsText" dxfId="3070" priority="3079" operator="containsText" text="Reasignación">
      <formula>NOT(ISERROR(SEARCH("Reasignación",K893)))</formula>
    </cfRule>
    <cfRule type="containsText" dxfId="3069" priority="3080" operator="containsText" text="RECHAZADA">
      <formula>NOT(ISERROR(SEARCH("RECHAZADA",K893)))</formula>
    </cfRule>
    <cfRule type="containsText" dxfId="3068" priority="3081" operator="containsText" text="Atendida">
      <formula>NOT(ISERROR(SEARCH("Atendida",K893)))</formula>
    </cfRule>
    <cfRule type="containsText" dxfId="3067" priority="3082" operator="containsText" text="Reasignación">
      <formula>NOT(ISERROR(SEARCH("Reasignación",K893)))</formula>
    </cfRule>
    <cfRule type="containsText" dxfId="3066" priority="3083" operator="containsText" text="RECHAZADA">
      <formula>NOT(ISERROR(SEARCH("RECHAZADA",K893)))</formula>
    </cfRule>
    <cfRule type="containsText" dxfId="3065" priority="3084" operator="containsText" text="Atendida">
      <formula>NOT(ISERROR(SEARCH("Atendida",K893)))</formula>
    </cfRule>
    <cfRule type="containsText" dxfId="3064" priority="3085" operator="containsText" text="Reasignación">
      <formula>NOT(ISERROR(SEARCH("Reasignación",K893)))</formula>
    </cfRule>
    <cfRule type="containsText" dxfId="3063" priority="3086" operator="containsText" text="RECHAZADA">
      <formula>NOT(ISERROR(SEARCH("RECHAZADA",K893)))</formula>
    </cfRule>
    <cfRule type="containsText" dxfId="3062" priority="3087" operator="containsText" text="Atendida">
      <formula>NOT(ISERROR(SEARCH("Atendida",K893)))</formula>
    </cfRule>
    <cfRule type="containsText" dxfId="3061" priority="3088" operator="containsText" text="Reasignación">
      <formula>NOT(ISERROR(SEARCH("Reasignación",K893)))</formula>
    </cfRule>
    <cfRule type="containsText" dxfId="3060" priority="3089" operator="containsText" text="RECHAZADA">
      <formula>NOT(ISERROR(SEARCH("RECHAZADA",K893)))</formula>
    </cfRule>
    <cfRule type="containsText" dxfId="3059" priority="3090" operator="containsText" text="Atendida">
      <formula>NOT(ISERROR(SEARCH("Atendida",K893)))</formula>
    </cfRule>
    <cfRule type="containsText" dxfId="3058" priority="3091" operator="containsText" text="Reasignación">
      <formula>NOT(ISERROR(SEARCH("Reasignación",K893)))</formula>
    </cfRule>
    <cfRule type="containsText" dxfId="3057" priority="3092" operator="containsText" text="RECHAZADA">
      <formula>NOT(ISERROR(SEARCH("RECHAZADA",K893)))</formula>
    </cfRule>
    <cfRule type="containsText" dxfId="3056" priority="3093" operator="containsText" text="Atendida">
      <formula>NOT(ISERROR(SEARCH("Atendida",K893)))</formula>
    </cfRule>
    <cfRule type="containsText" dxfId="3055" priority="3094" operator="containsText" text="Reasignación">
      <formula>NOT(ISERROR(SEARCH("Reasignación",K893)))</formula>
    </cfRule>
    <cfRule type="containsText" dxfId="3054" priority="3095" operator="containsText" text="RECHAZADA">
      <formula>NOT(ISERROR(SEARCH("RECHAZADA",K893)))</formula>
    </cfRule>
    <cfRule type="containsText" dxfId="3053" priority="3096" operator="containsText" text="Atendida">
      <formula>NOT(ISERROR(SEARCH("Atendida",K893)))</formula>
    </cfRule>
    <cfRule type="containsText" dxfId="3052" priority="3097" operator="containsText" text="Reasignación">
      <formula>NOT(ISERROR(SEARCH("Reasignación",K893)))</formula>
    </cfRule>
    <cfRule type="containsText" dxfId="3051" priority="3098" operator="containsText" text="RECHAZADA">
      <formula>NOT(ISERROR(SEARCH("RECHAZADA",K893)))</formula>
    </cfRule>
    <cfRule type="containsText" dxfId="3050" priority="3099" operator="containsText" text="Atendida">
      <formula>NOT(ISERROR(SEARCH("Atendida",K893)))</formula>
    </cfRule>
    <cfRule type="containsText" dxfId="3049" priority="3100" operator="containsText" text="Reasignación">
      <formula>NOT(ISERROR(SEARCH("Reasignación",K893)))</formula>
    </cfRule>
    <cfRule type="containsText" dxfId="3048" priority="3101" operator="containsText" text="RECHAZADA">
      <formula>NOT(ISERROR(SEARCH("RECHAZADA",K893)))</formula>
    </cfRule>
    <cfRule type="containsText" dxfId="3047" priority="3102" operator="containsText" text="Atendida">
      <formula>NOT(ISERROR(SEARCH("Atendida",K893)))</formula>
    </cfRule>
    <cfRule type="containsText" dxfId="3046" priority="3103" operator="containsText" text="Reasignación">
      <formula>NOT(ISERROR(SEARCH("Reasignación",K893)))</formula>
    </cfRule>
    <cfRule type="containsText" dxfId="3045" priority="3104" operator="containsText" text="RECHAZADA">
      <formula>NOT(ISERROR(SEARCH("RECHAZADA",K893)))</formula>
    </cfRule>
    <cfRule type="containsText" dxfId="3044" priority="3105" operator="containsText" text="Atendida">
      <formula>NOT(ISERROR(SEARCH("Atendida",K893)))</formula>
    </cfRule>
    <cfRule type="containsText" dxfId="3043" priority="3106" operator="containsText" text="Reasignación">
      <formula>NOT(ISERROR(SEARCH("Reasignación",K893)))</formula>
    </cfRule>
    <cfRule type="containsText" dxfId="3042" priority="3107" operator="containsText" text="RECHAZADA">
      <formula>NOT(ISERROR(SEARCH("RECHAZADA",K893)))</formula>
    </cfRule>
    <cfRule type="containsText" dxfId="3041" priority="3108" operator="containsText" text="Atendida">
      <formula>NOT(ISERROR(SEARCH("Atendida",K893)))</formula>
    </cfRule>
    <cfRule type="containsText" dxfId="3040" priority="3109" operator="containsText" text="Reasignación">
      <formula>NOT(ISERROR(SEARCH("Reasignación",K893)))</formula>
    </cfRule>
    <cfRule type="containsText" dxfId="3039" priority="3110" operator="containsText" text="RECHAZADA">
      <formula>NOT(ISERROR(SEARCH("RECHAZADA",K893)))</formula>
    </cfRule>
    <cfRule type="containsText" dxfId="3038" priority="3111" operator="containsText" text="Atendida">
      <formula>NOT(ISERROR(SEARCH("Atendida",K893)))</formula>
    </cfRule>
    <cfRule type="containsText" dxfId="3037" priority="3112" operator="containsText" text="Reasignación">
      <formula>NOT(ISERROR(SEARCH("Reasignación",K893)))</formula>
    </cfRule>
    <cfRule type="containsText" dxfId="3036" priority="3113" operator="containsText" text="RECHAZADA">
      <formula>NOT(ISERROR(SEARCH("RECHAZADA",K893)))</formula>
    </cfRule>
    <cfRule type="containsText" dxfId="3035" priority="3114" operator="containsText" text="Atendida">
      <formula>NOT(ISERROR(SEARCH("Atendida",K893)))</formula>
    </cfRule>
    <cfRule type="containsText" dxfId="3034" priority="3115" operator="containsText" text="Reasignación">
      <formula>NOT(ISERROR(SEARCH("Reasignación",K893)))</formula>
    </cfRule>
    <cfRule type="containsText" dxfId="3033" priority="3116" operator="containsText" text="RECHAZADA">
      <formula>NOT(ISERROR(SEARCH("RECHAZADA",K893)))</formula>
    </cfRule>
    <cfRule type="containsText" dxfId="3032" priority="3117" operator="containsText" text="Atendida">
      <formula>NOT(ISERROR(SEARCH("Atendida",K893)))</formula>
    </cfRule>
    <cfRule type="containsText" dxfId="3031" priority="3118" operator="containsText" text="Reasignación">
      <formula>NOT(ISERROR(SEARCH("Reasignación",K893)))</formula>
    </cfRule>
    <cfRule type="containsText" dxfId="3030" priority="3119" operator="containsText" text="RECHAZADA">
      <formula>NOT(ISERROR(SEARCH("RECHAZADA",K893)))</formula>
    </cfRule>
    <cfRule type="containsText" dxfId="3029" priority="3120" operator="containsText" text="Atendida">
      <formula>NOT(ISERROR(SEARCH("Atendida",K893)))</formula>
    </cfRule>
    <cfRule type="containsText" dxfId="3028" priority="3121" operator="containsText" text="Reasignación">
      <formula>NOT(ISERROR(SEARCH("Reasignación",K893)))</formula>
    </cfRule>
    <cfRule type="containsText" dxfId="3027" priority="3122" operator="containsText" text="RECHAZADA">
      <formula>NOT(ISERROR(SEARCH("RECHAZADA",K893)))</formula>
    </cfRule>
    <cfRule type="containsText" dxfId="3026" priority="3123" operator="containsText" text="Atendida">
      <formula>NOT(ISERROR(SEARCH("Atendida",K893)))</formula>
    </cfRule>
    <cfRule type="containsText" dxfId="3025" priority="3124" operator="containsText" text="Atendida">
      <formula>NOT(ISERROR(SEARCH("Atendida",K893)))</formula>
    </cfRule>
    <cfRule type="containsText" dxfId="3024" priority="3125" operator="containsText" text="Atendida">
      <formula>NOT(ISERROR(SEARCH("Atendida",K893)))</formula>
    </cfRule>
    <cfRule type="containsText" dxfId="3023" priority="3126" operator="containsText" text="Reasignación">
      <formula>NOT(ISERROR(SEARCH("Reasignación",K893)))</formula>
    </cfRule>
    <cfRule type="containsText" dxfId="3022" priority="3127" operator="containsText" text="RECHAZADA">
      <formula>NOT(ISERROR(SEARCH("RECHAZADA",K893)))</formula>
    </cfRule>
    <cfRule type="containsText" dxfId="3021" priority="3128" operator="containsText" text="Atendida">
      <formula>NOT(ISERROR(SEARCH("Atendida",K893)))</formula>
    </cfRule>
    <cfRule type="containsText" dxfId="3020" priority="3129" operator="containsText" text="Reasignación">
      <formula>NOT(ISERROR(SEARCH("Reasignación",K893)))</formula>
    </cfRule>
    <cfRule type="containsText" dxfId="3019" priority="3130" operator="containsText" text="RECHAZADA">
      <formula>NOT(ISERROR(SEARCH("RECHAZADA",K893)))</formula>
    </cfRule>
    <cfRule type="containsText" dxfId="3018" priority="3131" operator="containsText" text="Atendida">
      <formula>NOT(ISERROR(SEARCH("Atendida",K893)))</formula>
    </cfRule>
    <cfRule type="containsText" dxfId="3017" priority="3132" operator="containsText" text="Reasignación">
      <formula>NOT(ISERROR(SEARCH("Reasignación",K893)))</formula>
    </cfRule>
    <cfRule type="containsText" dxfId="3016" priority="3133" operator="containsText" text="RECHAZADA">
      <formula>NOT(ISERROR(SEARCH("RECHAZADA",K893)))</formula>
    </cfRule>
    <cfRule type="containsText" dxfId="3015" priority="3134" operator="containsText" text="Atendida">
      <formula>NOT(ISERROR(SEARCH("Atendida",K893)))</formula>
    </cfRule>
    <cfRule type="containsText" dxfId="3014" priority="3135" operator="containsText" text="Reasignación">
      <formula>NOT(ISERROR(SEARCH("Reasignación",K893)))</formula>
    </cfRule>
    <cfRule type="containsText" dxfId="3013" priority="3136" operator="containsText" text="RECHAZADA">
      <formula>NOT(ISERROR(SEARCH("RECHAZADA",K893)))</formula>
    </cfRule>
    <cfRule type="containsText" dxfId="3012" priority="3137" operator="containsText" text="Atendida">
      <formula>NOT(ISERROR(SEARCH("Atendida",K893)))</formula>
    </cfRule>
    <cfRule type="containsText" dxfId="3011" priority="3138" operator="containsText" text="Atendida">
      <formula>NOT(ISERROR(SEARCH("Atendida",K893)))</formula>
    </cfRule>
    <cfRule type="containsText" dxfId="3010" priority="3139" operator="containsText" text="Reasignación">
      <formula>NOT(ISERROR(SEARCH("Reasignación",K893)))</formula>
    </cfRule>
    <cfRule type="containsText" dxfId="3009" priority="3140" operator="containsText" text="RECHAZADA">
      <formula>NOT(ISERROR(SEARCH("RECHAZADA",K893)))</formula>
    </cfRule>
    <cfRule type="containsText" dxfId="3008" priority="3141" operator="containsText" text="Atendida">
      <formula>NOT(ISERROR(SEARCH("Atendida",K893)))</formula>
    </cfRule>
    <cfRule type="containsText" dxfId="3007" priority="3142" operator="containsText" text="Reasignación">
      <formula>NOT(ISERROR(SEARCH("Reasignación",K893)))</formula>
    </cfRule>
    <cfRule type="containsText" dxfId="3006" priority="3143" operator="containsText" text="RECHAZADA">
      <formula>NOT(ISERROR(SEARCH("RECHAZADA",K893)))</formula>
    </cfRule>
    <cfRule type="containsText" dxfId="3005" priority="3144" operator="containsText" text="Atendida">
      <formula>NOT(ISERROR(SEARCH("Atendida",K893)))</formula>
    </cfRule>
    <cfRule type="containsText" dxfId="3004" priority="3145" operator="containsText" text="Reasignación">
      <formula>NOT(ISERROR(SEARCH("Reasignación",K893)))</formula>
    </cfRule>
    <cfRule type="containsText" dxfId="3003" priority="3146" operator="containsText" text="RECHAZADA">
      <formula>NOT(ISERROR(SEARCH("RECHAZADA",K893)))</formula>
    </cfRule>
    <cfRule type="containsText" dxfId="3002" priority="3147" operator="containsText" text="Atendida">
      <formula>NOT(ISERROR(SEARCH("Atendida",K893)))</formula>
    </cfRule>
    <cfRule type="containsText" dxfId="3001" priority="3148" operator="containsText" text="RECHAZADA">
      <formula>NOT(ISERROR(SEARCH("RECHAZADA",K893)))</formula>
    </cfRule>
    <cfRule type="containsText" dxfId="3000" priority="3149" operator="containsText" text="Atendida">
      <formula>NOT(ISERROR(SEARCH("Atendida",K893)))</formula>
    </cfRule>
    <cfRule type="containsText" dxfId="2999" priority="3150" operator="containsText" text="Reasignación">
      <formula>NOT(ISERROR(SEARCH("Reasignación",K893)))</formula>
    </cfRule>
    <cfRule type="containsText" dxfId="2998" priority="3151" operator="containsText" text="RECHAZADA">
      <formula>NOT(ISERROR(SEARCH("RECHAZADA",K893)))</formula>
    </cfRule>
    <cfRule type="containsText" dxfId="2997" priority="3152" operator="containsText" text="Atendida">
      <formula>NOT(ISERROR(SEARCH("Atendida",K893)))</formula>
    </cfRule>
  </conditionalFormatting>
  <conditionalFormatting sqref="K893:K895">
    <cfRule type="containsText" dxfId="2996" priority="3001" operator="containsText" text="Reasignación">
      <formula>NOT(ISERROR(SEARCH("Reasignación",K893)))</formula>
    </cfRule>
  </conditionalFormatting>
  <conditionalFormatting sqref="K896">
    <cfRule type="containsText" dxfId="2995" priority="2999" operator="containsText" text="RECHAZADA">
      <formula>NOT(ISERROR(SEARCH("RECHAZADA",K896)))</formula>
    </cfRule>
    <cfRule type="containsText" dxfId="2994" priority="3000" operator="containsText" text="Atendida">
      <formula>NOT(ISERROR(SEARCH("Atendida",K896)))</formula>
    </cfRule>
  </conditionalFormatting>
  <conditionalFormatting sqref="K896">
    <cfRule type="containsText" dxfId="2993" priority="2998" operator="containsText" text="Reasignación">
      <formula>NOT(ISERROR(SEARCH("Reasignación",K896)))</formula>
    </cfRule>
  </conditionalFormatting>
  <conditionalFormatting sqref="K896">
    <cfRule type="containsText" dxfId="2992" priority="2996" operator="containsText" text="RECHAZADA">
      <formula>NOT(ISERROR(SEARCH("RECHAZADA",K896)))</formula>
    </cfRule>
  </conditionalFormatting>
  <conditionalFormatting sqref="K896">
    <cfRule type="containsText" dxfId="2991" priority="2997" operator="containsText" text="Atendida">
      <formula>NOT(ISERROR(SEARCH("Atendida",K896)))</formula>
    </cfRule>
  </conditionalFormatting>
  <conditionalFormatting sqref="K896">
    <cfRule type="containsText" dxfId="2990" priority="2988" operator="containsText" text="RECHAZADA">
      <formula>NOT(ISERROR(SEARCH("RECHAZADA",K896)))</formula>
    </cfRule>
  </conditionalFormatting>
  <conditionalFormatting sqref="K896">
    <cfRule type="containsText" dxfId="2989" priority="2987" operator="containsText" text="Reasignación">
      <formula>NOT(ISERROR(SEARCH("Reasignación",K896)))</formula>
    </cfRule>
  </conditionalFormatting>
  <conditionalFormatting sqref="K896">
    <cfRule type="containsText" dxfId="2988" priority="2991" operator="containsText" text="RECHAZADA">
      <formula>NOT(ISERROR(SEARCH("RECHAZADA",K896)))</formula>
    </cfRule>
    <cfRule type="containsText" dxfId="2987" priority="2992" operator="containsText" text="Atendida">
      <formula>NOT(ISERROR(SEARCH("Atendida",K896)))</formula>
    </cfRule>
    <cfRule type="containsText" dxfId="2986" priority="2993" operator="containsText" text="Reasignación">
      <formula>NOT(ISERROR(SEARCH("Reasignación",K896)))</formula>
    </cfRule>
    <cfRule type="containsText" dxfId="2985" priority="2994" operator="containsText" text="RECHAZADA">
      <formula>NOT(ISERROR(SEARCH("RECHAZADA",K896)))</formula>
    </cfRule>
    <cfRule type="containsText" dxfId="2984" priority="2995" operator="containsText" text="Atendida">
      <formula>NOT(ISERROR(SEARCH("Atendida",K896)))</formula>
    </cfRule>
  </conditionalFormatting>
  <conditionalFormatting sqref="K896">
    <cfRule type="containsText" dxfId="2983" priority="2990" operator="containsText" text="Reasignación">
      <formula>NOT(ISERROR(SEARCH("Reasignación",K896)))</formula>
    </cfRule>
  </conditionalFormatting>
  <conditionalFormatting sqref="K896">
    <cfRule type="containsText" dxfId="2982" priority="2989" operator="containsText" text="Atendida">
      <formula>NOT(ISERROR(SEARCH("Atendida",K896)))</formula>
    </cfRule>
  </conditionalFormatting>
  <conditionalFormatting sqref="K896">
    <cfRule type="containsText" dxfId="2981" priority="2836" operator="containsText" text="RECHAZADA">
      <formula>NOT(ISERROR(SEARCH("RECHAZADA",K896)))</formula>
    </cfRule>
    <cfRule type="containsText" dxfId="2980" priority="2837" operator="containsText" text="Atendida">
      <formula>NOT(ISERROR(SEARCH("Atendida",K896)))</formula>
    </cfRule>
    <cfRule type="containsText" dxfId="2979" priority="2838" operator="containsText" text="Reasignación">
      <formula>NOT(ISERROR(SEARCH("Reasignación",K896)))</formula>
    </cfRule>
    <cfRule type="containsText" dxfId="2978" priority="2839" operator="containsText" text="RECHAZADA">
      <formula>NOT(ISERROR(SEARCH("RECHAZADA",K896)))</formula>
    </cfRule>
    <cfRule type="containsText" dxfId="2977" priority="2840" operator="containsText" text="Atendida">
      <formula>NOT(ISERROR(SEARCH("Atendida",K896)))</formula>
    </cfRule>
    <cfRule type="containsText" dxfId="2976" priority="2841" operator="containsText" text="Reasignación">
      <formula>NOT(ISERROR(SEARCH("Reasignación",K896)))</formula>
    </cfRule>
    <cfRule type="containsText" dxfId="2975" priority="2842" operator="containsText" text="RECHAZADA">
      <formula>NOT(ISERROR(SEARCH("RECHAZADA",K896)))</formula>
    </cfRule>
    <cfRule type="containsText" dxfId="2974" priority="2843" operator="containsText" text="Atendida">
      <formula>NOT(ISERROR(SEARCH("Atendida",K896)))</formula>
    </cfRule>
    <cfRule type="containsText" dxfId="2973" priority="2844" operator="containsText" text="Reasignación">
      <formula>NOT(ISERROR(SEARCH("Reasignación",K896)))</formula>
    </cfRule>
    <cfRule type="containsText" dxfId="2972" priority="2845" operator="containsText" text="RECHAZADA">
      <formula>NOT(ISERROR(SEARCH("RECHAZADA",K896)))</formula>
    </cfRule>
    <cfRule type="containsText" dxfId="2971" priority="2846" operator="containsText" text="Atendida">
      <formula>NOT(ISERROR(SEARCH("Atendida",K896)))</formula>
    </cfRule>
    <cfRule type="containsText" dxfId="2970" priority="2847" operator="containsText" text="Reasignación">
      <formula>NOT(ISERROR(SEARCH("Reasignación",K896)))</formula>
    </cfRule>
    <cfRule type="containsText" dxfId="2969" priority="2848" operator="containsText" text="RECHAZADA">
      <formula>NOT(ISERROR(SEARCH("RECHAZADA",K896)))</formula>
    </cfRule>
    <cfRule type="containsText" dxfId="2968" priority="2849" operator="containsText" text="Atendida">
      <formula>NOT(ISERROR(SEARCH("Atendida",K896)))</formula>
    </cfRule>
    <cfRule type="containsText" dxfId="2967" priority="2850" operator="containsText" text="Reasignación">
      <formula>NOT(ISERROR(SEARCH("Reasignación",K896)))</formula>
    </cfRule>
    <cfRule type="containsText" dxfId="2966" priority="2851" operator="containsText" text="RECHAZADA">
      <formula>NOT(ISERROR(SEARCH("RECHAZADA",K896)))</formula>
    </cfRule>
    <cfRule type="containsText" dxfId="2965" priority="2852" operator="containsText" text="Atendida">
      <formula>NOT(ISERROR(SEARCH("Atendida",K896)))</formula>
    </cfRule>
    <cfRule type="containsText" dxfId="2964" priority="2853" operator="containsText" text="Reasignación">
      <formula>NOT(ISERROR(SEARCH("Reasignación",K896)))</formula>
    </cfRule>
    <cfRule type="containsText" dxfId="2963" priority="2854" operator="containsText" text="RECHAZADA">
      <formula>NOT(ISERROR(SEARCH("RECHAZADA",K896)))</formula>
    </cfRule>
    <cfRule type="containsText" dxfId="2962" priority="2855" operator="containsText" text="Atendida">
      <formula>NOT(ISERROR(SEARCH("Atendida",K896)))</formula>
    </cfRule>
    <cfRule type="containsText" dxfId="2961" priority="2856" operator="containsText" text="Reasignación">
      <formula>NOT(ISERROR(SEARCH("Reasignación",K896)))</formula>
    </cfRule>
    <cfRule type="containsText" dxfId="2960" priority="2857" operator="containsText" text="RECHAZADA">
      <formula>NOT(ISERROR(SEARCH("RECHAZADA",K896)))</formula>
    </cfRule>
    <cfRule type="containsText" dxfId="2959" priority="2858" operator="containsText" text="Atendida">
      <formula>NOT(ISERROR(SEARCH("Atendida",K896)))</formula>
    </cfRule>
    <cfRule type="containsText" dxfId="2958" priority="2859" operator="containsText" text="Reasignación">
      <formula>NOT(ISERROR(SEARCH("Reasignación",K896)))</formula>
    </cfRule>
    <cfRule type="containsText" dxfId="2957" priority="2860" operator="containsText" text="RECHAZADA">
      <formula>NOT(ISERROR(SEARCH("RECHAZADA",K896)))</formula>
    </cfRule>
    <cfRule type="containsText" dxfId="2956" priority="2861" operator="containsText" text="Atendida">
      <formula>NOT(ISERROR(SEARCH("Atendida",K896)))</formula>
    </cfRule>
    <cfRule type="containsText" dxfId="2955" priority="2862" operator="containsText" text="Reasignación">
      <formula>NOT(ISERROR(SEARCH("Reasignación",K896)))</formula>
    </cfRule>
    <cfRule type="containsText" dxfId="2954" priority="2863" operator="containsText" text="RECHAZADA">
      <formula>NOT(ISERROR(SEARCH("RECHAZADA",K896)))</formula>
    </cfRule>
    <cfRule type="containsText" dxfId="2953" priority="2864" operator="containsText" text="Atendida">
      <formula>NOT(ISERROR(SEARCH("Atendida",K896)))</formula>
    </cfRule>
    <cfRule type="containsText" dxfId="2952" priority="2865" operator="containsText" text="Reasignación">
      <formula>NOT(ISERROR(SEARCH("Reasignación",K896)))</formula>
    </cfRule>
    <cfRule type="containsText" dxfId="2951" priority="2866" operator="containsText" text="RECHAZADA">
      <formula>NOT(ISERROR(SEARCH("RECHAZADA",K896)))</formula>
    </cfRule>
    <cfRule type="containsText" dxfId="2950" priority="2867" operator="containsText" text="Atendida">
      <formula>NOT(ISERROR(SEARCH("Atendida",K896)))</formula>
    </cfRule>
    <cfRule type="containsText" dxfId="2949" priority="2868" operator="containsText" text="Reasignación">
      <formula>NOT(ISERROR(SEARCH("Reasignación",K896)))</formula>
    </cfRule>
    <cfRule type="containsText" dxfId="2948" priority="2869" operator="containsText" text="RECHAZADA">
      <formula>NOT(ISERROR(SEARCH("RECHAZADA",K896)))</formula>
    </cfRule>
    <cfRule type="containsText" dxfId="2947" priority="2870" operator="containsText" text="Atendida">
      <formula>NOT(ISERROR(SEARCH("Atendida",K896)))</formula>
    </cfRule>
    <cfRule type="containsText" dxfId="2946" priority="2871" operator="containsText" text="Reasignación">
      <formula>NOT(ISERROR(SEARCH("Reasignación",K896)))</formula>
    </cfRule>
    <cfRule type="containsText" dxfId="2945" priority="2872" operator="containsText" text="RECHAZADA">
      <formula>NOT(ISERROR(SEARCH("RECHAZADA",K896)))</formula>
    </cfRule>
    <cfRule type="containsText" dxfId="2944" priority="2873" operator="containsText" text="Atendida">
      <formula>NOT(ISERROR(SEARCH("Atendida",K896)))</formula>
    </cfRule>
    <cfRule type="containsText" dxfId="2943" priority="2874" operator="containsText" text="Reasignación">
      <formula>NOT(ISERROR(SEARCH("Reasignación",K896)))</formula>
    </cfRule>
    <cfRule type="containsText" dxfId="2942" priority="2875" operator="containsText" text="RECHAZADA">
      <formula>NOT(ISERROR(SEARCH("RECHAZADA",K896)))</formula>
    </cfRule>
    <cfRule type="containsText" dxfId="2941" priority="2876" operator="containsText" text="Atendida">
      <formula>NOT(ISERROR(SEARCH("Atendida",K896)))</formula>
    </cfRule>
    <cfRule type="containsText" dxfId="2940" priority="2877" operator="containsText" text="Reasignación">
      <formula>NOT(ISERROR(SEARCH("Reasignación",K896)))</formula>
    </cfRule>
    <cfRule type="containsText" dxfId="2939" priority="2878" operator="containsText" text="RECHAZADA">
      <formula>NOT(ISERROR(SEARCH("RECHAZADA",K896)))</formula>
    </cfRule>
    <cfRule type="containsText" dxfId="2938" priority="2879" operator="containsText" text="Atendida">
      <formula>NOT(ISERROR(SEARCH("Atendida",K896)))</formula>
    </cfRule>
    <cfRule type="containsText" dxfId="2937" priority="2880" operator="containsText" text="Reasignación">
      <formula>NOT(ISERROR(SEARCH("Reasignación",K896)))</formula>
    </cfRule>
    <cfRule type="containsText" dxfId="2936" priority="2881" operator="containsText" text="RECHAZADA">
      <formula>NOT(ISERROR(SEARCH("RECHAZADA",K896)))</formula>
    </cfRule>
    <cfRule type="containsText" dxfId="2935" priority="2882" operator="containsText" text="Atendida">
      <formula>NOT(ISERROR(SEARCH("Atendida",K896)))</formula>
    </cfRule>
    <cfRule type="containsText" dxfId="2934" priority="2883" operator="containsText" text="Reasignación">
      <formula>NOT(ISERROR(SEARCH("Reasignación",K896)))</formula>
    </cfRule>
    <cfRule type="containsText" dxfId="2933" priority="2884" operator="containsText" text="RECHAZADA">
      <formula>NOT(ISERROR(SEARCH("RECHAZADA",K896)))</formula>
    </cfRule>
    <cfRule type="containsText" dxfId="2932" priority="2885" operator="containsText" text="Atendida">
      <formula>NOT(ISERROR(SEARCH("Atendida",K896)))</formula>
    </cfRule>
    <cfRule type="containsText" dxfId="2931" priority="2886" operator="containsText" text="Reasignación">
      <formula>NOT(ISERROR(SEARCH("Reasignación",K896)))</formula>
    </cfRule>
    <cfRule type="containsText" dxfId="2930" priority="2887" operator="containsText" text="RECHAZADA">
      <formula>NOT(ISERROR(SEARCH("RECHAZADA",K896)))</formula>
    </cfRule>
    <cfRule type="containsText" dxfId="2929" priority="2888" operator="containsText" text="Atendida">
      <formula>NOT(ISERROR(SEARCH("Atendida",K896)))</formula>
    </cfRule>
    <cfRule type="containsText" dxfId="2928" priority="2889" operator="containsText" text="Reasignación">
      <formula>NOT(ISERROR(SEARCH("Reasignación",K896)))</formula>
    </cfRule>
    <cfRule type="containsText" dxfId="2927" priority="2890" operator="containsText" text="RECHAZADA">
      <formula>NOT(ISERROR(SEARCH("RECHAZADA",K896)))</formula>
    </cfRule>
    <cfRule type="containsText" dxfId="2926" priority="2891" operator="containsText" text="Atendida">
      <formula>NOT(ISERROR(SEARCH("Atendida",K896)))</formula>
    </cfRule>
    <cfRule type="containsText" dxfId="2925" priority="2892" operator="containsText" text="Reasignación">
      <formula>NOT(ISERROR(SEARCH("Reasignación",K896)))</formula>
    </cfRule>
    <cfRule type="containsText" dxfId="2924" priority="2893" operator="containsText" text="RECHAZADA">
      <formula>NOT(ISERROR(SEARCH("RECHAZADA",K896)))</formula>
    </cfRule>
    <cfRule type="containsText" dxfId="2923" priority="2894" operator="containsText" text="Atendida">
      <formula>NOT(ISERROR(SEARCH("Atendida",K896)))</formula>
    </cfRule>
    <cfRule type="containsText" dxfId="2922" priority="2895" operator="containsText" text="Reasignación">
      <formula>NOT(ISERROR(SEARCH("Reasignación",K896)))</formula>
    </cfRule>
    <cfRule type="containsText" dxfId="2921" priority="2896" operator="containsText" text="RECHAZADA">
      <formula>NOT(ISERROR(SEARCH("RECHAZADA",K896)))</formula>
    </cfRule>
    <cfRule type="containsText" dxfId="2920" priority="2897" operator="containsText" text="Atendida">
      <formula>NOT(ISERROR(SEARCH("Atendida",K896)))</formula>
    </cfRule>
    <cfRule type="containsText" dxfId="2919" priority="2898" operator="containsText" text="Reasignación">
      <formula>NOT(ISERROR(SEARCH("Reasignación",K896)))</formula>
    </cfRule>
    <cfRule type="containsText" dxfId="2918" priority="2899" operator="containsText" text="RECHAZADA">
      <formula>NOT(ISERROR(SEARCH("RECHAZADA",K896)))</formula>
    </cfRule>
    <cfRule type="containsText" dxfId="2917" priority="2900" operator="containsText" text="Atendida">
      <formula>NOT(ISERROR(SEARCH("Atendida",K896)))</formula>
    </cfRule>
    <cfRule type="containsText" dxfId="2916" priority="2901" operator="containsText" text="Reasignación">
      <formula>NOT(ISERROR(SEARCH("Reasignación",K896)))</formula>
    </cfRule>
    <cfRule type="containsText" dxfId="2915" priority="2902" operator="containsText" text="RECHAZADA">
      <formula>NOT(ISERROR(SEARCH("RECHAZADA",K896)))</formula>
    </cfRule>
    <cfRule type="containsText" dxfId="2914" priority="2903" operator="containsText" text="Atendida">
      <formula>NOT(ISERROR(SEARCH("Atendida",K896)))</formula>
    </cfRule>
    <cfRule type="containsText" dxfId="2913" priority="2904" operator="containsText" text="Reasignación">
      <formula>NOT(ISERROR(SEARCH("Reasignación",K896)))</formula>
    </cfRule>
    <cfRule type="containsText" dxfId="2912" priority="2905" operator="containsText" text="RECHAZADA">
      <formula>NOT(ISERROR(SEARCH("RECHAZADA",K896)))</formula>
    </cfRule>
    <cfRule type="containsText" dxfId="2911" priority="2906" operator="containsText" text="Atendida">
      <formula>NOT(ISERROR(SEARCH("Atendida",K896)))</formula>
    </cfRule>
    <cfRule type="containsText" dxfId="2910" priority="2907" operator="containsText" text="Reasignación">
      <formula>NOT(ISERROR(SEARCH("Reasignación",K896)))</formula>
    </cfRule>
    <cfRule type="containsText" dxfId="2909" priority="2908" operator="containsText" text="RECHAZADA">
      <formula>NOT(ISERROR(SEARCH("RECHAZADA",K896)))</formula>
    </cfRule>
    <cfRule type="containsText" dxfId="2908" priority="2909" operator="containsText" text="Atendida">
      <formula>NOT(ISERROR(SEARCH("Atendida",K896)))</formula>
    </cfRule>
    <cfRule type="containsText" dxfId="2907" priority="2910" operator="containsText" text="Reasignación">
      <formula>NOT(ISERROR(SEARCH("Reasignación",K896)))</formula>
    </cfRule>
    <cfRule type="containsText" dxfId="2906" priority="2911" operator="containsText" text="RECHAZADA">
      <formula>NOT(ISERROR(SEARCH("RECHAZADA",K896)))</formula>
    </cfRule>
    <cfRule type="containsText" dxfId="2905" priority="2912" operator="containsText" text="Atendida">
      <formula>NOT(ISERROR(SEARCH("Atendida",K896)))</formula>
    </cfRule>
    <cfRule type="containsText" dxfId="2904" priority="2913" operator="containsText" text="Reasignación">
      <formula>NOT(ISERROR(SEARCH("Reasignación",K896)))</formula>
    </cfRule>
    <cfRule type="containsText" dxfId="2903" priority="2914" operator="containsText" text="RECHAZADA">
      <formula>NOT(ISERROR(SEARCH("RECHAZADA",K896)))</formula>
    </cfRule>
    <cfRule type="containsText" dxfId="2902" priority="2915" operator="containsText" text="Atendida">
      <formula>NOT(ISERROR(SEARCH("Atendida",K896)))</formula>
    </cfRule>
    <cfRule type="containsText" dxfId="2901" priority="2916" operator="containsText" text="Reasignación">
      <formula>NOT(ISERROR(SEARCH("Reasignación",K896)))</formula>
    </cfRule>
    <cfRule type="containsText" dxfId="2900" priority="2917" operator="containsText" text="RECHAZADA">
      <formula>NOT(ISERROR(SEARCH("RECHAZADA",K896)))</formula>
    </cfRule>
    <cfRule type="containsText" dxfId="2899" priority="2918" operator="containsText" text="Atendida">
      <formula>NOT(ISERROR(SEARCH("Atendida",K896)))</formula>
    </cfRule>
    <cfRule type="containsText" dxfId="2898" priority="2919" operator="containsText" text="Reasignación">
      <formula>NOT(ISERROR(SEARCH("Reasignación",K896)))</formula>
    </cfRule>
    <cfRule type="containsText" dxfId="2897" priority="2920" operator="containsText" text="RECHAZADA">
      <formula>NOT(ISERROR(SEARCH("RECHAZADA",K896)))</formula>
    </cfRule>
    <cfRule type="containsText" dxfId="2896" priority="2921" operator="containsText" text="Atendida">
      <formula>NOT(ISERROR(SEARCH("Atendida",K896)))</formula>
    </cfRule>
    <cfRule type="containsText" dxfId="2895" priority="2922" operator="containsText" text="Reasignación">
      <formula>NOT(ISERROR(SEARCH("Reasignación",K896)))</formula>
    </cfRule>
    <cfRule type="containsText" dxfId="2894" priority="2923" operator="containsText" text="RECHAZADA">
      <formula>NOT(ISERROR(SEARCH("RECHAZADA",K896)))</formula>
    </cfRule>
    <cfRule type="containsText" dxfId="2893" priority="2924" operator="containsText" text="Atendida">
      <formula>NOT(ISERROR(SEARCH("Atendida",K896)))</formula>
    </cfRule>
    <cfRule type="containsText" dxfId="2892" priority="2925" operator="containsText" text="Reasignación">
      <formula>NOT(ISERROR(SEARCH("Reasignación",K896)))</formula>
    </cfRule>
    <cfRule type="containsText" dxfId="2891" priority="2926" operator="containsText" text="RECHAZADA">
      <formula>NOT(ISERROR(SEARCH("RECHAZADA",K896)))</formula>
    </cfRule>
    <cfRule type="containsText" dxfId="2890" priority="2927" operator="containsText" text="Atendida">
      <formula>NOT(ISERROR(SEARCH("Atendida",K896)))</formula>
    </cfRule>
    <cfRule type="containsText" dxfId="2889" priority="2928" operator="containsText" text="Reasignación">
      <formula>NOT(ISERROR(SEARCH("Reasignación",K896)))</formula>
    </cfRule>
    <cfRule type="containsText" dxfId="2888" priority="2929" operator="containsText" text="RECHAZADA">
      <formula>NOT(ISERROR(SEARCH("RECHAZADA",K896)))</formula>
    </cfRule>
    <cfRule type="containsText" dxfId="2887" priority="2930" operator="containsText" text="Atendida">
      <formula>NOT(ISERROR(SEARCH("Atendida",K896)))</formula>
    </cfRule>
    <cfRule type="containsText" dxfId="2886" priority="2931" operator="containsText" text="Reasignación">
      <formula>NOT(ISERROR(SEARCH("Reasignación",K896)))</formula>
    </cfRule>
    <cfRule type="containsText" dxfId="2885" priority="2932" operator="containsText" text="RECHAZADA">
      <formula>NOT(ISERROR(SEARCH("RECHAZADA",K896)))</formula>
    </cfRule>
    <cfRule type="containsText" dxfId="2884" priority="2933" operator="containsText" text="Atendida">
      <formula>NOT(ISERROR(SEARCH("Atendida",K896)))</formula>
    </cfRule>
    <cfRule type="containsText" dxfId="2883" priority="2934" operator="containsText" text="Reasignación">
      <formula>NOT(ISERROR(SEARCH("Reasignación",K896)))</formula>
    </cfRule>
    <cfRule type="containsText" dxfId="2882" priority="2935" operator="containsText" text="RECHAZADA">
      <formula>NOT(ISERROR(SEARCH("RECHAZADA",K896)))</formula>
    </cfRule>
    <cfRule type="containsText" dxfId="2881" priority="2936" operator="containsText" text="Atendida">
      <formula>NOT(ISERROR(SEARCH("Atendida",K896)))</formula>
    </cfRule>
    <cfRule type="containsText" dxfId="2880" priority="2937" operator="containsText" text="Reasignación">
      <formula>NOT(ISERROR(SEARCH("Reasignación",K896)))</formula>
    </cfRule>
    <cfRule type="containsText" dxfId="2879" priority="2938" operator="containsText" text="RECHAZADA">
      <formula>NOT(ISERROR(SEARCH("RECHAZADA",K896)))</formula>
    </cfRule>
    <cfRule type="containsText" dxfId="2878" priority="2939" operator="containsText" text="Atendida">
      <formula>NOT(ISERROR(SEARCH("Atendida",K896)))</formula>
    </cfRule>
    <cfRule type="containsText" dxfId="2877" priority="2940" operator="containsText" text="Reasignación">
      <formula>NOT(ISERROR(SEARCH("Reasignación",K896)))</formula>
    </cfRule>
    <cfRule type="containsText" dxfId="2876" priority="2941" operator="containsText" text="RECHAZADA">
      <formula>NOT(ISERROR(SEARCH("RECHAZADA",K896)))</formula>
    </cfRule>
    <cfRule type="containsText" dxfId="2875" priority="2942" operator="containsText" text="Atendida">
      <formula>NOT(ISERROR(SEARCH("Atendida",K896)))</formula>
    </cfRule>
    <cfRule type="containsText" dxfId="2874" priority="2943" operator="containsText" text="Reasignación">
      <formula>NOT(ISERROR(SEARCH("Reasignación",K896)))</formula>
    </cfRule>
    <cfRule type="containsText" dxfId="2873" priority="2944" operator="containsText" text="RECHAZADA">
      <formula>NOT(ISERROR(SEARCH("RECHAZADA",K896)))</formula>
    </cfRule>
    <cfRule type="containsText" dxfId="2872" priority="2945" operator="containsText" text="Atendida">
      <formula>NOT(ISERROR(SEARCH("Atendida",K896)))</formula>
    </cfRule>
    <cfRule type="containsText" dxfId="2871" priority="2946" operator="containsText" text="Reasignación">
      <formula>NOT(ISERROR(SEARCH("Reasignación",K896)))</formula>
    </cfRule>
    <cfRule type="containsText" dxfId="2870" priority="2947" operator="containsText" text="RECHAZADA">
      <formula>NOT(ISERROR(SEARCH("RECHAZADA",K896)))</formula>
    </cfRule>
    <cfRule type="containsText" dxfId="2869" priority="2948" operator="containsText" text="Atendida">
      <formula>NOT(ISERROR(SEARCH("Atendida",K896)))</formula>
    </cfRule>
    <cfRule type="containsText" dxfId="2868" priority="2949" operator="containsText" text="Reasignación">
      <formula>NOT(ISERROR(SEARCH("Reasignación",K896)))</formula>
    </cfRule>
    <cfRule type="containsText" dxfId="2867" priority="2950" operator="containsText" text="RECHAZADA">
      <formula>NOT(ISERROR(SEARCH("RECHAZADA",K896)))</formula>
    </cfRule>
    <cfRule type="containsText" dxfId="2866" priority="2951" operator="containsText" text="Atendida">
      <formula>NOT(ISERROR(SEARCH("Atendida",K896)))</formula>
    </cfRule>
    <cfRule type="containsText" dxfId="2865" priority="2952" operator="containsText" text="Reasignación">
      <formula>NOT(ISERROR(SEARCH("Reasignación",K896)))</formula>
    </cfRule>
    <cfRule type="containsText" dxfId="2864" priority="2953" operator="containsText" text="RECHAZADA">
      <formula>NOT(ISERROR(SEARCH("RECHAZADA",K896)))</formula>
    </cfRule>
    <cfRule type="containsText" dxfId="2863" priority="2954" operator="containsText" text="Atendida">
      <formula>NOT(ISERROR(SEARCH("Atendida",K896)))</formula>
    </cfRule>
    <cfRule type="containsText" dxfId="2862" priority="2955" operator="containsText" text="Reasignación">
      <formula>NOT(ISERROR(SEARCH("Reasignación",K896)))</formula>
    </cfRule>
    <cfRule type="containsText" dxfId="2861" priority="2956" operator="containsText" text="RECHAZADA">
      <formula>NOT(ISERROR(SEARCH("RECHAZADA",K896)))</formula>
    </cfRule>
    <cfRule type="containsText" dxfId="2860" priority="2957" operator="containsText" text="Atendida">
      <formula>NOT(ISERROR(SEARCH("Atendida",K896)))</formula>
    </cfRule>
    <cfRule type="containsText" dxfId="2859" priority="2958" operator="containsText" text="Atendida">
      <formula>NOT(ISERROR(SEARCH("Atendida",K896)))</formula>
    </cfRule>
    <cfRule type="containsText" dxfId="2858" priority="2959" operator="containsText" text="Atendida">
      <formula>NOT(ISERROR(SEARCH("Atendida",K896)))</formula>
    </cfRule>
    <cfRule type="containsText" dxfId="2857" priority="2960" operator="containsText" text="Reasignación">
      <formula>NOT(ISERROR(SEARCH("Reasignación",K896)))</formula>
    </cfRule>
    <cfRule type="containsText" dxfId="2856" priority="2961" operator="containsText" text="RECHAZADA">
      <formula>NOT(ISERROR(SEARCH("RECHAZADA",K896)))</formula>
    </cfRule>
    <cfRule type="containsText" dxfId="2855" priority="2962" operator="containsText" text="Atendida">
      <formula>NOT(ISERROR(SEARCH("Atendida",K896)))</formula>
    </cfRule>
    <cfRule type="containsText" dxfId="2854" priority="2963" operator="containsText" text="Reasignación">
      <formula>NOT(ISERROR(SEARCH("Reasignación",K896)))</formula>
    </cfRule>
    <cfRule type="containsText" dxfId="2853" priority="2964" operator="containsText" text="RECHAZADA">
      <formula>NOT(ISERROR(SEARCH("RECHAZADA",K896)))</formula>
    </cfRule>
    <cfRule type="containsText" dxfId="2852" priority="2965" operator="containsText" text="Atendida">
      <formula>NOT(ISERROR(SEARCH("Atendida",K896)))</formula>
    </cfRule>
    <cfRule type="containsText" dxfId="2851" priority="2966" operator="containsText" text="Reasignación">
      <formula>NOT(ISERROR(SEARCH("Reasignación",K896)))</formula>
    </cfRule>
    <cfRule type="containsText" dxfId="2850" priority="2967" operator="containsText" text="RECHAZADA">
      <formula>NOT(ISERROR(SEARCH("RECHAZADA",K896)))</formula>
    </cfRule>
    <cfRule type="containsText" dxfId="2849" priority="2968" operator="containsText" text="Atendida">
      <formula>NOT(ISERROR(SEARCH("Atendida",K896)))</formula>
    </cfRule>
    <cfRule type="containsText" dxfId="2848" priority="2969" operator="containsText" text="Reasignación">
      <formula>NOT(ISERROR(SEARCH("Reasignación",K896)))</formula>
    </cfRule>
    <cfRule type="containsText" dxfId="2847" priority="2970" operator="containsText" text="RECHAZADA">
      <formula>NOT(ISERROR(SEARCH("RECHAZADA",K896)))</formula>
    </cfRule>
    <cfRule type="containsText" dxfId="2846" priority="2971" operator="containsText" text="Atendida">
      <formula>NOT(ISERROR(SEARCH("Atendida",K896)))</formula>
    </cfRule>
    <cfRule type="containsText" dxfId="2845" priority="2972" operator="containsText" text="Atendida">
      <formula>NOT(ISERROR(SEARCH("Atendida",K896)))</formula>
    </cfRule>
    <cfRule type="containsText" dxfId="2844" priority="2973" operator="containsText" text="Reasignación">
      <formula>NOT(ISERROR(SEARCH("Reasignación",K896)))</formula>
    </cfRule>
    <cfRule type="containsText" dxfId="2843" priority="2974" operator="containsText" text="RECHAZADA">
      <formula>NOT(ISERROR(SEARCH("RECHAZADA",K896)))</formula>
    </cfRule>
    <cfRule type="containsText" dxfId="2842" priority="2975" operator="containsText" text="Atendida">
      <formula>NOT(ISERROR(SEARCH("Atendida",K896)))</formula>
    </cfRule>
    <cfRule type="containsText" dxfId="2841" priority="2976" operator="containsText" text="Reasignación">
      <formula>NOT(ISERROR(SEARCH("Reasignación",K896)))</formula>
    </cfRule>
    <cfRule type="containsText" dxfId="2840" priority="2977" operator="containsText" text="RECHAZADA">
      <formula>NOT(ISERROR(SEARCH("RECHAZADA",K896)))</formula>
    </cfRule>
    <cfRule type="containsText" dxfId="2839" priority="2978" operator="containsText" text="Atendida">
      <formula>NOT(ISERROR(SEARCH("Atendida",K896)))</formula>
    </cfRule>
    <cfRule type="containsText" dxfId="2838" priority="2979" operator="containsText" text="Reasignación">
      <formula>NOT(ISERROR(SEARCH("Reasignación",K896)))</formula>
    </cfRule>
    <cfRule type="containsText" dxfId="2837" priority="2980" operator="containsText" text="RECHAZADA">
      <formula>NOT(ISERROR(SEARCH("RECHAZADA",K896)))</formula>
    </cfRule>
    <cfRule type="containsText" dxfId="2836" priority="2981" operator="containsText" text="Atendida">
      <formula>NOT(ISERROR(SEARCH("Atendida",K896)))</formula>
    </cfRule>
    <cfRule type="containsText" dxfId="2835" priority="2982" operator="containsText" text="RECHAZADA">
      <formula>NOT(ISERROR(SEARCH("RECHAZADA",K896)))</formula>
    </cfRule>
    <cfRule type="containsText" dxfId="2834" priority="2983" operator="containsText" text="Atendida">
      <formula>NOT(ISERROR(SEARCH("Atendida",K896)))</formula>
    </cfRule>
    <cfRule type="containsText" dxfId="2833" priority="2984" operator="containsText" text="Reasignación">
      <formula>NOT(ISERROR(SEARCH("Reasignación",K896)))</formula>
    </cfRule>
    <cfRule type="containsText" dxfId="2832" priority="2985" operator="containsText" text="RECHAZADA">
      <formula>NOT(ISERROR(SEARCH("RECHAZADA",K896)))</formula>
    </cfRule>
    <cfRule type="containsText" dxfId="2831" priority="2986" operator="containsText" text="Atendida">
      <formula>NOT(ISERROR(SEARCH("Atendida",K896)))</formula>
    </cfRule>
  </conditionalFormatting>
  <conditionalFormatting sqref="K896">
    <cfRule type="containsText" dxfId="2830" priority="2835" operator="containsText" text="Reasignación">
      <formula>NOT(ISERROR(SEARCH("Reasignación",K896)))</formula>
    </cfRule>
  </conditionalFormatting>
  <conditionalFormatting sqref="M888:M895">
    <cfRule type="containsText" dxfId="2829" priority="2834" operator="containsText" text="CONFORME">
      <formula>NOT(ISERROR(SEARCH("CONFORME",M888)))</formula>
    </cfRule>
  </conditionalFormatting>
  <conditionalFormatting sqref="M888:M895">
    <cfRule type="containsText" dxfId="2828" priority="2833" operator="containsText" text="Atendida">
      <formula>NOT(ISERROR(SEARCH("Atendida",M888)))</formula>
    </cfRule>
  </conditionalFormatting>
  <conditionalFormatting sqref="M888:M895">
    <cfRule type="containsText" dxfId="2827" priority="2832" operator="containsText" text="RECHAZADA">
      <formula>NOT(ISERROR(SEARCH("RECHAZADA",M888)))</formula>
    </cfRule>
  </conditionalFormatting>
  <conditionalFormatting sqref="M888:M895">
    <cfRule type="containsText" dxfId="2826" priority="2831" operator="containsText" text="OBSERVADO">
      <formula>NOT(ISERROR(SEARCH("OBSERVADO",M888)))</formula>
    </cfRule>
  </conditionalFormatting>
  <conditionalFormatting sqref="M896">
    <cfRule type="containsText" dxfId="2825" priority="2829" operator="containsText" text="RECHAZADA">
      <formula>NOT(ISERROR(SEARCH("RECHAZADA",M896)))</formula>
    </cfRule>
  </conditionalFormatting>
  <conditionalFormatting sqref="M896">
    <cfRule type="containsText" dxfId="2824" priority="2830" operator="containsText" text="Atendida">
      <formula>NOT(ISERROR(SEARCH("Atendida",M896)))</formula>
    </cfRule>
  </conditionalFormatting>
  <conditionalFormatting sqref="M896">
    <cfRule type="containsText" dxfId="2823" priority="2827" operator="containsText" text="OBSERVADO">
      <formula>NOT(ISERROR(SEARCH("OBSERVADO",M896)))</formula>
    </cfRule>
  </conditionalFormatting>
  <conditionalFormatting sqref="M896">
    <cfRule type="containsText" dxfId="2822" priority="2828" operator="containsText" text="CONFORME">
      <formula>NOT(ISERROR(SEARCH("CONFORME",M896)))</formula>
    </cfRule>
  </conditionalFormatting>
  <conditionalFormatting sqref="B897">
    <cfRule type="duplicateValues" dxfId="2821" priority="2825"/>
  </conditionalFormatting>
  <conditionalFormatting sqref="E897">
    <cfRule type="duplicateValues" dxfId="2820" priority="2826"/>
  </conditionalFormatting>
  <conditionalFormatting sqref="B898">
    <cfRule type="duplicateValues" dxfId="2819" priority="2823"/>
  </conditionalFormatting>
  <conditionalFormatting sqref="E898">
    <cfRule type="duplicateValues" dxfId="2818" priority="2824"/>
  </conditionalFormatting>
  <conditionalFormatting sqref="E919:E920 E914:E917 E899:E912">
    <cfRule type="duplicateValues" dxfId="2817" priority="2822"/>
  </conditionalFormatting>
  <conditionalFormatting sqref="E913">
    <cfRule type="duplicateValues" dxfId="2816" priority="2821"/>
  </conditionalFormatting>
  <conditionalFormatting sqref="B918:B920">
    <cfRule type="duplicateValues" dxfId="2815" priority="2820"/>
  </conditionalFormatting>
  <conditionalFormatting sqref="E918">
    <cfRule type="duplicateValues" dxfId="2814" priority="2819"/>
  </conditionalFormatting>
  <conditionalFormatting sqref="K905 M897">
    <cfRule type="containsText" dxfId="2813" priority="2817" operator="containsText" text="RECHAZADA">
      <formula>NOT(ISERROR(SEARCH("RECHAZADA",K897)))</formula>
    </cfRule>
    <cfRule type="containsText" dxfId="2812" priority="2818" operator="containsText" text="Atendida">
      <formula>NOT(ISERROR(SEARCH("Atendida",K897)))</formula>
    </cfRule>
  </conditionalFormatting>
  <conditionalFormatting sqref="M897">
    <cfRule type="containsText" dxfId="2811" priority="2815" operator="containsText" text="OBSERVADO">
      <formula>NOT(ISERROR(SEARCH("OBSERVADO",M897)))</formula>
    </cfRule>
    <cfRule type="containsText" dxfId="2810" priority="2816" operator="containsText" text="CONFORME">
      <formula>NOT(ISERROR(SEARCH("CONFORME",M897)))</formula>
    </cfRule>
  </conditionalFormatting>
  <conditionalFormatting sqref="K897">
    <cfRule type="containsText" dxfId="2809" priority="2812" operator="containsText" text="Reasignación">
      <formula>NOT(ISERROR(SEARCH("Reasignación",K897)))</formula>
    </cfRule>
    <cfRule type="containsText" dxfId="2808" priority="2813" operator="containsText" text="RECHAZADA">
      <formula>NOT(ISERROR(SEARCH("RECHAZADA",K897)))</formula>
    </cfRule>
  </conditionalFormatting>
  <conditionalFormatting sqref="K897">
    <cfRule type="containsText" dxfId="2807" priority="2781" operator="containsText" text="Atendida">
      <formula>NOT(ISERROR(SEARCH("Atendida",K897)))</formula>
    </cfRule>
    <cfRule type="containsText" dxfId="2806" priority="2782" operator="containsText" text="Reasignación">
      <formula>NOT(ISERROR(SEARCH("Reasignación",K897)))</formula>
    </cfRule>
    <cfRule type="containsText" dxfId="2805" priority="2783" operator="containsText" text="RECHAZADA">
      <formula>NOT(ISERROR(SEARCH("RECHAZADA",K897)))</formula>
    </cfRule>
    <cfRule type="containsText" dxfId="2804" priority="2784" operator="containsText" text="Atendida">
      <formula>NOT(ISERROR(SEARCH("Atendida",K897)))</formula>
    </cfRule>
    <cfRule type="containsText" dxfId="2803" priority="2785" operator="containsText" text="Reasignación">
      <formula>NOT(ISERROR(SEARCH("Reasignación",K897)))</formula>
    </cfRule>
    <cfRule type="containsText" dxfId="2802" priority="2786" operator="containsText" text="RECHAZADA">
      <formula>NOT(ISERROR(SEARCH("RECHAZADA",K897)))</formula>
    </cfRule>
    <cfRule type="containsText" dxfId="2801" priority="2787" operator="containsText" text="Atendida">
      <formula>NOT(ISERROR(SEARCH("Atendida",K897)))</formula>
    </cfRule>
    <cfRule type="containsText" dxfId="2800" priority="2788" operator="containsText" text="Reasignación">
      <formula>NOT(ISERROR(SEARCH("Reasignación",K897)))</formula>
    </cfRule>
    <cfRule type="containsText" dxfId="2799" priority="2789" operator="containsText" text="RECHAZADA">
      <formula>NOT(ISERROR(SEARCH("RECHAZADA",K897)))</formula>
    </cfRule>
    <cfRule type="containsText" dxfId="2798" priority="2790" operator="containsText" text="Atendida">
      <formula>NOT(ISERROR(SEARCH("Atendida",K897)))</formula>
    </cfRule>
    <cfRule type="containsText" dxfId="2797" priority="2791" operator="containsText" text="Reasignación">
      <formula>NOT(ISERROR(SEARCH("Reasignación",K897)))</formula>
    </cfRule>
    <cfRule type="containsText" dxfId="2796" priority="2792" operator="containsText" text="RECHAZADA">
      <formula>NOT(ISERROR(SEARCH("RECHAZADA",K897)))</formula>
    </cfRule>
    <cfRule type="containsText" dxfId="2795" priority="2793" operator="containsText" text="Atendida">
      <formula>NOT(ISERROR(SEARCH("Atendida",K897)))</formula>
    </cfRule>
    <cfRule type="containsText" dxfId="2794" priority="2794" operator="containsText" text="Reasignación">
      <formula>NOT(ISERROR(SEARCH("Reasignación",K897)))</formula>
    </cfRule>
    <cfRule type="containsText" dxfId="2793" priority="2795" operator="containsText" text="RECHAZADA">
      <formula>NOT(ISERROR(SEARCH("RECHAZADA",K897)))</formula>
    </cfRule>
    <cfRule type="containsText" dxfId="2792" priority="2796" operator="containsText" text="Atendida">
      <formula>NOT(ISERROR(SEARCH("Atendida",K897)))</formula>
    </cfRule>
    <cfRule type="containsText" dxfId="2791" priority="2797" operator="containsText" text="Reasignación">
      <formula>NOT(ISERROR(SEARCH("Reasignación",K897)))</formula>
    </cfRule>
    <cfRule type="containsText" dxfId="2790" priority="2798" operator="containsText" text="RECHAZADA">
      <formula>NOT(ISERROR(SEARCH("RECHAZADA",K897)))</formula>
    </cfRule>
    <cfRule type="containsText" dxfId="2789" priority="2799" operator="containsText" text="Atendida">
      <formula>NOT(ISERROR(SEARCH("Atendida",K897)))</formula>
    </cfRule>
    <cfRule type="containsText" dxfId="2788" priority="2800" operator="containsText" text="Reasignación">
      <formula>NOT(ISERROR(SEARCH("Reasignación",K897)))</formula>
    </cfRule>
    <cfRule type="containsText" dxfId="2787" priority="2801" operator="containsText" text="RECHAZADA">
      <formula>NOT(ISERROR(SEARCH("RECHAZADA",K897)))</formula>
    </cfRule>
    <cfRule type="containsText" dxfId="2786" priority="2802" operator="containsText" text="Atendida">
      <formula>NOT(ISERROR(SEARCH("Atendida",K897)))</formula>
    </cfRule>
    <cfRule type="containsText" dxfId="2785" priority="2803" operator="containsText" text="Reasignación">
      <formula>NOT(ISERROR(SEARCH("Reasignación",K897)))</formula>
    </cfRule>
    <cfRule type="containsText" dxfId="2784" priority="2804" operator="containsText" text="RECHAZADA">
      <formula>NOT(ISERROR(SEARCH("RECHAZADA",K897)))</formula>
    </cfRule>
    <cfRule type="containsText" dxfId="2783" priority="2805" operator="containsText" text="Atendida">
      <formula>NOT(ISERROR(SEARCH("Atendida",K897)))</formula>
    </cfRule>
    <cfRule type="containsText" dxfId="2782" priority="2806" operator="containsText" text="Reasignación">
      <formula>NOT(ISERROR(SEARCH("Reasignación",K897)))</formula>
    </cfRule>
    <cfRule type="containsText" dxfId="2781" priority="2807" operator="containsText" text="RECHAZADA">
      <formula>NOT(ISERROR(SEARCH("RECHAZADA",K897)))</formula>
    </cfRule>
    <cfRule type="containsText" dxfId="2780" priority="2808" operator="containsText" text="Atendida">
      <formula>NOT(ISERROR(SEARCH("Atendida",K897)))</formula>
    </cfRule>
    <cfRule type="containsText" dxfId="2779" priority="2809" operator="containsText" text="Reasignación">
      <formula>NOT(ISERROR(SEARCH("Reasignación",K897)))</formula>
    </cfRule>
    <cfRule type="containsText" dxfId="2778" priority="2810" operator="containsText" text="RECHAZADA">
      <formula>NOT(ISERROR(SEARCH("RECHAZADA",K897)))</formula>
    </cfRule>
    <cfRule type="containsText" dxfId="2777" priority="2811" operator="containsText" text="Atendida">
      <formula>NOT(ISERROR(SEARCH("Atendida",K897)))</formula>
    </cfRule>
    <cfRule type="containsText" dxfId="2776" priority="2814" operator="containsText" text="Atendida">
      <formula>NOT(ISERROR(SEARCH("Atendida",K897)))</formula>
    </cfRule>
  </conditionalFormatting>
  <conditionalFormatting sqref="K897">
    <cfRule type="containsText" dxfId="2775" priority="2779" operator="containsText" text="Reasignación">
      <formula>NOT(ISERROR(SEARCH("Reasignación",K897)))</formula>
    </cfRule>
    <cfRule type="containsText" dxfId="2774" priority="2780" operator="containsText" text="RECHAZADA">
      <formula>NOT(ISERROR(SEARCH("RECHAZADA",K897)))</formula>
    </cfRule>
  </conditionalFormatting>
  <conditionalFormatting sqref="M898">
    <cfRule type="containsText" dxfId="2773" priority="2777" operator="containsText" text="RECHAZADA">
      <formula>NOT(ISERROR(SEARCH("RECHAZADA",M898)))</formula>
    </cfRule>
  </conditionalFormatting>
  <conditionalFormatting sqref="M898">
    <cfRule type="containsText" dxfId="2772" priority="2778" operator="containsText" text="Atendida">
      <formula>NOT(ISERROR(SEARCH("Atendida",M898)))</formula>
    </cfRule>
  </conditionalFormatting>
  <conditionalFormatting sqref="M898">
    <cfRule type="containsText" dxfId="2771" priority="2775" operator="containsText" text="OBSERVADO">
      <formula>NOT(ISERROR(SEARCH("OBSERVADO",M898)))</formula>
    </cfRule>
  </conditionalFormatting>
  <conditionalFormatting sqref="M898">
    <cfRule type="containsText" dxfId="2770" priority="2776" operator="containsText" text="CONFORME">
      <formula>NOT(ISERROR(SEARCH("CONFORME",M898)))</formula>
    </cfRule>
  </conditionalFormatting>
  <conditionalFormatting sqref="K898">
    <cfRule type="containsText" dxfId="2769" priority="2772" operator="containsText" text="Reasignación">
      <formula>NOT(ISERROR(SEARCH("Reasignación",K898)))</formula>
    </cfRule>
    <cfRule type="containsText" dxfId="2768" priority="2773" operator="containsText" text="RECHAZADA">
      <formula>NOT(ISERROR(SEARCH("RECHAZADA",K898)))</formula>
    </cfRule>
  </conditionalFormatting>
  <conditionalFormatting sqref="K898">
    <cfRule type="containsText" dxfId="2767" priority="2741" operator="containsText" text="Atendida">
      <formula>NOT(ISERROR(SEARCH("Atendida",K898)))</formula>
    </cfRule>
    <cfRule type="containsText" dxfId="2766" priority="2742" operator="containsText" text="Reasignación">
      <formula>NOT(ISERROR(SEARCH("Reasignación",K898)))</formula>
    </cfRule>
    <cfRule type="containsText" dxfId="2765" priority="2743" operator="containsText" text="RECHAZADA">
      <formula>NOT(ISERROR(SEARCH("RECHAZADA",K898)))</formula>
    </cfRule>
    <cfRule type="containsText" dxfId="2764" priority="2744" operator="containsText" text="Atendida">
      <formula>NOT(ISERROR(SEARCH("Atendida",K898)))</formula>
    </cfRule>
    <cfRule type="containsText" dxfId="2763" priority="2745" operator="containsText" text="Reasignación">
      <formula>NOT(ISERROR(SEARCH("Reasignación",K898)))</formula>
    </cfRule>
    <cfRule type="containsText" dxfId="2762" priority="2746" operator="containsText" text="RECHAZADA">
      <formula>NOT(ISERROR(SEARCH("RECHAZADA",K898)))</formula>
    </cfRule>
    <cfRule type="containsText" dxfId="2761" priority="2747" operator="containsText" text="Atendida">
      <formula>NOT(ISERROR(SEARCH("Atendida",K898)))</formula>
    </cfRule>
    <cfRule type="containsText" dxfId="2760" priority="2748" operator="containsText" text="Reasignación">
      <formula>NOT(ISERROR(SEARCH("Reasignación",K898)))</formula>
    </cfRule>
    <cfRule type="containsText" dxfId="2759" priority="2749" operator="containsText" text="RECHAZADA">
      <formula>NOT(ISERROR(SEARCH("RECHAZADA",K898)))</formula>
    </cfRule>
    <cfRule type="containsText" dxfId="2758" priority="2750" operator="containsText" text="Atendida">
      <formula>NOT(ISERROR(SEARCH("Atendida",K898)))</formula>
    </cfRule>
    <cfRule type="containsText" dxfId="2757" priority="2751" operator="containsText" text="Reasignación">
      <formula>NOT(ISERROR(SEARCH("Reasignación",K898)))</formula>
    </cfRule>
    <cfRule type="containsText" dxfId="2756" priority="2752" operator="containsText" text="RECHAZADA">
      <formula>NOT(ISERROR(SEARCH("RECHAZADA",K898)))</formula>
    </cfRule>
    <cfRule type="containsText" dxfId="2755" priority="2753" operator="containsText" text="Atendida">
      <formula>NOT(ISERROR(SEARCH("Atendida",K898)))</formula>
    </cfRule>
    <cfRule type="containsText" dxfId="2754" priority="2754" operator="containsText" text="Reasignación">
      <formula>NOT(ISERROR(SEARCH("Reasignación",K898)))</formula>
    </cfRule>
    <cfRule type="containsText" dxfId="2753" priority="2755" operator="containsText" text="RECHAZADA">
      <formula>NOT(ISERROR(SEARCH("RECHAZADA",K898)))</formula>
    </cfRule>
    <cfRule type="containsText" dxfId="2752" priority="2756" operator="containsText" text="Atendida">
      <formula>NOT(ISERROR(SEARCH("Atendida",K898)))</formula>
    </cfRule>
    <cfRule type="containsText" dxfId="2751" priority="2757" operator="containsText" text="Reasignación">
      <formula>NOT(ISERROR(SEARCH("Reasignación",K898)))</formula>
    </cfRule>
    <cfRule type="containsText" dxfId="2750" priority="2758" operator="containsText" text="RECHAZADA">
      <formula>NOT(ISERROR(SEARCH("RECHAZADA",K898)))</formula>
    </cfRule>
    <cfRule type="containsText" dxfId="2749" priority="2759" operator="containsText" text="Atendida">
      <formula>NOT(ISERROR(SEARCH("Atendida",K898)))</formula>
    </cfRule>
    <cfRule type="containsText" dxfId="2748" priority="2760" operator="containsText" text="Reasignación">
      <formula>NOT(ISERROR(SEARCH("Reasignación",K898)))</formula>
    </cfRule>
    <cfRule type="containsText" dxfId="2747" priority="2761" operator="containsText" text="RECHAZADA">
      <formula>NOT(ISERROR(SEARCH("RECHAZADA",K898)))</formula>
    </cfRule>
    <cfRule type="containsText" dxfId="2746" priority="2762" operator="containsText" text="Atendida">
      <formula>NOT(ISERROR(SEARCH("Atendida",K898)))</formula>
    </cfRule>
    <cfRule type="containsText" dxfId="2745" priority="2763" operator="containsText" text="Reasignación">
      <formula>NOT(ISERROR(SEARCH("Reasignación",K898)))</formula>
    </cfRule>
    <cfRule type="containsText" dxfId="2744" priority="2764" operator="containsText" text="RECHAZADA">
      <formula>NOT(ISERROR(SEARCH("RECHAZADA",K898)))</formula>
    </cfRule>
    <cfRule type="containsText" dxfId="2743" priority="2765" operator="containsText" text="Atendida">
      <formula>NOT(ISERROR(SEARCH("Atendida",K898)))</formula>
    </cfRule>
    <cfRule type="containsText" dxfId="2742" priority="2766" operator="containsText" text="Reasignación">
      <formula>NOT(ISERROR(SEARCH("Reasignación",K898)))</formula>
    </cfRule>
    <cfRule type="containsText" dxfId="2741" priority="2767" operator="containsText" text="RECHAZADA">
      <formula>NOT(ISERROR(SEARCH("RECHAZADA",K898)))</formula>
    </cfRule>
    <cfRule type="containsText" dxfId="2740" priority="2768" operator="containsText" text="Atendida">
      <formula>NOT(ISERROR(SEARCH("Atendida",K898)))</formula>
    </cfRule>
    <cfRule type="containsText" dxfId="2739" priority="2769" operator="containsText" text="Reasignación">
      <formula>NOT(ISERROR(SEARCH("Reasignación",K898)))</formula>
    </cfRule>
    <cfRule type="containsText" dxfId="2738" priority="2770" operator="containsText" text="RECHAZADA">
      <formula>NOT(ISERROR(SEARCH("RECHAZADA",K898)))</formula>
    </cfRule>
    <cfRule type="containsText" dxfId="2737" priority="2771" operator="containsText" text="Atendida">
      <formula>NOT(ISERROR(SEARCH("Atendida",K898)))</formula>
    </cfRule>
    <cfRule type="containsText" dxfId="2736" priority="2774" operator="containsText" text="Atendida">
      <formula>NOT(ISERROR(SEARCH("Atendida",K898)))</formula>
    </cfRule>
  </conditionalFormatting>
  <conditionalFormatting sqref="K898">
    <cfRule type="containsText" dxfId="2735" priority="2739" operator="containsText" text="Reasignación">
      <formula>NOT(ISERROR(SEARCH("Reasignación",K898)))</formula>
    </cfRule>
    <cfRule type="containsText" dxfId="2734" priority="2740" operator="containsText" text="RECHAZADA">
      <formula>NOT(ISERROR(SEARCH("RECHAZADA",K898)))</formula>
    </cfRule>
  </conditionalFormatting>
  <conditionalFormatting sqref="M918:M920 M907:M912 K905 M905 M903 M899:M901">
    <cfRule type="containsText" dxfId="2733" priority="2737" operator="containsText" text="RECHAZADA">
      <formula>NOT(ISERROR(SEARCH("RECHAZADA",K899)))</formula>
    </cfRule>
  </conditionalFormatting>
  <conditionalFormatting sqref="M918:M920 M907:M912 K905 M905 M903 M899:M901">
    <cfRule type="containsText" dxfId="2732" priority="2738" operator="containsText" text="Atendida">
      <formula>NOT(ISERROR(SEARCH("Atendida",K899)))</formula>
    </cfRule>
  </conditionalFormatting>
  <conditionalFormatting sqref="M918:M920 M907:M912 M905 M903 M899:M901">
    <cfRule type="containsText" dxfId="2731" priority="2735" operator="containsText" text="OBSERVADO">
      <formula>NOT(ISERROR(SEARCH("OBSERVADO",M899)))</formula>
    </cfRule>
  </conditionalFormatting>
  <conditionalFormatting sqref="M918:M920 M907:M912 M905 M903 M899:M901">
    <cfRule type="containsText" dxfId="2730" priority="2736" operator="containsText" text="CONFORME">
      <formula>NOT(ISERROR(SEARCH("CONFORME",M899)))</formula>
    </cfRule>
  </conditionalFormatting>
  <conditionalFormatting sqref="K899">
    <cfRule type="containsText" dxfId="2729" priority="2732" operator="containsText" text="Reasignación">
      <formula>NOT(ISERROR(SEARCH("Reasignación",K899)))</formula>
    </cfRule>
    <cfRule type="containsText" dxfId="2728" priority="2733" operator="containsText" text="RECHAZADA">
      <formula>NOT(ISERROR(SEARCH("RECHAZADA",K899)))</formula>
    </cfRule>
  </conditionalFormatting>
  <conditionalFormatting sqref="K899">
    <cfRule type="containsText" dxfId="2727" priority="2701" operator="containsText" text="Atendida">
      <formula>NOT(ISERROR(SEARCH("Atendida",K899)))</formula>
    </cfRule>
    <cfRule type="containsText" dxfId="2726" priority="2702" operator="containsText" text="Reasignación">
      <formula>NOT(ISERROR(SEARCH("Reasignación",K899)))</formula>
    </cfRule>
    <cfRule type="containsText" dxfId="2725" priority="2703" operator="containsText" text="RECHAZADA">
      <formula>NOT(ISERROR(SEARCH("RECHAZADA",K899)))</formula>
    </cfRule>
    <cfRule type="containsText" dxfId="2724" priority="2704" operator="containsText" text="Atendida">
      <formula>NOT(ISERROR(SEARCH("Atendida",K899)))</formula>
    </cfRule>
    <cfRule type="containsText" dxfId="2723" priority="2705" operator="containsText" text="Reasignación">
      <formula>NOT(ISERROR(SEARCH("Reasignación",K899)))</formula>
    </cfRule>
    <cfRule type="containsText" dxfId="2722" priority="2706" operator="containsText" text="RECHAZADA">
      <formula>NOT(ISERROR(SEARCH("RECHAZADA",K899)))</formula>
    </cfRule>
    <cfRule type="containsText" dxfId="2721" priority="2707" operator="containsText" text="Atendida">
      <formula>NOT(ISERROR(SEARCH("Atendida",K899)))</formula>
    </cfRule>
    <cfRule type="containsText" dxfId="2720" priority="2708" operator="containsText" text="Reasignación">
      <formula>NOT(ISERROR(SEARCH("Reasignación",K899)))</formula>
    </cfRule>
    <cfRule type="containsText" dxfId="2719" priority="2709" operator="containsText" text="RECHAZADA">
      <formula>NOT(ISERROR(SEARCH("RECHAZADA",K899)))</formula>
    </cfRule>
    <cfRule type="containsText" dxfId="2718" priority="2710" operator="containsText" text="Atendida">
      <formula>NOT(ISERROR(SEARCH("Atendida",K899)))</formula>
    </cfRule>
    <cfRule type="containsText" dxfId="2717" priority="2711" operator="containsText" text="Reasignación">
      <formula>NOT(ISERROR(SEARCH("Reasignación",K899)))</formula>
    </cfRule>
    <cfRule type="containsText" dxfId="2716" priority="2712" operator="containsText" text="RECHAZADA">
      <formula>NOT(ISERROR(SEARCH("RECHAZADA",K899)))</formula>
    </cfRule>
    <cfRule type="containsText" dxfId="2715" priority="2713" operator="containsText" text="Atendida">
      <formula>NOT(ISERROR(SEARCH("Atendida",K899)))</formula>
    </cfRule>
    <cfRule type="containsText" dxfId="2714" priority="2714" operator="containsText" text="Reasignación">
      <formula>NOT(ISERROR(SEARCH("Reasignación",K899)))</formula>
    </cfRule>
    <cfRule type="containsText" dxfId="2713" priority="2715" operator="containsText" text="RECHAZADA">
      <formula>NOT(ISERROR(SEARCH("RECHAZADA",K899)))</formula>
    </cfRule>
    <cfRule type="containsText" dxfId="2712" priority="2716" operator="containsText" text="Atendida">
      <formula>NOT(ISERROR(SEARCH("Atendida",K899)))</formula>
    </cfRule>
    <cfRule type="containsText" dxfId="2711" priority="2717" operator="containsText" text="Reasignación">
      <formula>NOT(ISERROR(SEARCH("Reasignación",K899)))</formula>
    </cfRule>
    <cfRule type="containsText" dxfId="2710" priority="2718" operator="containsText" text="RECHAZADA">
      <formula>NOT(ISERROR(SEARCH("RECHAZADA",K899)))</formula>
    </cfRule>
    <cfRule type="containsText" dxfId="2709" priority="2719" operator="containsText" text="Atendida">
      <formula>NOT(ISERROR(SEARCH("Atendida",K899)))</formula>
    </cfRule>
    <cfRule type="containsText" dxfId="2708" priority="2720" operator="containsText" text="Reasignación">
      <formula>NOT(ISERROR(SEARCH("Reasignación",K899)))</formula>
    </cfRule>
    <cfRule type="containsText" dxfId="2707" priority="2721" operator="containsText" text="RECHAZADA">
      <formula>NOT(ISERROR(SEARCH("RECHAZADA",K899)))</formula>
    </cfRule>
    <cfRule type="containsText" dxfId="2706" priority="2722" operator="containsText" text="Atendida">
      <formula>NOT(ISERROR(SEARCH("Atendida",K899)))</formula>
    </cfRule>
    <cfRule type="containsText" dxfId="2705" priority="2723" operator="containsText" text="Reasignación">
      <formula>NOT(ISERROR(SEARCH("Reasignación",K899)))</formula>
    </cfRule>
    <cfRule type="containsText" dxfId="2704" priority="2724" operator="containsText" text="RECHAZADA">
      <formula>NOT(ISERROR(SEARCH("RECHAZADA",K899)))</formula>
    </cfRule>
    <cfRule type="containsText" dxfId="2703" priority="2725" operator="containsText" text="Atendida">
      <formula>NOT(ISERROR(SEARCH("Atendida",K899)))</formula>
    </cfRule>
    <cfRule type="containsText" dxfId="2702" priority="2726" operator="containsText" text="Reasignación">
      <formula>NOT(ISERROR(SEARCH("Reasignación",K899)))</formula>
    </cfRule>
    <cfRule type="containsText" dxfId="2701" priority="2727" operator="containsText" text="RECHAZADA">
      <formula>NOT(ISERROR(SEARCH("RECHAZADA",K899)))</formula>
    </cfRule>
    <cfRule type="containsText" dxfId="2700" priority="2728" operator="containsText" text="Atendida">
      <formula>NOT(ISERROR(SEARCH("Atendida",K899)))</formula>
    </cfRule>
    <cfRule type="containsText" dxfId="2699" priority="2729" operator="containsText" text="Reasignación">
      <formula>NOT(ISERROR(SEARCH("Reasignación",K899)))</formula>
    </cfRule>
    <cfRule type="containsText" dxfId="2698" priority="2730" operator="containsText" text="RECHAZADA">
      <formula>NOT(ISERROR(SEARCH("RECHAZADA",K899)))</formula>
    </cfRule>
    <cfRule type="containsText" dxfId="2697" priority="2731" operator="containsText" text="Atendida">
      <formula>NOT(ISERROR(SEARCH("Atendida",K899)))</formula>
    </cfRule>
    <cfRule type="containsText" dxfId="2696" priority="2734" operator="containsText" text="Atendida">
      <formula>NOT(ISERROR(SEARCH("Atendida",K899)))</formula>
    </cfRule>
  </conditionalFormatting>
  <conditionalFormatting sqref="K899">
    <cfRule type="containsText" dxfId="2695" priority="2699" operator="containsText" text="Reasignación">
      <formula>NOT(ISERROR(SEARCH("Reasignación",K899)))</formula>
    </cfRule>
    <cfRule type="containsText" dxfId="2694" priority="2700" operator="containsText" text="RECHAZADA">
      <formula>NOT(ISERROR(SEARCH("RECHAZADA",K899)))</formula>
    </cfRule>
  </conditionalFormatting>
  <conditionalFormatting sqref="K900">
    <cfRule type="containsText" dxfId="2693" priority="2696" operator="containsText" text="Reasignación">
      <formula>NOT(ISERROR(SEARCH("Reasignación",K900)))</formula>
    </cfRule>
    <cfRule type="containsText" dxfId="2692" priority="2697" operator="containsText" text="RECHAZADA">
      <formula>NOT(ISERROR(SEARCH("RECHAZADA",K900)))</formula>
    </cfRule>
  </conditionalFormatting>
  <conditionalFormatting sqref="K900">
    <cfRule type="containsText" dxfId="2691" priority="2665" operator="containsText" text="Atendida">
      <formula>NOT(ISERROR(SEARCH("Atendida",K900)))</formula>
    </cfRule>
    <cfRule type="containsText" dxfId="2690" priority="2666" operator="containsText" text="Reasignación">
      <formula>NOT(ISERROR(SEARCH("Reasignación",K900)))</formula>
    </cfRule>
    <cfRule type="containsText" dxfId="2689" priority="2667" operator="containsText" text="RECHAZADA">
      <formula>NOT(ISERROR(SEARCH("RECHAZADA",K900)))</formula>
    </cfRule>
    <cfRule type="containsText" dxfId="2688" priority="2668" operator="containsText" text="Atendida">
      <formula>NOT(ISERROR(SEARCH("Atendida",K900)))</formula>
    </cfRule>
    <cfRule type="containsText" dxfId="2687" priority="2669" operator="containsText" text="Reasignación">
      <formula>NOT(ISERROR(SEARCH("Reasignación",K900)))</formula>
    </cfRule>
    <cfRule type="containsText" dxfId="2686" priority="2670" operator="containsText" text="RECHAZADA">
      <formula>NOT(ISERROR(SEARCH("RECHAZADA",K900)))</formula>
    </cfRule>
    <cfRule type="containsText" dxfId="2685" priority="2671" operator="containsText" text="Atendida">
      <formula>NOT(ISERROR(SEARCH("Atendida",K900)))</formula>
    </cfRule>
    <cfRule type="containsText" dxfId="2684" priority="2672" operator="containsText" text="Reasignación">
      <formula>NOT(ISERROR(SEARCH("Reasignación",K900)))</formula>
    </cfRule>
    <cfRule type="containsText" dxfId="2683" priority="2673" operator="containsText" text="RECHAZADA">
      <formula>NOT(ISERROR(SEARCH("RECHAZADA",K900)))</formula>
    </cfRule>
    <cfRule type="containsText" dxfId="2682" priority="2674" operator="containsText" text="Atendida">
      <formula>NOT(ISERROR(SEARCH("Atendida",K900)))</formula>
    </cfRule>
    <cfRule type="containsText" dxfId="2681" priority="2675" operator="containsText" text="Reasignación">
      <formula>NOT(ISERROR(SEARCH("Reasignación",K900)))</formula>
    </cfRule>
    <cfRule type="containsText" dxfId="2680" priority="2676" operator="containsText" text="RECHAZADA">
      <formula>NOT(ISERROR(SEARCH("RECHAZADA",K900)))</formula>
    </cfRule>
    <cfRule type="containsText" dxfId="2679" priority="2677" operator="containsText" text="Atendida">
      <formula>NOT(ISERROR(SEARCH("Atendida",K900)))</formula>
    </cfRule>
    <cfRule type="containsText" dxfId="2678" priority="2678" operator="containsText" text="Reasignación">
      <formula>NOT(ISERROR(SEARCH("Reasignación",K900)))</formula>
    </cfRule>
    <cfRule type="containsText" dxfId="2677" priority="2679" operator="containsText" text="RECHAZADA">
      <formula>NOT(ISERROR(SEARCH("RECHAZADA",K900)))</formula>
    </cfRule>
    <cfRule type="containsText" dxfId="2676" priority="2680" operator="containsText" text="Atendida">
      <formula>NOT(ISERROR(SEARCH("Atendida",K900)))</formula>
    </cfRule>
    <cfRule type="containsText" dxfId="2675" priority="2681" operator="containsText" text="Reasignación">
      <formula>NOT(ISERROR(SEARCH("Reasignación",K900)))</formula>
    </cfRule>
    <cfRule type="containsText" dxfId="2674" priority="2682" operator="containsText" text="RECHAZADA">
      <formula>NOT(ISERROR(SEARCH("RECHAZADA",K900)))</formula>
    </cfRule>
    <cfRule type="containsText" dxfId="2673" priority="2683" operator="containsText" text="Atendida">
      <formula>NOT(ISERROR(SEARCH("Atendida",K900)))</formula>
    </cfRule>
    <cfRule type="containsText" dxfId="2672" priority="2684" operator="containsText" text="Reasignación">
      <formula>NOT(ISERROR(SEARCH("Reasignación",K900)))</formula>
    </cfRule>
    <cfRule type="containsText" dxfId="2671" priority="2685" operator="containsText" text="RECHAZADA">
      <formula>NOT(ISERROR(SEARCH("RECHAZADA",K900)))</formula>
    </cfRule>
    <cfRule type="containsText" dxfId="2670" priority="2686" operator="containsText" text="Atendida">
      <formula>NOT(ISERROR(SEARCH("Atendida",K900)))</formula>
    </cfRule>
    <cfRule type="containsText" dxfId="2669" priority="2687" operator="containsText" text="Reasignación">
      <formula>NOT(ISERROR(SEARCH("Reasignación",K900)))</formula>
    </cfRule>
    <cfRule type="containsText" dxfId="2668" priority="2688" operator="containsText" text="RECHAZADA">
      <formula>NOT(ISERROR(SEARCH("RECHAZADA",K900)))</formula>
    </cfRule>
    <cfRule type="containsText" dxfId="2667" priority="2689" operator="containsText" text="Atendida">
      <formula>NOT(ISERROR(SEARCH("Atendida",K900)))</formula>
    </cfRule>
    <cfRule type="containsText" dxfId="2666" priority="2690" operator="containsText" text="Reasignación">
      <formula>NOT(ISERROR(SEARCH("Reasignación",K900)))</formula>
    </cfRule>
    <cfRule type="containsText" dxfId="2665" priority="2691" operator="containsText" text="RECHAZADA">
      <formula>NOT(ISERROR(SEARCH("RECHAZADA",K900)))</formula>
    </cfRule>
    <cfRule type="containsText" dxfId="2664" priority="2692" operator="containsText" text="Atendida">
      <formula>NOT(ISERROR(SEARCH("Atendida",K900)))</formula>
    </cfRule>
    <cfRule type="containsText" dxfId="2663" priority="2693" operator="containsText" text="Reasignación">
      <formula>NOT(ISERROR(SEARCH("Reasignación",K900)))</formula>
    </cfRule>
    <cfRule type="containsText" dxfId="2662" priority="2694" operator="containsText" text="RECHAZADA">
      <formula>NOT(ISERROR(SEARCH("RECHAZADA",K900)))</formula>
    </cfRule>
    <cfRule type="containsText" dxfId="2661" priority="2695" operator="containsText" text="Atendida">
      <formula>NOT(ISERROR(SEARCH("Atendida",K900)))</formula>
    </cfRule>
    <cfRule type="containsText" dxfId="2660" priority="2698" operator="containsText" text="Atendida">
      <formula>NOT(ISERROR(SEARCH("Atendida",K900)))</formula>
    </cfRule>
  </conditionalFormatting>
  <conditionalFormatting sqref="K900">
    <cfRule type="containsText" dxfId="2659" priority="2663" operator="containsText" text="Reasignación">
      <formula>NOT(ISERROR(SEARCH("Reasignación",K900)))</formula>
    </cfRule>
    <cfRule type="containsText" dxfId="2658" priority="2664" operator="containsText" text="RECHAZADA">
      <formula>NOT(ISERROR(SEARCH("RECHAZADA",K900)))</formula>
    </cfRule>
  </conditionalFormatting>
  <conditionalFormatting sqref="K901">
    <cfRule type="containsText" dxfId="2657" priority="2660" operator="containsText" text="Reasignación">
      <formula>NOT(ISERROR(SEARCH("Reasignación",K901)))</formula>
    </cfRule>
    <cfRule type="containsText" dxfId="2656" priority="2661" operator="containsText" text="RECHAZADA">
      <formula>NOT(ISERROR(SEARCH("RECHAZADA",K901)))</formula>
    </cfRule>
  </conditionalFormatting>
  <conditionalFormatting sqref="K901">
    <cfRule type="containsText" dxfId="2655" priority="2629" operator="containsText" text="Atendida">
      <formula>NOT(ISERROR(SEARCH("Atendida",K901)))</formula>
    </cfRule>
    <cfRule type="containsText" dxfId="2654" priority="2630" operator="containsText" text="Reasignación">
      <formula>NOT(ISERROR(SEARCH("Reasignación",K901)))</formula>
    </cfRule>
    <cfRule type="containsText" dxfId="2653" priority="2631" operator="containsText" text="RECHAZADA">
      <formula>NOT(ISERROR(SEARCH("RECHAZADA",K901)))</formula>
    </cfRule>
    <cfRule type="containsText" dxfId="2652" priority="2632" operator="containsText" text="Atendida">
      <formula>NOT(ISERROR(SEARCH("Atendida",K901)))</formula>
    </cfRule>
    <cfRule type="containsText" dxfId="2651" priority="2633" operator="containsText" text="Reasignación">
      <formula>NOT(ISERROR(SEARCH("Reasignación",K901)))</formula>
    </cfRule>
    <cfRule type="containsText" dxfId="2650" priority="2634" operator="containsText" text="RECHAZADA">
      <formula>NOT(ISERROR(SEARCH("RECHAZADA",K901)))</formula>
    </cfRule>
    <cfRule type="containsText" dxfId="2649" priority="2635" operator="containsText" text="Atendida">
      <formula>NOT(ISERROR(SEARCH("Atendida",K901)))</formula>
    </cfRule>
    <cfRule type="containsText" dxfId="2648" priority="2636" operator="containsText" text="Reasignación">
      <formula>NOT(ISERROR(SEARCH("Reasignación",K901)))</formula>
    </cfRule>
    <cfRule type="containsText" dxfId="2647" priority="2637" operator="containsText" text="RECHAZADA">
      <formula>NOT(ISERROR(SEARCH("RECHAZADA",K901)))</formula>
    </cfRule>
    <cfRule type="containsText" dxfId="2646" priority="2638" operator="containsText" text="Atendida">
      <formula>NOT(ISERROR(SEARCH("Atendida",K901)))</formula>
    </cfRule>
    <cfRule type="containsText" dxfId="2645" priority="2639" operator="containsText" text="Reasignación">
      <formula>NOT(ISERROR(SEARCH("Reasignación",K901)))</formula>
    </cfRule>
    <cfRule type="containsText" dxfId="2644" priority="2640" operator="containsText" text="RECHAZADA">
      <formula>NOT(ISERROR(SEARCH("RECHAZADA",K901)))</formula>
    </cfRule>
    <cfRule type="containsText" dxfId="2643" priority="2641" operator="containsText" text="Atendida">
      <formula>NOT(ISERROR(SEARCH("Atendida",K901)))</formula>
    </cfRule>
    <cfRule type="containsText" dxfId="2642" priority="2642" operator="containsText" text="Reasignación">
      <formula>NOT(ISERROR(SEARCH("Reasignación",K901)))</formula>
    </cfRule>
    <cfRule type="containsText" dxfId="2641" priority="2643" operator="containsText" text="RECHAZADA">
      <formula>NOT(ISERROR(SEARCH("RECHAZADA",K901)))</formula>
    </cfRule>
    <cfRule type="containsText" dxfId="2640" priority="2644" operator="containsText" text="Atendida">
      <formula>NOT(ISERROR(SEARCH("Atendida",K901)))</formula>
    </cfRule>
    <cfRule type="containsText" dxfId="2639" priority="2645" operator="containsText" text="Reasignación">
      <formula>NOT(ISERROR(SEARCH("Reasignación",K901)))</formula>
    </cfRule>
    <cfRule type="containsText" dxfId="2638" priority="2646" operator="containsText" text="RECHAZADA">
      <formula>NOT(ISERROR(SEARCH("RECHAZADA",K901)))</formula>
    </cfRule>
    <cfRule type="containsText" dxfId="2637" priority="2647" operator="containsText" text="Atendida">
      <formula>NOT(ISERROR(SEARCH("Atendida",K901)))</formula>
    </cfRule>
    <cfRule type="containsText" dxfId="2636" priority="2648" operator="containsText" text="Reasignación">
      <formula>NOT(ISERROR(SEARCH("Reasignación",K901)))</formula>
    </cfRule>
    <cfRule type="containsText" dxfId="2635" priority="2649" operator="containsText" text="RECHAZADA">
      <formula>NOT(ISERROR(SEARCH("RECHAZADA",K901)))</formula>
    </cfRule>
    <cfRule type="containsText" dxfId="2634" priority="2650" operator="containsText" text="Atendida">
      <formula>NOT(ISERROR(SEARCH("Atendida",K901)))</formula>
    </cfRule>
    <cfRule type="containsText" dxfId="2633" priority="2651" operator="containsText" text="Reasignación">
      <formula>NOT(ISERROR(SEARCH("Reasignación",K901)))</formula>
    </cfRule>
    <cfRule type="containsText" dxfId="2632" priority="2652" operator="containsText" text="RECHAZADA">
      <formula>NOT(ISERROR(SEARCH("RECHAZADA",K901)))</formula>
    </cfRule>
    <cfRule type="containsText" dxfId="2631" priority="2653" operator="containsText" text="Atendida">
      <formula>NOT(ISERROR(SEARCH("Atendida",K901)))</formula>
    </cfRule>
    <cfRule type="containsText" dxfId="2630" priority="2654" operator="containsText" text="Reasignación">
      <formula>NOT(ISERROR(SEARCH("Reasignación",K901)))</formula>
    </cfRule>
    <cfRule type="containsText" dxfId="2629" priority="2655" operator="containsText" text="RECHAZADA">
      <formula>NOT(ISERROR(SEARCH("RECHAZADA",K901)))</formula>
    </cfRule>
    <cfRule type="containsText" dxfId="2628" priority="2656" operator="containsText" text="Atendida">
      <formula>NOT(ISERROR(SEARCH("Atendida",K901)))</formula>
    </cfRule>
    <cfRule type="containsText" dxfId="2627" priority="2657" operator="containsText" text="Reasignación">
      <formula>NOT(ISERROR(SEARCH("Reasignación",K901)))</formula>
    </cfRule>
    <cfRule type="containsText" dxfId="2626" priority="2658" operator="containsText" text="RECHAZADA">
      <formula>NOT(ISERROR(SEARCH("RECHAZADA",K901)))</formula>
    </cfRule>
    <cfRule type="containsText" dxfId="2625" priority="2659" operator="containsText" text="Atendida">
      <formula>NOT(ISERROR(SEARCH("Atendida",K901)))</formula>
    </cfRule>
    <cfRule type="containsText" dxfId="2624" priority="2662" operator="containsText" text="Atendida">
      <formula>NOT(ISERROR(SEARCH("Atendida",K901)))</formula>
    </cfRule>
  </conditionalFormatting>
  <conditionalFormatting sqref="K901">
    <cfRule type="containsText" dxfId="2623" priority="2627" operator="containsText" text="Reasignación">
      <formula>NOT(ISERROR(SEARCH("Reasignación",K901)))</formula>
    </cfRule>
    <cfRule type="containsText" dxfId="2622" priority="2628" operator="containsText" text="RECHAZADA">
      <formula>NOT(ISERROR(SEARCH("RECHAZADA",K901)))</formula>
    </cfRule>
  </conditionalFormatting>
  <conditionalFormatting sqref="M902">
    <cfRule type="containsText" dxfId="2621" priority="2625" operator="containsText" text="RECHAZADA">
      <formula>NOT(ISERROR(SEARCH("RECHAZADA",M902)))</formula>
    </cfRule>
  </conditionalFormatting>
  <conditionalFormatting sqref="M902">
    <cfRule type="containsText" dxfId="2620" priority="2626" operator="containsText" text="Atendida">
      <formula>NOT(ISERROR(SEARCH("Atendida",M902)))</formula>
    </cfRule>
  </conditionalFormatting>
  <conditionalFormatting sqref="M902">
    <cfRule type="containsText" dxfId="2619" priority="2623" operator="containsText" text="OBSERVADO">
      <formula>NOT(ISERROR(SEARCH("OBSERVADO",M902)))</formula>
    </cfRule>
  </conditionalFormatting>
  <conditionalFormatting sqref="M902">
    <cfRule type="containsText" dxfId="2618" priority="2624" operator="containsText" text="CONFORME">
      <formula>NOT(ISERROR(SEARCH("CONFORME",M902)))</formula>
    </cfRule>
  </conditionalFormatting>
  <conditionalFormatting sqref="K902">
    <cfRule type="containsText" dxfId="2617" priority="2620" operator="containsText" text="Reasignación">
      <formula>NOT(ISERROR(SEARCH("Reasignación",K902)))</formula>
    </cfRule>
    <cfRule type="containsText" dxfId="2616" priority="2621" operator="containsText" text="RECHAZADA">
      <formula>NOT(ISERROR(SEARCH("RECHAZADA",K902)))</formula>
    </cfRule>
  </conditionalFormatting>
  <conditionalFormatting sqref="K902">
    <cfRule type="containsText" dxfId="2615" priority="2589" operator="containsText" text="Atendida">
      <formula>NOT(ISERROR(SEARCH("Atendida",K902)))</formula>
    </cfRule>
    <cfRule type="containsText" dxfId="2614" priority="2590" operator="containsText" text="Reasignación">
      <formula>NOT(ISERROR(SEARCH("Reasignación",K902)))</formula>
    </cfRule>
    <cfRule type="containsText" dxfId="2613" priority="2591" operator="containsText" text="RECHAZADA">
      <formula>NOT(ISERROR(SEARCH("RECHAZADA",K902)))</formula>
    </cfRule>
    <cfRule type="containsText" dxfId="2612" priority="2592" operator="containsText" text="Atendida">
      <formula>NOT(ISERROR(SEARCH("Atendida",K902)))</formula>
    </cfRule>
    <cfRule type="containsText" dxfId="2611" priority="2593" operator="containsText" text="Reasignación">
      <formula>NOT(ISERROR(SEARCH("Reasignación",K902)))</formula>
    </cfRule>
    <cfRule type="containsText" dxfId="2610" priority="2594" operator="containsText" text="RECHAZADA">
      <formula>NOT(ISERROR(SEARCH("RECHAZADA",K902)))</formula>
    </cfRule>
    <cfRule type="containsText" dxfId="2609" priority="2595" operator="containsText" text="Atendida">
      <formula>NOT(ISERROR(SEARCH("Atendida",K902)))</formula>
    </cfRule>
    <cfRule type="containsText" dxfId="2608" priority="2596" operator="containsText" text="Reasignación">
      <formula>NOT(ISERROR(SEARCH("Reasignación",K902)))</formula>
    </cfRule>
    <cfRule type="containsText" dxfId="2607" priority="2597" operator="containsText" text="RECHAZADA">
      <formula>NOT(ISERROR(SEARCH("RECHAZADA",K902)))</formula>
    </cfRule>
    <cfRule type="containsText" dxfId="2606" priority="2598" operator="containsText" text="Atendida">
      <formula>NOT(ISERROR(SEARCH("Atendida",K902)))</formula>
    </cfRule>
    <cfRule type="containsText" dxfId="2605" priority="2599" operator="containsText" text="Reasignación">
      <formula>NOT(ISERROR(SEARCH("Reasignación",K902)))</formula>
    </cfRule>
    <cfRule type="containsText" dxfId="2604" priority="2600" operator="containsText" text="RECHAZADA">
      <formula>NOT(ISERROR(SEARCH("RECHAZADA",K902)))</formula>
    </cfRule>
    <cfRule type="containsText" dxfId="2603" priority="2601" operator="containsText" text="Atendida">
      <formula>NOT(ISERROR(SEARCH("Atendida",K902)))</formula>
    </cfRule>
    <cfRule type="containsText" dxfId="2602" priority="2602" operator="containsText" text="Reasignación">
      <formula>NOT(ISERROR(SEARCH("Reasignación",K902)))</formula>
    </cfRule>
    <cfRule type="containsText" dxfId="2601" priority="2603" operator="containsText" text="RECHAZADA">
      <formula>NOT(ISERROR(SEARCH("RECHAZADA",K902)))</formula>
    </cfRule>
    <cfRule type="containsText" dxfId="2600" priority="2604" operator="containsText" text="Atendida">
      <formula>NOT(ISERROR(SEARCH("Atendida",K902)))</formula>
    </cfRule>
    <cfRule type="containsText" dxfId="2599" priority="2605" operator="containsText" text="Reasignación">
      <formula>NOT(ISERROR(SEARCH("Reasignación",K902)))</formula>
    </cfRule>
    <cfRule type="containsText" dxfId="2598" priority="2606" operator="containsText" text="RECHAZADA">
      <formula>NOT(ISERROR(SEARCH("RECHAZADA",K902)))</formula>
    </cfRule>
    <cfRule type="containsText" dxfId="2597" priority="2607" operator="containsText" text="Atendida">
      <formula>NOT(ISERROR(SEARCH("Atendida",K902)))</formula>
    </cfRule>
    <cfRule type="containsText" dxfId="2596" priority="2608" operator="containsText" text="Reasignación">
      <formula>NOT(ISERROR(SEARCH("Reasignación",K902)))</formula>
    </cfRule>
    <cfRule type="containsText" dxfId="2595" priority="2609" operator="containsText" text="RECHAZADA">
      <formula>NOT(ISERROR(SEARCH("RECHAZADA",K902)))</formula>
    </cfRule>
    <cfRule type="containsText" dxfId="2594" priority="2610" operator="containsText" text="Atendida">
      <formula>NOT(ISERROR(SEARCH("Atendida",K902)))</formula>
    </cfRule>
    <cfRule type="containsText" dxfId="2593" priority="2611" operator="containsText" text="Reasignación">
      <formula>NOT(ISERROR(SEARCH("Reasignación",K902)))</formula>
    </cfRule>
    <cfRule type="containsText" dxfId="2592" priority="2612" operator="containsText" text="RECHAZADA">
      <formula>NOT(ISERROR(SEARCH("RECHAZADA",K902)))</formula>
    </cfRule>
    <cfRule type="containsText" dxfId="2591" priority="2613" operator="containsText" text="Atendida">
      <formula>NOT(ISERROR(SEARCH("Atendida",K902)))</formula>
    </cfRule>
    <cfRule type="containsText" dxfId="2590" priority="2614" operator="containsText" text="Reasignación">
      <formula>NOT(ISERROR(SEARCH("Reasignación",K902)))</formula>
    </cfRule>
    <cfRule type="containsText" dxfId="2589" priority="2615" operator="containsText" text="RECHAZADA">
      <formula>NOT(ISERROR(SEARCH("RECHAZADA",K902)))</formula>
    </cfRule>
    <cfRule type="containsText" dxfId="2588" priority="2616" operator="containsText" text="Atendida">
      <formula>NOT(ISERROR(SEARCH("Atendida",K902)))</formula>
    </cfRule>
    <cfRule type="containsText" dxfId="2587" priority="2617" operator="containsText" text="Reasignación">
      <formula>NOT(ISERROR(SEARCH("Reasignación",K902)))</formula>
    </cfRule>
    <cfRule type="containsText" dxfId="2586" priority="2618" operator="containsText" text="RECHAZADA">
      <formula>NOT(ISERROR(SEARCH("RECHAZADA",K902)))</formula>
    </cfRule>
    <cfRule type="containsText" dxfId="2585" priority="2619" operator="containsText" text="Atendida">
      <formula>NOT(ISERROR(SEARCH("Atendida",K902)))</formula>
    </cfRule>
    <cfRule type="containsText" dxfId="2584" priority="2622" operator="containsText" text="Atendida">
      <formula>NOT(ISERROR(SEARCH("Atendida",K902)))</formula>
    </cfRule>
  </conditionalFormatting>
  <conditionalFormatting sqref="K902">
    <cfRule type="containsText" dxfId="2583" priority="2587" operator="containsText" text="Reasignación">
      <formula>NOT(ISERROR(SEARCH("Reasignación",K902)))</formula>
    </cfRule>
    <cfRule type="containsText" dxfId="2582" priority="2588" operator="containsText" text="RECHAZADA">
      <formula>NOT(ISERROR(SEARCH("RECHAZADA",K902)))</formula>
    </cfRule>
  </conditionalFormatting>
  <conditionalFormatting sqref="K903">
    <cfRule type="containsText" dxfId="2581" priority="2584" operator="containsText" text="Reasignación">
      <formula>NOT(ISERROR(SEARCH("Reasignación",K903)))</formula>
    </cfRule>
    <cfRule type="containsText" dxfId="2580" priority="2585" operator="containsText" text="RECHAZADA">
      <formula>NOT(ISERROR(SEARCH("RECHAZADA",K903)))</formula>
    </cfRule>
  </conditionalFormatting>
  <conditionalFormatting sqref="K903">
    <cfRule type="containsText" dxfId="2579" priority="2553" operator="containsText" text="Atendida">
      <formula>NOT(ISERROR(SEARCH("Atendida",K903)))</formula>
    </cfRule>
    <cfRule type="containsText" dxfId="2578" priority="2554" operator="containsText" text="Reasignación">
      <formula>NOT(ISERROR(SEARCH("Reasignación",K903)))</formula>
    </cfRule>
    <cfRule type="containsText" dxfId="2577" priority="2555" operator="containsText" text="RECHAZADA">
      <formula>NOT(ISERROR(SEARCH("RECHAZADA",K903)))</formula>
    </cfRule>
    <cfRule type="containsText" dxfId="2576" priority="2556" operator="containsText" text="Atendida">
      <formula>NOT(ISERROR(SEARCH("Atendida",K903)))</formula>
    </cfRule>
    <cfRule type="containsText" dxfId="2575" priority="2557" operator="containsText" text="Reasignación">
      <formula>NOT(ISERROR(SEARCH("Reasignación",K903)))</formula>
    </cfRule>
    <cfRule type="containsText" dxfId="2574" priority="2558" operator="containsText" text="RECHAZADA">
      <formula>NOT(ISERROR(SEARCH("RECHAZADA",K903)))</formula>
    </cfRule>
    <cfRule type="containsText" dxfId="2573" priority="2559" operator="containsText" text="Atendida">
      <formula>NOT(ISERROR(SEARCH("Atendida",K903)))</formula>
    </cfRule>
    <cfRule type="containsText" dxfId="2572" priority="2560" operator="containsText" text="Reasignación">
      <formula>NOT(ISERROR(SEARCH("Reasignación",K903)))</formula>
    </cfRule>
    <cfRule type="containsText" dxfId="2571" priority="2561" operator="containsText" text="RECHAZADA">
      <formula>NOT(ISERROR(SEARCH("RECHAZADA",K903)))</formula>
    </cfRule>
    <cfRule type="containsText" dxfId="2570" priority="2562" operator="containsText" text="Atendida">
      <formula>NOT(ISERROR(SEARCH("Atendida",K903)))</formula>
    </cfRule>
    <cfRule type="containsText" dxfId="2569" priority="2563" operator="containsText" text="Reasignación">
      <formula>NOT(ISERROR(SEARCH("Reasignación",K903)))</formula>
    </cfRule>
    <cfRule type="containsText" dxfId="2568" priority="2564" operator="containsText" text="RECHAZADA">
      <formula>NOT(ISERROR(SEARCH("RECHAZADA",K903)))</formula>
    </cfRule>
    <cfRule type="containsText" dxfId="2567" priority="2565" operator="containsText" text="Atendida">
      <formula>NOT(ISERROR(SEARCH("Atendida",K903)))</formula>
    </cfRule>
    <cfRule type="containsText" dxfId="2566" priority="2566" operator="containsText" text="Reasignación">
      <formula>NOT(ISERROR(SEARCH("Reasignación",K903)))</formula>
    </cfRule>
    <cfRule type="containsText" dxfId="2565" priority="2567" operator="containsText" text="RECHAZADA">
      <formula>NOT(ISERROR(SEARCH("RECHAZADA",K903)))</formula>
    </cfRule>
    <cfRule type="containsText" dxfId="2564" priority="2568" operator="containsText" text="Atendida">
      <formula>NOT(ISERROR(SEARCH("Atendida",K903)))</formula>
    </cfRule>
    <cfRule type="containsText" dxfId="2563" priority="2569" operator="containsText" text="Reasignación">
      <formula>NOT(ISERROR(SEARCH("Reasignación",K903)))</formula>
    </cfRule>
    <cfRule type="containsText" dxfId="2562" priority="2570" operator="containsText" text="RECHAZADA">
      <formula>NOT(ISERROR(SEARCH("RECHAZADA",K903)))</formula>
    </cfRule>
    <cfRule type="containsText" dxfId="2561" priority="2571" operator="containsText" text="Atendida">
      <formula>NOT(ISERROR(SEARCH("Atendida",K903)))</formula>
    </cfRule>
    <cfRule type="containsText" dxfId="2560" priority="2572" operator="containsText" text="Reasignación">
      <formula>NOT(ISERROR(SEARCH("Reasignación",K903)))</formula>
    </cfRule>
    <cfRule type="containsText" dxfId="2559" priority="2573" operator="containsText" text="RECHAZADA">
      <formula>NOT(ISERROR(SEARCH("RECHAZADA",K903)))</formula>
    </cfRule>
    <cfRule type="containsText" dxfId="2558" priority="2574" operator="containsText" text="Atendida">
      <formula>NOT(ISERROR(SEARCH("Atendida",K903)))</formula>
    </cfRule>
    <cfRule type="containsText" dxfId="2557" priority="2575" operator="containsText" text="Reasignación">
      <formula>NOT(ISERROR(SEARCH("Reasignación",K903)))</formula>
    </cfRule>
    <cfRule type="containsText" dxfId="2556" priority="2576" operator="containsText" text="RECHAZADA">
      <formula>NOT(ISERROR(SEARCH("RECHAZADA",K903)))</formula>
    </cfRule>
    <cfRule type="containsText" dxfId="2555" priority="2577" operator="containsText" text="Atendida">
      <formula>NOT(ISERROR(SEARCH("Atendida",K903)))</formula>
    </cfRule>
    <cfRule type="containsText" dxfId="2554" priority="2578" operator="containsText" text="Reasignación">
      <formula>NOT(ISERROR(SEARCH("Reasignación",K903)))</formula>
    </cfRule>
    <cfRule type="containsText" dxfId="2553" priority="2579" operator="containsText" text="RECHAZADA">
      <formula>NOT(ISERROR(SEARCH("RECHAZADA",K903)))</formula>
    </cfRule>
    <cfRule type="containsText" dxfId="2552" priority="2580" operator="containsText" text="Atendida">
      <formula>NOT(ISERROR(SEARCH("Atendida",K903)))</formula>
    </cfRule>
    <cfRule type="containsText" dxfId="2551" priority="2581" operator="containsText" text="Reasignación">
      <formula>NOT(ISERROR(SEARCH("Reasignación",K903)))</formula>
    </cfRule>
    <cfRule type="containsText" dxfId="2550" priority="2582" operator="containsText" text="RECHAZADA">
      <formula>NOT(ISERROR(SEARCH("RECHAZADA",K903)))</formula>
    </cfRule>
    <cfRule type="containsText" dxfId="2549" priority="2583" operator="containsText" text="Atendida">
      <formula>NOT(ISERROR(SEARCH("Atendida",K903)))</formula>
    </cfRule>
    <cfRule type="containsText" dxfId="2548" priority="2586" operator="containsText" text="Atendida">
      <formula>NOT(ISERROR(SEARCH("Atendida",K903)))</formula>
    </cfRule>
  </conditionalFormatting>
  <conditionalFormatting sqref="K903">
    <cfRule type="containsText" dxfId="2547" priority="2551" operator="containsText" text="Reasignación">
      <formula>NOT(ISERROR(SEARCH("Reasignación",K903)))</formula>
    </cfRule>
    <cfRule type="containsText" dxfId="2546" priority="2552" operator="containsText" text="RECHAZADA">
      <formula>NOT(ISERROR(SEARCH("RECHAZADA",K903)))</formula>
    </cfRule>
  </conditionalFormatting>
  <conditionalFormatting sqref="M904">
    <cfRule type="containsText" dxfId="2545" priority="2549" operator="containsText" text="RECHAZADA">
      <formula>NOT(ISERROR(SEARCH("RECHAZADA",M904)))</formula>
    </cfRule>
  </conditionalFormatting>
  <conditionalFormatting sqref="M904">
    <cfRule type="containsText" dxfId="2544" priority="2550" operator="containsText" text="Atendida">
      <formula>NOT(ISERROR(SEARCH("Atendida",M904)))</formula>
    </cfRule>
  </conditionalFormatting>
  <conditionalFormatting sqref="M904">
    <cfRule type="containsText" dxfId="2543" priority="2547" operator="containsText" text="OBSERVADO">
      <formula>NOT(ISERROR(SEARCH("OBSERVADO",M904)))</formula>
    </cfRule>
  </conditionalFormatting>
  <conditionalFormatting sqref="M904">
    <cfRule type="containsText" dxfId="2542" priority="2548" operator="containsText" text="CONFORME">
      <formula>NOT(ISERROR(SEARCH("CONFORME",M904)))</formula>
    </cfRule>
  </conditionalFormatting>
  <conditionalFormatting sqref="K904">
    <cfRule type="containsText" dxfId="2541" priority="2544" operator="containsText" text="Reasignación">
      <formula>NOT(ISERROR(SEARCH("Reasignación",K904)))</formula>
    </cfRule>
    <cfRule type="containsText" dxfId="2540" priority="2545" operator="containsText" text="RECHAZADA">
      <formula>NOT(ISERROR(SEARCH("RECHAZADA",K904)))</formula>
    </cfRule>
  </conditionalFormatting>
  <conditionalFormatting sqref="K904">
    <cfRule type="containsText" dxfId="2539" priority="2513" operator="containsText" text="Atendida">
      <formula>NOT(ISERROR(SEARCH("Atendida",K904)))</formula>
    </cfRule>
    <cfRule type="containsText" dxfId="2538" priority="2514" operator="containsText" text="Reasignación">
      <formula>NOT(ISERROR(SEARCH("Reasignación",K904)))</formula>
    </cfRule>
    <cfRule type="containsText" dxfId="2537" priority="2515" operator="containsText" text="RECHAZADA">
      <formula>NOT(ISERROR(SEARCH("RECHAZADA",K904)))</formula>
    </cfRule>
    <cfRule type="containsText" dxfId="2536" priority="2516" operator="containsText" text="Atendida">
      <formula>NOT(ISERROR(SEARCH("Atendida",K904)))</formula>
    </cfRule>
    <cfRule type="containsText" dxfId="2535" priority="2517" operator="containsText" text="Reasignación">
      <formula>NOT(ISERROR(SEARCH("Reasignación",K904)))</formula>
    </cfRule>
    <cfRule type="containsText" dxfId="2534" priority="2518" operator="containsText" text="RECHAZADA">
      <formula>NOT(ISERROR(SEARCH("RECHAZADA",K904)))</formula>
    </cfRule>
    <cfRule type="containsText" dxfId="2533" priority="2519" operator="containsText" text="Atendida">
      <formula>NOT(ISERROR(SEARCH("Atendida",K904)))</formula>
    </cfRule>
    <cfRule type="containsText" dxfId="2532" priority="2520" operator="containsText" text="Reasignación">
      <formula>NOT(ISERROR(SEARCH("Reasignación",K904)))</formula>
    </cfRule>
    <cfRule type="containsText" dxfId="2531" priority="2521" operator="containsText" text="RECHAZADA">
      <formula>NOT(ISERROR(SEARCH("RECHAZADA",K904)))</formula>
    </cfRule>
    <cfRule type="containsText" dxfId="2530" priority="2522" operator="containsText" text="Atendida">
      <formula>NOT(ISERROR(SEARCH("Atendida",K904)))</formula>
    </cfRule>
    <cfRule type="containsText" dxfId="2529" priority="2523" operator="containsText" text="Reasignación">
      <formula>NOT(ISERROR(SEARCH("Reasignación",K904)))</formula>
    </cfRule>
    <cfRule type="containsText" dxfId="2528" priority="2524" operator="containsText" text="RECHAZADA">
      <formula>NOT(ISERROR(SEARCH("RECHAZADA",K904)))</formula>
    </cfRule>
    <cfRule type="containsText" dxfId="2527" priority="2525" operator="containsText" text="Atendida">
      <formula>NOT(ISERROR(SEARCH("Atendida",K904)))</formula>
    </cfRule>
    <cfRule type="containsText" dxfId="2526" priority="2526" operator="containsText" text="Reasignación">
      <formula>NOT(ISERROR(SEARCH("Reasignación",K904)))</formula>
    </cfRule>
    <cfRule type="containsText" dxfId="2525" priority="2527" operator="containsText" text="RECHAZADA">
      <formula>NOT(ISERROR(SEARCH("RECHAZADA",K904)))</formula>
    </cfRule>
    <cfRule type="containsText" dxfId="2524" priority="2528" operator="containsText" text="Atendida">
      <formula>NOT(ISERROR(SEARCH("Atendida",K904)))</formula>
    </cfRule>
    <cfRule type="containsText" dxfId="2523" priority="2529" operator="containsText" text="Reasignación">
      <formula>NOT(ISERROR(SEARCH("Reasignación",K904)))</formula>
    </cfRule>
    <cfRule type="containsText" dxfId="2522" priority="2530" operator="containsText" text="RECHAZADA">
      <formula>NOT(ISERROR(SEARCH("RECHAZADA",K904)))</formula>
    </cfRule>
    <cfRule type="containsText" dxfId="2521" priority="2531" operator="containsText" text="Atendida">
      <formula>NOT(ISERROR(SEARCH("Atendida",K904)))</formula>
    </cfRule>
    <cfRule type="containsText" dxfId="2520" priority="2532" operator="containsText" text="Reasignación">
      <formula>NOT(ISERROR(SEARCH("Reasignación",K904)))</formula>
    </cfRule>
    <cfRule type="containsText" dxfId="2519" priority="2533" operator="containsText" text="RECHAZADA">
      <formula>NOT(ISERROR(SEARCH("RECHAZADA",K904)))</formula>
    </cfRule>
    <cfRule type="containsText" dxfId="2518" priority="2534" operator="containsText" text="Atendida">
      <formula>NOT(ISERROR(SEARCH("Atendida",K904)))</formula>
    </cfRule>
    <cfRule type="containsText" dxfId="2517" priority="2535" operator="containsText" text="Reasignación">
      <formula>NOT(ISERROR(SEARCH("Reasignación",K904)))</formula>
    </cfRule>
    <cfRule type="containsText" dxfId="2516" priority="2536" operator="containsText" text="RECHAZADA">
      <formula>NOT(ISERROR(SEARCH("RECHAZADA",K904)))</formula>
    </cfRule>
    <cfRule type="containsText" dxfId="2515" priority="2537" operator="containsText" text="Atendida">
      <formula>NOT(ISERROR(SEARCH("Atendida",K904)))</formula>
    </cfRule>
    <cfRule type="containsText" dxfId="2514" priority="2538" operator="containsText" text="Reasignación">
      <formula>NOT(ISERROR(SEARCH("Reasignación",K904)))</formula>
    </cfRule>
    <cfRule type="containsText" dxfId="2513" priority="2539" operator="containsText" text="RECHAZADA">
      <formula>NOT(ISERROR(SEARCH("RECHAZADA",K904)))</formula>
    </cfRule>
    <cfRule type="containsText" dxfId="2512" priority="2540" operator="containsText" text="Atendida">
      <formula>NOT(ISERROR(SEARCH("Atendida",K904)))</formula>
    </cfRule>
    <cfRule type="containsText" dxfId="2511" priority="2541" operator="containsText" text="Reasignación">
      <formula>NOT(ISERROR(SEARCH("Reasignación",K904)))</formula>
    </cfRule>
    <cfRule type="containsText" dxfId="2510" priority="2542" operator="containsText" text="RECHAZADA">
      <formula>NOT(ISERROR(SEARCH("RECHAZADA",K904)))</formula>
    </cfRule>
    <cfRule type="containsText" dxfId="2509" priority="2543" operator="containsText" text="Atendida">
      <formula>NOT(ISERROR(SEARCH("Atendida",K904)))</formula>
    </cfRule>
    <cfRule type="containsText" dxfId="2508" priority="2546" operator="containsText" text="Atendida">
      <formula>NOT(ISERROR(SEARCH("Atendida",K904)))</formula>
    </cfRule>
  </conditionalFormatting>
  <conditionalFormatting sqref="K904">
    <cfRule type="containsText" dxfId="2507" priority="2511" operator="containsText" text="Reasignación">
      <formula>NOT(ISERROR(SEARCH("Reasignación",K904)))</formula>
    </cfRule>
    <cfRule type="containsText" dxfId="2506" priority="2512" operator="containsText" text="RECHAZADA">
      <formula>NOT(ISERROR(SEARCH("RECHAZADA",K904)))</formula>
    </cfRule>
  </conditionalFormatting>
  <conditionalFormatting sqref="K905">
    <cfRule type="containsText" dxfId="2505" priority="2510" operator="containsText" text="Reasignación">
      <formula>NOT(ISERROR(SEARCH("Reasignación",K905)))</formula>
    </cfRule>
  </conditionalFormatting>
  <conditionalFormatting sqref="K905">
    <cfRule type="containsText" dxfId="2504" priority="2503" operator="containsText" text="RECHAZADA">
      <formula>NOT(ISERROR(SEARCH("RECHAZADA",K905)))</formula>
    </cfRule>
  </conditionalFormatting>
  <conditionalFormatting sqref="K905">
    <cfRule type="containsText" dxfId="2503" priority="2508" operator="containsText" text="RECHAZADA">
      <formula>NOT(ISERROR(SEARCH("RECHAZADA",K905)))</formula>
    </cfRule>
  </conditionalFormatting>
  <conditionalFormatting sqref="K905">
    <cfRule type="containsText" dxfId="2502" priority="2509" operator="containsText" text="Atendida">
      <formula>NOT(ISERROR(SEARCH("Atendida",K905)))</formula>
    </cfRule>
  </conditionalFormatting>
  <conditionalFormatting sqref="K905">
    <cfRule type="containsText" dxfId="2501" priority="2507" operator="containsText" text="Reasignación">
      <formula>NOT(ISERROR(SEARCH("Reasignación",K905)))</formula>
    </cfRule>
  </conditionalFormatting>
  <conditionalFormatting sqref="K905">
    <cfRule type="containsText" dxfId="2500" priority="2506" operator="containsText" text="Atendida">
      <formula>NOT(ISERROR(SEARCH("Atendida",K905)))</formula>
    </cfRule>
  </conditionalFormatting>
  <conditionalFormatting sqref="K905">
    <cfRule type="containsText" dxfId="2499" priority="2504" operator="containsText" text="Reasignación">
      <formula>NOT(ISERROR(SEARCH("Reasignación",K905)))</formula>
    </cfRule>
    <cfRule type="containsText" dxfId="2498" priority="2505" operator="containsText" text="RECHAZADA">
      <formula>NOT(ISERROR(SEARCH("RECHAZADA",K905)))</formula>
    </cfRule>
  </conditionalFormatting>
  <conditionalFormatting sqref="K905">
    <cfRule type="containsText" dxfId="2497" priority="2502" operator="containsText" text="Reasignación">
      <formula>NOT(ISERROR(SEARCH("Reasignación",K905)))</formula>
    </cfRule>
  </conditionalFormatting>
  <conditionalFormatting sqref="K905">
    <cfRule type="containsText" dxfId="2496" priority="2500" operator="containsText" text="RECHAZADA">
      <formula>NOT(ISERROR(SEARCH("RECHAZADA",K905)))</formula>
    </cfRule>
    <cfRule type="containsText" dxfId="2495" priority="2501" operator="containsText" text="Atendida">
      <formula>NOT(ISERROR(SEARCH("Atendida",K905)))</formula>
    </cfRule>
  </conditionalFormatting>
  <conditionalFormatting sqref="K905">
    <cfRule type="containsText" dxfId="2494" priority="2499" operator="containsText" text="Reasignación">
      <formula>NOT(ISERROR(SEARCH("Reasignación",K905)))</formula>
    </cfRule>
  </conditionalFormatting>
  <conditionalFormatting sqref="K905">
    <cfRule type="containsText" dxfId="2493" priority="2497" operator="containsText" text="RECHAZADA">
      <formula>NOT(ISERROR(SEARCH("RECHAZADA",K905)))</formula>
    </cfRule>
  </conditionalFormatting>
  <conditionalFormatting sqref="K905">
    <cfRule type="containsText" dxfId="2492" priority="2498" operator="containsText" text="Atendida">
      <formula>NOT(ISERROR(SEARCH("Atendida",K905)))</formula>
    </cfRule>
  </conditionalFormatting>
  <conditionalFormatting sqref="K905">
    <cfRule type="containsText" dxfId="2491" priority="2489" operator="containsText" text="RECHAZADA">
      <formula>NOT(ISERROR(SEARCH("RECHAZADA",K905)))</formula>
    </cfRule>
  </conditionalFormatting>
  <conditionalFormatting sqref="K905">
    <cfRule type="containsText" dxfId="2490" priority="2488" operator="containsText" text="Reasignación">
      <formula>NOT(ISERROR(SEARCH("Reasignación",K905)))</formula>
    </cfRule>
  </conditionalFormatting>
  <conditionalFormatting sqref="K905">
    <cfRule type="containsText" dxfId="2489" priority="2492" operator="containsText" text="RECHAZADA">
      <formula>NOT(ISERROR(SEARCH("RECHAZADA",K905)))</formula>
    </cfRule>
    <cfRule type="containsText" dxfId="2488" priority="2493" operator="containsText" text="Atendida">
      <formula>NOT(ISERROR(SEARCH("Atendida",K905)))</formula>
    </cfRule>
    <cfRule type="containsText" dxfId="2487" priority="2494" operator="containsText" text="Reasignación">
      <formula>NOT(ISERROR(SEARCH("Reasignación",K905)))</formula>
    </cfRule>
    <cfRule type="containsText" dxfId="2486" priority="2495" operator="containsText" text="RECHAZADA">
      <formula>NOT(ISERROR(SEARCH("RECHAZADA",K905)))</formula>
    </cfRule>
    <cfRule type="containsText" dxfId="2485" priority="2496" operator="containsText" text="Atendida">
      <formula>NOT(ISERROR(SEARCH("Atendida",K905)))</formula>
    </cfRule>
  </conditionalFormatting>
  <conditionalFormatting sqref="K905">
    <cfRule type="containsText" dxfId="2484" priority="2491" operator="containsText" text="Reasignación">
      <formula>NOT(ISERROR(SEARCH("Reasignación",K905)))</formula>
    </cfRule>
  </conditionalFormatting>
  <conditionalFormatting sqref="K905">
    <cfRule type="containsText" dxfId="2483" priority="2490" operator="containsText" text="Atendida">
      <formula>NOT(ISERROR(SEARCH("Atendida",K905)))</formula>
    </cfRule>
  </conditionalFormatting>
  <conditionalFormatting sqref="K905">
    <cfRule type="containsText" dxfId="2482" priority="2337" operator="containsText" text="RECHAZADA">
      <formula>NOT(ISERROR(SEARCH("RECHAZADA",K905)))</formula>
    </cfRule>
    <cfRule type="containsText" dxfId="2481" priority="2338" operator="containsText" text="Atendida">
      <formula>NOT(ISERROR(SEARCH("Atendida",K905)))</formula>
    </cfRule>
    <cfRule type="containsText" dxfId="2480" priority="2339" operator="containsText" text="Reasignación">
      <formula>NOT(ISERROR(SEARCH("Reasignación",K905)))</formula>
    </cfRule>
    <cfRule type="containsText" dxfId="2479" priority="2340" operator="containsText" text="RECHAZADA">
      <formula>NOT(ISERROR(SEARCH("RECHAZADA",K905)))</formula>
    </cfRule>
    <cfRule type="containsText" dxfId="2478" priority="2341" operator="containsText" text="Atendida">
      <formula>NOT(ISERROR(SEARCH("Atendida",K905)))</formula>
    </cfRule>
    <cfRule type="containsText" dxfId="2477" priority="2342" operator="containsText" text="Reasignación">
      <formula>NOT(ISERROR(SEARCH("Reasignación",K905)))</formula>
    </cfRule>
    <cfRule type="containsText" dxfId="2476" priority="2343" operator="containsText" text="RECHAZADA">
      <formula>NOT(ISERROR(SEARCH("RECHAZADA",K905)))</formula>
    </cfRule>
    <cfRule type="containsText" dxfId="2475" priority="2344" operator="containsText" text="Atendida">
      <formula>NOT(ISERROR(SEARCH("Atendida",K905)))</formula>
    </cfRule>
    <cfRule type="containsText" dxfId="2474" priority="2345" operator="containsText" text="Reasignación">
      <formula>NOT(ISERROR(SEARCH("Reasignación",K905)))</formula>
    </cfRule>
    <cfRule type="containsText" dxfId="2473" priority="2346" operator="containsText" text="RECHAZADA">
      <formula>NOT(ISERROR(SEARCH("RECHAZADA",K905)))</formula>
    </cfRule>
    <cfRule type="containsText" dxfId="2472" priority="2347" operator="containsText" text="Atendida">
      <formula>NOT(ISERROR(SEARCH("Atendida",K905)))</formula>
    </cfRule>
    <cfRule type="containsText" dxfId="2471" priority="2348" operator="containsText" text="Reasignación">
      <formula>NOT(ISERROR(SEARCH("Reasignación",K905)))</formula>
    </cfRule>
    <cfRule type="containsText" dxfId="2470" priority="2349" operator="containsText" text="RECHAZADA">
      <formula>NOT(ISERROR(SEARCH("RECHAZADA",K905)))</formula>
    </cfRule>
    <cfRule type="containsText" dxfId="2469" priority="2350" operator="containsText" text="Atendida">
      <formula>NOT(ISERROR(SEARCH("Atendida",K905)))</formula>
    </cfRule>
    <cfRule type="containsText" dxfId="2468" priority="2351" operator="containsText" text="Reasignación">
      <formula>NOT(ISERROR(SEARCH("Reasignación",K905)))</formula>
    </cfRule>
    <cfRule type="containsText" dxfId="2467" priority="2352" operator="containsText" text="RECHAZADA">
      <formula>NOT(ISERROR(SEARCH("RECHAZADA",K905)))</formula>
    </cfRule>
    <cfRule type="containsText" dxfId="2466" priority="2353" operator="containsText" text="Atendida">
      <formula>NOT(ISERROR(SEARCH("Atendida",K905)))</formula>
    </cfRule>
    <cfRule type="containsText" dxfId="2465" priority="2354" operator="containsText" text="Reasignación">
      <formula>NOT(ISERROR(SEARCH("Reasignación",K905)))</formula>
    </cfRule>
    <cfRule type="containsText" dxfId="2464" priority="2355" operator="containsText" text="RECHAZADA">
      <formula>NOT(ISERROR(SEARCH("RECHAZADA",K905)))</formula>
    </cfRule>
    <cfRule type="containsText" dxfId="2463" priority="2356" operator="containsText" text="Atendida">
      <formula>NOT(ISERROR(SEARCH("Atendida",K905)))</formula>
    </cfRule>
    <cfRule type="containsText" dxfId="2462" priority="2357" operator="containsText" text="Reasignación">
      <formula>NOT(ISERROR(SEARCH("Reasignación",K905)))</formula>
    </cfRule>
    <cfRule type="containsText" dxfId="2461" priority="2358" operator="containsText" text="RECHAZADA">
      <formula>NOT(ISERROR(SEARCH("RECHAZADA",K905)))</formula>
    </cfRule>
    <cfRule type="containsText" dxfId="2460" priority="2359" operator="containsText" text="Atendida">
      <formula>NOT(ISERROR(SEARCH("Atendida",K905)))</formula>
    </cfRule>
    <cfRule type="containsText" dxfId="2459" priority="2360" operator="containsText" text="Reasignación">
      <formula>NOT(ISERROR(SEARCH("Reasignación",K905)))</formula>
    </cfRule>
    <cfRule type="containsText" dxfId="2458" priority="2361" operator="containsText" text="RECHAZADA">
      <formula>NOT(ISERROR(SEARCH("RECHAZADA",K905)))</formula>
    </cfRule>
    <cfRule type="containsText" dxfId="2457" priority="2362" operator="containsText" text="Atendida">
      <formula>NOT(ISERROR(SEARCH("Atendida",K905)))</formula>
    </cfRule>
    <cfRule type="containsText" dxfId="2456" priority="2363" operator="containsText" text="Reasignación">
      <formula>NOT(ISERROR(SEARCH("Reasignación",K905)))</formula>
    </cfRule>
    <cfRule type="containsText" dxfId="2455" priority="2364" operator="containsText" text="RECHAZADA">
      <formula>NOT(ISERROR(SEARCH("RECHAZADA",K905)))</formula>
    </cfRule>
    <cfRule type="containsText" dxfId="2454" priority="2365" operator="containsText" text="Atendida">
      <formula>NOT(ISERROR(SEARCH("Atendida",K905)))</formula>
    </cfRule>
    <cfRule type="containsText" dxfId="2453" priority="2366" operator="containsText" text="Reasignación">
      <formula>NOT(ISERROR(SEARCH("Reasignación",K905)))</formula>
    </cfRule>
    <cfRule type="containsText" dxfId="2452" priority="2367" operator="containsText" text="RECHAZADA">
      <formula>NOT(ISERROR(SEARCH("RECHAZADA",K905)))</formula>
    </cfRule>
    <cfRule type="containsText" dxfId="2451" priority="2368" operator="containsText" text="Atendida">
      <formula>NOT(ISERROR(SEARCH("Atendida",K905)))</formula>
    </cfRule>
    <cfRule type="containsText" dxfId="2450" priority="2369" operator="containsText" text="Reasignación">
      <formula>NOT(ISERROR(SEARCH("Reasignación",K905)))</formula>
    </cfRule>
    <cfRule type="containsText" dxfId="2449" priority="2370" operator="containsText" text="RECHAZADA">
      <formula>NOT(ISERROR(SEARCH("RECHAZADA",K905)))</formula>
    </cfRule>
    <cfRule type="containsText" dxfId="2448" priority="2371" operator="containsText" text="Atendida">
      <formula>NOT(ISERROR(SEARCH("Atendida",K905)))</formula>
    </cfRule>
    <cfRule type="containsText" dxfId="2447" priority="2372" operator="containsText" text="Reasignación">
      <formula>NOT(ISERROR(SEARCH("Reasignación",K905)))</formula>
    </cfRule>
    <cfRule type="containsText" dxfId="2446" priority="2373" operator="containsText" text="RECHAZADA">
      <formula>NOT(ISERROR(SEARCH("RECHAZADA",K905)))</formula>
    </cfRule>
    <cfRule type="containsText" dxfId="2445" priority="2374" operator="containsText" text="Atendida">
      <formula>NOT(ISERROR(SEARCH("Atendida",K905)))</formula>
    </cfRule>
    <cfRule type="containsText" dxfId="2444" priority="2375" operator="containsText" text="Reasignación">
      <formula>NOT(ISERROR(SEARCH("Reasignación",K905)))</formula>
    </cfRule>
    <cfRule type="containsText" dxfId="2443" priority="2376" operator="containsText" text="RECHAZADA">
      <formula>NOT(ISERROR(SEARCH("RECHAZADA",K905)))</formula>
    </cfRule>
    <cfRule type="containsText" dxfId="2442" priority="2377" operator="containsText" text="Atendida">
      <formula>NOT(ISERROR(SEARCH("Atendida",K905)))</formula>
    </cfRule>
    <cfRule type="containsText" dxfId="2441" priority="2378" operator="containsText" text="Reasignación">
      <formula>NOT(ISERROR(SEARCH("Reasignación",K905)))</formula>
    </cfRule>
    <cfRule type="containsText" dxfId="2440" priority="2379" operator="containsText" text="RECHAZADA">
      <formula>NOT(ISERROR(SEARCH("RECHAZADA",K905)))</formula>
    </cfRule>
    <cfRule type="containsText" dxfId="2439" priority="2380" operator="containsText" text="Atendida">
      <formula>NOT(ISERROR(SEARCH("Atendida",K905)))</formula>
    </cfRule>
    <cfRule type="containsText" dxfId="2438" priority="2381" operator="containsText" text="Reasignación">
      <formula>NOT(ISERROR(SEARCH("Reasignación",K905)))</formula>
    </cfRule>
    <cfRule type="containsText" dxfId="2437" priority="2382" operator="containsText" text="RECHAZADA">
      <formula>NOT(ISERROR(SEARCH("RECHAZADA",K905)))</formula>
    </cfRule>
    <cfRule type="containsText" dxfId="2436" priority="2383" operator="containsText" text="Atendida">
      <formula>NOT(ISERROR(SEARCH("Atendida",K905)))</formula>
    </cfRule>
    <cfRule type="containsText" dxfId="2435" priority="2384" operator="containsText" text="Reasignación">
      <formula>NOT(ISERROR(SEARCH("Reasignación",K905)))</formula>
    </cfRule>
    <cfRule type="containsText" dxfId="2434" priority="2385" operator="containsText" text="RECHAZADA">
      <formula>NOT(ISERROR(SEARCH("RECHAZADA",K905)))</formula>
    </cfRule>
    <cfRule type="containsText" dxfId="2433" priority="2386" operator="containsText" text="Atendida">
      <formula>NOT(ISERROR(SEARCH("Atendida",K905)))</formula>
    </cfRule>
    <cfRule type="containsText" dxfId="2432" priority="2387" operator="containsText" text="Reasignación">
      <formula>NOT(ISERROR(SEARCH("Reasignación",K905)))</formula>
    </cfRule>
    <cfRule type="containsText" dxfId="2431" priority="2388" operator="containsText" text="RECHAZADA">
      <formula>NOT(ISERROR(SEARCH("RECHAZADA",K905)))</formula>
    </cfRule>
    <cfRule type="containsText" dxfId="2430" priority="2389" operator="containsText" text="Atendida">
      <formula>NOT(ISERROR(SEARCH("Atendida",K905)))</formula>
    </cfRule>
    <cfRule type="containsText" dxfId="2429" priority="2390" operator="containsText" text="Reasignación">
      <formula>NOT(ISERROR(SEARCH("Reasignación",K905)))</formula>
    </cfRule>
    <cfRule type="containsText" dxfId="2428" priority="2391" operator="containsText" text="RECHAZADA">
      <formula>NOT(ISERROR(SEARCH("RECHAZADA",K905)))</formula>
    </cfRule>
    <cfRule type="containsText" dxfId="2427" priority="2392" operator="containsText" text="Atendida">
      <formula>NOT(ISERROR(SEARCH("Atendida",K905)))</formula>
    </cfRule>
    <cfRule type="containsText" dxfId="2426" priority="2393" operator="containsText" text="Reasignación">
      <formula>NOT(ISERROR(SEARCH("Reasignación",K905)))</formula>
    </cfRule>
    <cfRule type="containsText" dxfId="2425" priority="2394" operator="containsText" text="RECHAZADA">
      <formula>NOT(ISERROR(SEARCH("RECHAZADA",K905)))</formula>
    </cfRule>
    <cfRule type="containsText" dxfId="2424" priority="2395" operator="containsText" text="Atendida">
      <formula>NOT(ISERROR(SEARCH("Atendida",K905)))</formula>
    </cfRule>
    <cfRule type="containsText" dxfId="2423" priority="2396" operator="containsText" text="Reasignación">
      <formula>NOT(ISERROR(SEARCH("Reasignación",K905)))</formula>
    </cfRule>
    <cfRule type="containsText" dxfId="2422" priority="2397" operator="containsText" text="RECHAZADA">
      <formula>NOT(ISERROR(SEARCH("RECHAZADA",K905)))</formula>
    </cfRule>
    <cfRule type="containsText" dxfId="2421" priority="2398" operator="containsText" text="Atendida">
      <formula>NOT(ISERROR(SEARCH("Atendida",K905)))</formula>
    </cfRule>
    <cfRule type="containsText" dxfId="2420" priority="2399" operator="containsText" text="Reasignación">
      <formula>NOT(ISERROR(SEARCH("Reasignación",K905)))</formula>
    </cfRule>
    <cfRule type="containsText" dxfId="2419" priority="2400" operator="containsText" text="RECHAZADA">
      <formula>NOT(ISERROR(SEARCH("RECHAZADA",K905)))</formula>
    </cfRule>
    <cfRule type="containsText" dxfId="2418" priority="2401" operator="containsText" text="Atendida">
      <formula>NOT(ISERROR(SEARCH("Atendida",K905)))</formula>
    </cfRule>
    <cfRule type="containsText" dxfId="2417" priority="2402" operator="containsText" text="Reasignación">
      <formula>NOT(ISERROR(SEARCH("Reasignación",K905)))</formula>
    </cfRule>
    <cfRule type="containsText" dxfId="2416" priority="2403" operator="containsText" text="RECHAZADA">
      <formula>NOT(ISERROR(SEARCH("RECHAZADA",K905)))</formula>
    </cfRule>
    <cfRule type="containsText" dxfId="2415" priority="2404" operator="containsText" text="Atendida">
      <formula>NOT(ISERROR(SEARCH("Atendida",K905)))</formula>
    </cfRule>
    <cfRule type="containsText" dxfId="2414" priority="2405" operator="containsText" text="Reasignación">
      <formula>NOT(ISERROR(SEARCH("Reasignación",K905)))</formula>
    </cfRule>
    <cfRule type="containsText" dxfId="2413" priority="2406" operator="containsText" text="RECHAZADA">
      <formula>NOT(ISERROR(SEARCH("RECHAZADA",K905)))</formula>
    </cfRule>
    <cfRule type="containsText" dxfId="2412" priority="2407" operator="containsText" text="Atendida">
      <formula>NOT(ISERROR(SEARCH("Atendida",K905)))</formula>
    </cfRule>
    <cfRule type="containsText" dxfId="2411" priority="2408" operator="containsText" text="Reasignación">
      <formula>NOT(ISERROR(SEARCH("Reasignación",K905)))</formula>
    </cfRule>
    <cfRule type="containsText" dxfId="2410" priority="2409" operator="containsText" text="RECHAZADA">
      <formula>NOT(ISERROR(SEARCH("RECHAZADA",K905)))</formula>
    </cfRule>
    <cfRule type="containsText" dxfId="2409" priority="2410" operator="containsText" text="Atendida">
      <formula>NOT(ISERROR(SEARCH("Atendida",K905)))</formula>
    </cfRule>
    <cfRule type="containsText" dxfId="2408" priority="2411" operator="containsText" text="Reasignación">
      <formula>NOT(ISERROR(SEARCH("Reasignación",K905)))</formula>
    </cfRule>
    <cfRule type="containsText" dxfId="2407" priority="2412" operator="containsText" text="RECHAZADA">
      <formula>NOT(ISERROR(SEARCH("RECHAZADA",K905)))</formula>
    </cfRule>
    <cfRule type="containsText" dxfId="2406" priority="2413" operator="containsText" text="Atendida">
      <formula>NOT(ISERROR(SEARCH("Atendida",K905)))</formula>
    </cfRule>
    <cfRule type="containsText" dxfId="2405" priority="2414" operator="containsText" text="Reasignación">
      <formula>NOT(ISERROR(SEARCH("Reasignación",K905)))</formula>
    </cfRule>
    <cfRule type="containsText" dxfId="2404" priority="2415" operator="containsText" text="RECHAZADA">
      <formula>NOT(ISERROR(SEARCH("RECHAZADA",K905)))</formula>
    </cfRule>
    <cfRule type="containsText" dxfId="2403" priority="2416" operator="containsText" text="Atendida">
      <formula>NOT(ISERROR(SEARCH("Atendida",K905)))</formula>
    </cfRule>
    <cfRule type="containsText" dxfId="2402" priority="2417" operator="containsText" text="Reasignación">
      <formula>NOT(ISERROR(SEARCH("Reasignación",K905)))</formula>
    </cfRule>
    <cfRule type="containsText" dxfId="2401" priority="2418" operator="containsText" text="RECHAZADA">
      <formula>NOT(ISERROR(SEARCH("RECHAZADA",K905)))</formula>
    </cfRule>
    <cfRule type="containsText" dxfId="2400" priority="2419" operator="containsText" text="Atendida">
      <formula>NOT(ISERROR(SEARCH("Atendida",K905)))</formula>
    </cfRule>
    <cfRule type="containsText" dxfId="2399" priority="2420" operator="containsText" text="Reasignación">
      <formula>NOT(ISERROR(SEARCH("Reasignación",K905)))</formula>
    </cfRule>
    <cfRule type="containsText" dxfId="2398" priority="2421" operator="containsText" text="RECHAZADA">
      <formula>NOT(ISERROR(SEARCH("RECHAZADA",K905)))</formula>
    </cfRule>
    <cfRule type="containsText" dxfId="2397" priority="2422" operator="containsText" text="Atendida">
      <formula>NOT(ISERROR(SEARCH("Atendida",K905)))</formula>
    </cfRule>
    <cfRule type="containsText" dxfId="2396" priority="2423" operator="containsText" text="Reasignación">
      <formula>NOT(ISERROR(SEARCH("Reasignación",K905)))</formula>
    </cfRule>
    <cfRule type="containsText" dxfId="2395" priority="2424" operator="containsText" text="RECHAZADA">
      <formula>NOT(ISERROR(SEARCH("RECHAZADA",K905)))</formula>
    </cfRule>
    <cfRule type="containsText" dxfId="2394" priority="2425" operator="containsText" text="Atendida">
      <formula>NOT(ISERROR(SEARCH("Atendida",K905)))</formula>
    </cfRule>
    <cfRule type="containsText" dxfId="2393" priority="2426" operator="containsText" text="Reasignación">
      <formula>NOT(ISERROR(SEARCH("Reasignación",K905)))</formula>
    </cfRule>
    <cfRule type="containsText" dxfId="2392" priority="2427" operator="containsText" text="RECHAZADA">
      <formula>NOT(ISERROR(SEARCH("RECHAZADA",K905)))</formula>
    </cfRule>
    <cfRule type="containsText" dxfId="2391" priority="2428" operator="containsText" text="Atendida">
      <formula>NOT(ISERROR(SEARCH("Atendida",K905)))</formula>
    </cfRule>
    <cfRule type="containsText" dxfId="2390" priority="2429" operator="containsText" text="Reasignación">
      <formula>NOT(ISERROR(SEARCH("Reasignación",K905)))</formula>
    </cfRule>
    <cfRule type="containsText" dxfId="2389" priority="2430" operator="containsText" text="RECHAZADA">
      <formula>NOT(ISERROR(SEARCH("RECHAZADA",K905)))</formula>
    </cfRule>
    <cfRule type="containsText" dxfId="2388" priority="2431" operator="containsText" text="Atendida">
      <formula>NOT(ISERROR(SEARCH("Atendida",K905)))</formula>
    </cfRule>
    <cfRule type="containsText" dxfId="2387" priority="2432" operator="containsText" text="Reasignación">
      <formula>NOT(ISERROR(SEARCH("Reasignación",K905)))</formula>
    </cfRule>
    <cfRule type="containsText" dxfId="2386" priority="2433" operator="containsText" text="RECHAZADA">
      <formula>NOT(ISERROR(SEARCH("RECHAZADA",K905)))</formula>
    </cfRule>
    <cfRule type="containsText" dxfId="2385" priority="2434" operator="containsText" text="Atendida">
      <formula>NOT(ISERROR(SEARCH("Atendida",K905)))</formula>
    </cfRule>
    <cfRule type="containsText" dxfId="2384" priority="2435" operator="containsText" text="Reasignación">
      <formula>NOT(ISERROR(SEARCH("Reasignación",K905)))</formula>
    </cfRule>
    <cfRule type="containsText" dxfId="2383" priority="2436" operator="containsText" text="RECHAZADA">
      <formula>NOT(ISERROR(SEARCH("RECHAZADA",K905)))</formula>
    </cfRule>
    <cfRule type="containsText" dxfId="2382" priority="2437" operator="containsText" text="Atendida">
      <formula>NOT(ISERROR(SEARCH("Atendida",K905)))</formula>
    </cfRule>
    <cfRule type="containsText" dxfId="2381" priority="2438" operator="containsText" text="Reasignación">
      <formula>NOT(ISERROR(SEARCH("Reasignación",K905)))</formula>
    </cfRule>
    <cfRule type="containsText" dxfId="2380" priority="2439" operator="containsText" text="RECHAZADA">
      <formula>NOT(ISERROR(SEARCH("RECHAZADA",K905)))</formula>
    </cfRule>
    <cfRule type="containsText" dxfId="2379" priority="2440" operator="containsText" text="Atendida">
      <formula>NOT(ISERROR(SEARCH("Atendida",K905)))</formula>
    </cfRule>
    <cfRule type="containsText" dxfId="2378" priority="2441" operator="containsText" text="Reasignación">
      <formula>NOT(ISERROR(SEARCH("Reasignación",K905)))</formula>
    </cfRule>
    <cfRule type="containsText" dxfId="2377" priority="2442" operator="containsText" text="RECHAZADA">
      <formula>NOT(ISERROR(SEARCH("RECHAZADA",K905)))</formula>
    </cfRule>
    <cfRule type="containsText" dxfId="2376" priority="2443" operator="containsText" text="Atendida">
      <formula>NOT(ISERROR(SEARCH("Atendida",K905)))</formula>
    </cfRule>
    <cfRule type="containsText" dxfId="2375" priority="2444" operator="containsText" text="Reasignación">
      <formula>NOT(ISERROR(SEARCH("Reasignación",K905)))</formula>
    </cfRule>
    <cfRule type="containsText" dxfId="2374" priority="2445" operator="containsText" text="RECHAZADA">
      <formula>NOT(ISERROR(SEARCH("RECHAZADA",K905)))</formula>
    </cfRule>
    <cfRule type="containsText" dxfId="2373" priority="2446" operator="containsText" text="Atendida">
      <formula>NOT(ISERROR(SEARCH("Atendida",K905)))</formula>
    </cfRule>
    <cfRule type="containsText" dxfId="2372" priority="2447" operator="containsText" text="Reasignación">
      <formula>NOT(ISERROR(SEARCH("Reasignación",K905)))</formula>
    </cfRule>
    <cfRule type="containsText" dxfId="2371" priority="2448" operator="containsText" text="RECHAZADA">
      <formula>NOT(ISERROR(SEARCH("RECHAZADA",K905)))</formula>
    </cfRule>
    <cfRule type="containsText" dxfId="2370" priority="2449" operator="containsText" text="Atendida">
      <formula>NOT(ISERROR(SEARCH("Atendida",K905)))</formula>
    </cfRule>
    <cfRule type="containsText" dxfId="2369" priority="2450" operator="containsText" text="Reasignación">
      <formula>NOT(ISERROR(SEARCH("Reasignación",K905)))</formula>
    </cfRule>
    <cfRule type="containsText" dxfId="2368" priority="2451" operator="containsText" text="RECHAZADA">
      <formula>NOT(ISERROR(SEARCH("RECHAZADA",K905)))</formula>
    </cfRule>
    <cfRule type="containsText" dxfId="2367" priority="2452" operator="containsText" text="Atendida">
      <formula>NOT(ISERROR(SEARCH("Atendida",K905)))</formula>
    </cfRule>
    <cfRule type="containsText" dxfId="2366" priority="2453" operator="containsText" text="Reasignación">
      <formula>NOT(ISERROR(SEARCH("Reasignación",K905)))</formula>
    </cfRule>
    <cfRule type="containsText" dxfId="2365" priority="2454" operator="containsText" text="RECHAZADA">
      <formula>NOT(ISERROR(SEARCH("RECHAZADA",K905)))</formula>
    </cfRule>
    <cfRule type="containsText" dxfId="2364" priority="2455" operator="containsText" text="Atendida">
      <formula>NOT(ISERROR(SEARCH("Atendida",K905)))</formula>
    </cfRule>
    <cfRule type="containsText" dxfId="2363" priority="2456" operator="containsText" text="Reasignación">
      <formula>NOT(ISERROR(SEARCH("Reasignación",K905)))</formula>
    </cfRule>
    <cfRule type="containsText" dxfId="2362" priority="2457" operator="containsText" text="RECHAZADA">
      <formula>NOT(ISERROR(SEARCH("RECHAZADA",K905)))</formula>
    </cfRule>
    <cfRule type="containsText" dxfId="2361" priority="2458" operator="containsText" text="Atendida">
      <formula>NOT(ISERROR(SEARCH("Atendida",K905)))</formula>
    </cfRule>
    <cfRule type="containsText" dxfId="2360" priority="2459" operator="containsText" text="Atendida">
      <formula>NOT(ISERROR(SEARCH("Atendida",K905)))</formula>
    </cfRule>
    <cfRule type="containsText" dxfId="2359" priority="2460" operator="containsText" text="Atendida">
      <formula>NOT(ISERROR(SEARCH("Atendida",K905)))</formula>
    </cfRule>
    <cfRule type="containsText" dxfId="2358" priority="2461" operator="containsText" text="Reasignación">
      <formula>NOT(ISERROR(SEARCH("Reasignación",K905)))</formula>
    </cfRule>
    <cfRule type="containsText" dxfId="2357" priority="2462" operator="containsText" text="RECHAZADA">
      <formula>NOT(ISERROR(SEARCH("RECHAZADA",K905)))</formula>
    </cfRule>
    <cfRule type="containsText" dxfId="2356" priority="2463" operator="containsText" text="Atendida">
      <formula>NOT(ISERROR(SEARCH("Atendida",K905)))</formula>
    </cfRule>
    <cfRule type="containsText" dxfId="2355" priority="2464" operator="containsText" text="Reasignación">
      <formula>NOT(ISERROR(SEARCH("Reasignación",K905)))</formula>
    </cfRule>
    <cfRule type="containsText" dxfId="2354" priority="2465" operator="containsText" text="RECHAZADA">
      <formula>NOT(ISERROR(SEARCH("RECHAZADA",K905)))</formula>
    </cfRule>
    <cfRule type="containsText" dxfId="2353" priority="2466" operator="containsText" text="Atendida">
      <formula>NOT(ISERROR(SEARCH("Atendida",K905)))</formula>
    </cfRule>
    <cfRule type="containsText" dxfId="2352" priority="2467" operator="containsText" text="Reasignación">
      <formula>NOT(ISERROR(SEARCH("Reasignación",K905)))</formula>
    </cfRule>
    <cfRule type="containsText" dxfId="2351" priority="2468" operator="containsText" text="RECHAZADA">
      <formula>NOT(ISERROR(SEARCH("RECHAZADA",K905)))</formula>
    </cfRule>
    <cfRule type="containsText" dxfId="2350" priority="2469" operator="containsText" text="Atendida">
      <formula>NOT(ISERROR(SEARCH("Atendida",K905)))</formula>
    </cfRule>
    <cfRule type="containsText" dxfId="2349" priority="2470" operator="containsText" text="Reasignación">
      <formula>NOT(ISERROR(SEARCH("Reasignación",K905)))</formula>
    </cfRule>
    <cfRule type="containsText" dxfId="2348" priority="2471" operator="containsText" text="RECHAZADA">
      <formula>NOT(ISERROR(SEARCH("RECHAZADA",K905)))</formula>
    </cfRule>
    <cfRule type="containsText" dxfId="2347" priority="2472" operator="containsText" text="Atendida">
      <formula>NOT(ISERROR(SEARCH("Atendida",K905)))</formula>
    </cfRule>
    <cfRule type="containsText" dxfId="2346" priority="2473" operator="containsText" text="Atendida">
      <formula>NOT(ISERROR(SEARCH("Atendida",K905)))</formula>
    </cfRule>
    <cfRule type="containsText" dxfId="2345" priority="2474" operator="containsText" text="Reasignación">
      <formula>NOT(ISERROR(SEARCH("Reasignación",K905)))</formula>
    </cfRule>
    <cfRule type="containsText" dxfId="2344" priority="2475" operator="containsText" text="RECHAZADA">
      <formula>NOT(ISERROR(SEARCH("RECHAZADA",K905)))</formula>
    </cfRule>
    <cfRule type="containsText" dxfId="2343" priority="2476" operator="containsText" text="Atendida">
      <formula>NOT(ISERROR(SEARCH("Atendida",K905)))</formula>
    </cfRule>
    <cfRule type="containsText" dxfId="2342" priority="2477" operator="containsText" text="Reasignación">
      <formula>NOT(ISERROR(SEARCH("Reasignación",K905)))</formula>
    </cfRule>
    <cfRule type="containsText" dxfId="2341" priority="2478" operator="containsText" text="RECHAZADA">
      <formula>NOT(ISERROR(SEARCH("RECHAZADA",K905)))</formula>
    </cfRule>
    <cfRule type="containsText" dxfId="2340" priority="2479" operator="containsText" text="Atendida">
      <formula>NOT(ISERROR(SEARCH("Atendida",K905)))</formula>
    </cfRule>
    <cfRule type="containsText" dxfId="2339" priority="2480" operator="containsText" text="Reasignación">
      <formula>NOT(ISERROR(SEARCH("Reasignación",K905)))</formula>
    </cfRule>
    <cfRule type="containsText" dxfId="2338" priority="2481" operator="containsText" text="RECHAZADA">
      <formula>NOT(ISERROR(SEARCH("RECHAZADA",K905)))</formula>
    </cfRule>
    <cfRule type="containsText" dxfId="2337" priority="2482" operator="containsText" text="Atendida">
      <formula>NOT(ISERROR(SEARCH("Atendida",K905)))</formula>
    </cfRule>
    <cfRule type="containsText" dxfId="2336" priority="2483" operator="containsText" text="RECHAZADA">
      <formula>NOT(ISERROR(SEARCH("RECHAZADA",K905)))</formula>
    </cfRule>
    <cfRule type="containsText" dxfId="2335" priority="2484" operator="containsText" text="Atendida">
      <formula>NOT(ISERROR(SEARCH("Atendida",K905)))</formula>
    </cfRule>
    <cfRule type="containsText" dxfId="2334" priority="2485" operator="containsText" text="Reasignación">
      <formula>NOT(ISERROR(SEARCH("Reasignación",K905)))</formula>
    </cfRule>
    <cfRule type="containsText" dxfId="2333" priority="2486" operator="containsText" text="RECHAZADA">
      <formula>NOT(ISERROR(SEARCH("RECHAZADA",K905)))</formula>
    </cfRule>
    <cfRule type="containsText" dxfId="2332" priority="2487" operator="containsText" text="Atendida">
      <formula>NOT(ISERROR(SEARCH("Atendida",K905)))</formula>
    </cfRule>
  </conditionalFormatting>
  <conditionalFormatting sqref="K905">
    <cfRule type="containsText" dxfId="2331" priority="2336" operator="containsText" text="Reasignación">
      <formula>NOT(ISERROR(SEARCH("Reasignación",K905)))</formula>
    </cfRule>
  </conditionalFormatting>
  <conditionalFormatting sqref="M906">
    <cfRule type="containsText" dxfId="2330" priority="2334" operator="containsText" text="RECHAZADA">
      <formula>NOT(ISERROR(SEARCH("RECHAZADA",M906)))</formula>
    </cfRule>
  </conditionalFormatting>
  <conditionalFormatting sqref="M906">
    <cfRule type="containsText" dxfId="2329" priority="2335" operator="containsText" text="Atendida">
      <formula>NOT(ISERROR(SEARCH("Atendida",M906)))</formula>
    </cfRule>
  </conditionalFormatting>
  <conditionalFormatting sqref="M906">
    <cfRule type="containsText" dxfId="2328" priority="2332" operator="containsText" text="OBSERVADO">
      <formula>NOT(ISERROR(SEARCH("OBSERVADO",M906)))</formula>
    </cfRule>
  </conditionalFormatting>
  <conditionalFormatting sqref="M906">
    <cfRule type="containsText" dxfId="2327" priority="2333" operator="containsText" text="CONFORME">
      <formula>NOT(ISERROR(SEARCH("CONFORME",M906)))</formula>
    </cfRule>
  </conditionalFormatting>
  <conditionalFormatting sqref="K907">
    <cfRule type="containsText" dxfId="2326" priority="2329" operator="containsText" text="Reasignación">
      <formula>NOT(ISERROR(SEARCH("Reasignación",K907)))</formula>
    </cfRule>
    <cfRule type="containsText" dxfId="2325" priority="2330" operator="containsText" text="RECHAZADA">
      <formula>NOT(ISERROR(SEARCH("RECHAZADA",K907)))</formula>
    </cfRule>
  </conditionalFormatting>
  <conditionalFormatting sqref="K907">
    <cfRule type="containsText" dxfId="2324" priority="2298" operator="containsText" text="Atendida">
      <formula>NOT(ISERROR(SEARCH("Atendida",K907)))</formula>
    </cfRule>
    <cfRule type="containsText" dxfId="2323" priority="2299" operator="containsText" text="Reasignación">
      <formula>NOT(ISERROR(SEARCH("Reasignación",K907)))</formula>
    </cfRule>
    <cfRule type="containsText" dxfId="2322" priority="2300" operator="containsText" text="RECHAZADA">
      <formula>NOT(ISERROR(SEARCH("RECHAZADA",K907)))</formula>
    </cfRule>
    <cfRule type="containsText" dxfId="2321" priority="2301" operator="containsText" text="Atendida">
      <formula>NOT(ISERROR(SEARCH("Atendida",K907)))</formula>
    </cfRule>
    <cfRule type="containsText" dxfId="2320" priority="2302" operator="containsText" text="Reasignación">
      <formula>NOT(ISERROR(SEARCH("Reasignación",K907)))</formula>
    </cfRule>
    <cfRule type="containsText" dxfId="2319" priority="2303" operator="containsText" text="RECHAZADA">
      <formula>NOT(ISERROR(SEARCH("RECHAZADA",K907)))</formula>
    </cfRule>
    <cfRule type="containsText" dxfId="2318" priority="2304" operator="containsText" text="Atendida">
      <formula>NOT(ISERROR(SEARCH("Atendida",K907)))</formula>
    </cfRule>
    <cfRule type="containsText" dxfId="2317" priority="2305" operator="containsText" text="Reasignación">
      <formula>NOT(ISERROR(SEARCH("Reasignación",K907)))</formula>
    </cfRule>
    <cfRule type="containsText" dxfId="2316" priority="2306" operator="containsText" text="RECHAZADA">
      <formula>NOT(ISERROR(SEARCH("RECHAZADA",K907)))</formula>
    </cfRule>
    <cfRule type="containsText" dxfId="2315" priority="2307" operator="containsText" text="Atendida">
      <formula>NOT(ISERROR(SEARCH("Atendida",K907)))</formula>
    </cfRule>
    <cfRule type="containsText" dxfId="2314" priority="2308" operator="containsText" text="Reasignación">
      <formula>NOT(ISERROR(SEARCH("Reasignación",K907)))</formula>
    </cfRule>
    <cfRule type="containsText" dxfId="2313" priority="2309" operator="containsText" text="RECHAZADA">
      <formula>NOT(ISERROR(SEARCH("RECHAZADA",K907)))</formula>
    </cfRule>
    <cfRule type="containsText" dxfId="2312" priority="2310" operator="containsText" text="Atendida">
      <formula>NOT(ISERROR(SEARCH("Atendida",K907)))</formula>
    </cfRule>
    <cfRule type="containsText" dxfId="2311" priority="2311" operator="containsText" text="Reasignación">
      <formula>NOT(ISERROR(SEARCH("Reasignación",K907)))</formula>
    </cfRule>
    <cfRule type="containsText" dxfId="2310" priority="2312" operator="containsText" text="RECHAZADA">
      <formula>NOT(ISERROR(SEARCH("RECHAZADA",K907)))</formula>
    </cfRule>
    <cfRule type="containsText" dxfId="2309" priority="2313" operator="containsText" text="Atendida">
      <formula>NOT(ISERROR(SEARCH("Atendida",K907)))</formula>
    </cfRule>
    <cfRule type="containsText" dxfId="2308" priority="2314" operator="containsText" text="Reasignación">
      <formula>NOT(ISERROR(SEARCH("Reasignación",K907)))</formula>
    </cfRule>
    <cfRule type="containsText" dxfId="2307" priority="2315" operator="containsText" text="RECHAZADA">
      <formula>NOT(ISERROR(SEARCH("RECHAZADA",K907)))</formula>
    </cfRule>
    <cfRule type="containsText" dxfId="2306" priority="2316" operator="containsText" text="Atendida">
      <formula>NOT(ISERROR(SEARCH("Atendida",K907)))</formula>
    </cfRule>
    <cfRule type="containsText" dxfId="2305" priority="2317" operator="containsText" text="Reasignación">
      <formula>NOT(ISERROR(SEARCH("Reasignación",K907)))</formula>
    </cfRule>
    <cfRule type="containsText" dxfId="2304" priority="2318" operator="containsText" text="RECHAZADA">
      <formula>NOT(ISERROR(SEARCH("RECHAZADA",K907)))</formula>
    </cfRule>
    <cfRule type="containsText" dxfId="2303" priority="2319" operator="containsText" text="Atendida">
      <formula>NOT(ISERROR(SEARCH("Atendida",K907)))</formula>
    </cfRule>
    <cfRule type="containsText" dxfId="2302" priority="2320" operator="containsText" text="Reasignación">
      <formula>NOT(ISERROR(SEARCH("Reasignación",K907)))</formula>
    </cfRule>
    <cfRule type="containsText" dxfId="2301" priority="2321" operator="containsText" text="RECHAZADA">
      <formula>NOT(ISERROR(SEARCH("RECHAZADA",K907)))</formula>
    </cfRule>
    <cfRule type="containsText" dxfId="2300" priority="2322" operator="containsText" text="Atendida">
      <formula>NOT(ISERROR(SEARCH("Atendida",K907)))</formula>
    </cfRule>
    <cfRule type="containsText" dxfId="2299" priority="2323" operator="containsText" text="Reasignación">
      <formula>NOT(ISERROR(SEARCH("Reasignación",K907)))</formula>
    </cfRule>
    <cfRule type="containsText" dxfId="2298" priority="2324" operator="containsText" text="RECHAZADA">
      <formula>NOT(ISERROR(SEARCH("RECHAZADA",K907)))</formula>
    </cfRule>
    <cfRule type="containsText" dxfId="2297" priority="2325" operator="containsText" text="Atendida">
      <formula>NOT(ISERROR(SEARCH("Atendida",K907)))</formula>
    </cfRule>
    <cfRule type="containsText" dxfId="2296" priority="2326" operator="containsText" text="Reasignación">
      <formula>NOT(ISERROR(SEARCH("Reasignación",K907)))</formula>
    </cfRule>
    <cfRule type="containsText" dxfId="2295" priority="2327" operator="containsText" text="RECHAZADA">
      <formula>NOT(ISERROR(SEARCH("RECHAZADA",K907)))</formula>
    </cfRule>
    <cfRule type="containsText" dxfId="2294" priority="2328" operator="containsText" text="Atendida">
      <formula>NOT(ISERROR(SEARCH("Atendida",K907)))</formula>
    </cfRule>
    <cfRule type="containsText" dxfId="2293" priority="2331" operator="containsText" text="Atendida">
      <formula>NOT(ISERROR(SEARCH("Atendida",K907)))</formula>
    </cfRule>
  </conditionalFormatting>
  <conditionalFormatting sqref="K907">
    <cfRule type="containsText" dxfId="2292" priority="2296" operator="containsText" text="Reasignación">
      <formula>NOT(ISERROR(SEARCH("Reasignación",K907)))</formula>
    </cfRule>
    <cfRule type="containsText" dxfId="2291" priority="2297" operator="containsText" text="RECHAZADA">
      <formula>NOT(ISERROR(SEARCH("RECHAZADA",K907)))</formula>
    </cfRule>
  </conditionalFormatting>
  <conditionalFormatting sqref="K906">
    <cfRule type="containsText" dxfId="2290" priority="2293" operator="containsText" text="Reasignación">
      <formula>NOT(ISERROR(SEARCH("Reasignación",K906)))</formula>
    </cfRule>
    <cfRule type="containsText" dxfId="2289" priority="2294" operator="containsText" text="RECHAZADA">
      <formula>NOT(ISERROR(SEARCH("RECHAZADA",K906)))</formula>
    </cfRule>
  </conditionalFormatting>
  <conditionalFormatting sqref="K906">
    <cfRule type="containsText" dxfId="2288" priority="2262" operator="containsText" text="Atendida">
      <formula>NOT(ISERROR(SEARCH("Atendida",K906)))</formula>
    </cfRule>
    <cfRule type="containsText" dxfId="2287" priority="2263" operator="containsText" text="Reasignación">
      <formula>NOT(ISERROR(SEARCH("Reasignación",K906)))</formula>
    </cfRule>
    <cfRule type="containsText" dxfId="2286" priority="2264" operator="containsText" text="RECHAZADA">
      <formula>NOT(ISERROR(SEARCH("RECHAZADA",K906)))</formula>
    </cfRule>
    <cfRule type="containsText" dxfId="2285" priority="2265" operator="containsText" text="Atendida">
      <formula>NOT(ISERROR(SEARCH("Atendida",K906)))</formula>
    </cfRule>
    <cfRule type="containsText" dxfId="2284" priority="2266" operator="containsText" text="Reasignación">
      <formula>NOT(ISERROR(SEARCH("Reasignación",K906)))</formula>
    </cfRule>
    <cfRule type="containsText" dxfId="2283" priority="2267" operator="containsText" text="RECHAZADA">
      <formula>NOT(ISERROR(SEARCH("RECHAZADA",K906)))</formula>
    </cfRule>
    <cfRule type="containsText" dxfId="2282" priority="2268" operator="containsText" text="Atendida">
      <formula>NOT(ISERROR(SEARCH("Atendida",K906)))</formula>
    </cfRule>
    <cfRule type="containsText" dxfId="2281" priority="2269" operator="containsText" text="Reasignación">
      <formula>NOT(ISERROR(SEARCH("Reasignación",K906)))</formula>
    </cfRule>
    <cfRule type="containsText" dxfId="2280" priority="2270" operator="containsText" text="RECHAZADA">
      <formula>NOT(ISERROR(SEARCH("RECHAZADA",K906)))</formula>
    </cfRule>
    <cfRule type="containsText" dxfId="2279" priority="2271" operator="containsText" text="Atendida">
      <formula>NOT(ISERROR(SEARCH("Atendida",K906)))</formula>
    </cfRule>
    <cfRule type="containsText" dxfId="2278" priority="2272" operator="containsText" text="Reasignación">
      <formula>NOT(ISERROR(SEARCH("Reasignación",K906)))</formula>
    </cfRule>
    <cfRule type="containsText" dxfId="2277" priority="2273" operator="containsText" text="RECHAZADA">
      <formula>NOT(ISERROR(SEARCH("RECHAZADA",K906)))</formula>
    </cfRule>
    <cfRule type="containsText" dxfId="2276" priority="2274" operator="containsText" text="Atendida">
      <formula>NOT(ISERROR(SEARCH("Atendida",K906)))</formula>
    </cfRule>
    <cfRule type="containsText" dxfId="2275" priority="2275" operator="containsText" text="Reasignación">
      <formula>NOT(ISERROR(SEARCH("Reasignación",K906)))</formula>
    </cfRule>
    <cfRule type="containsText" dxfId="2274" priority="2276" operator="containsText" text="RECHAZADA">
      <formula>NOT(ISERROR(SEARCH("RECHAZADA",K906)))</formula>
    </cfRule>
    <cfRule type="containsText" dxfId="2273" priority="2277" operator="containsText" text="Atendida">
      <formula>NOT(ISERROR(SEARCH("Atendida",K906)))</formula>
    </cfRule>
    <cfRule type="containsText" dxfId="2272" priority="2278" operator="containsText" text="Reasignación">
      <formula>NOT(ISERROR(SEARCH("Reasignación",K906)))</formula>
    </cfRule>
    <cfRule type="containsText" dxfId="2271" priority="2279" operator="containsText" text="RECHAZADA">
      <formula>NOT(ISERROR(SEARCH("RECHAZADA",K906)))</formula>
    </cfRule>
    <cfRule type="containsText" dxfId="2270" priority="2280" operator="containsText" text="Atendida">
      <formula>NOT(ISERROR(SEARCH("Atendida",K906)))</formula>
    </cfRule>
    <cfRule type="containsText" dxfId="2269" priority="2281" operator="containsText" text="Reasignación">
      <formula>NOT(ISERROR(SEARCH("Reasignación",K906)))</formula>
    </cfRule>
    <cfRule type="containsText" dxfId="2268" priority="2282" operator="containsText" text="RECHAZADA">
      <formula>NOT(ISERROR(SEARCH("RECHAZADA",K906)))</formula>
    </cfRule>
    <cfRule type="containsText" dxfId="2267" priority="2283" operator="containsText" text="Atendida">
      <formula>NOT(ISERROR(SEARCH("Atendida",K906)))</formula>
    </cfRule>
    <cfRule type="containsText" dxfId="2266" priority="2284" operator="containsText" text="Reasignación">
      <formula>NOT(ISERROR(SEARCH("Reasignación",K906)))</formula>
    </cfRule>
    <cfRule type="containsText" dxfId="2265" priority="2285" operator="containsText" text="RECHAZADA">
      <formula>NOT(ISERROR(SEARCH("RECHAZADA",K906)))</formula>
    </cfRule>
    <cfRule type="containsText" dxfId="2264" priority="2286" operator="containsText" text="Atendida">
      <formula>NOT(ISERROR(SEARCH("Atendida",K906)))</formula>
    </cfRule>
    <cfRule type="containsText" dxfId="2263" priority="2287" operator="containsText" text="Reasignación">
      <formula>NOT(ISERROR(SEARCH("Reasignación",K906)))</formula>
    </cfRule>
    <cfRule type="containsText" dxfId="2262" priority="2288" operator="containsText" text="RECHAZADA">
      <formula>NOT(ISERROR(SEARCH("RECHAZADA",K906)))</formula>
    </cfRule>
    <cfRule type="containsText" dxfId="2261" priority="2289" operator="containsText" text="Atendida">
      <formula>NOT(ISERROR(SEARCH("Atendida",K906)))</formula>
    </cfRule>
    <cfRule type="containsText" dxfId="2260" priority="2290" operator="containsText" text="Reasignación">
      <formula>NOT(ISERROR(SEARCH("Reasignación",K906)))</formula>
    </cfRule>
    <cfRule type="containsText" dxfId="2259" priority="2291" operator="containsText" text="RECHAZADA">
      <formula>NOT(ISERROR(SEARCH("RECHAZADA",K906)))</formula>
    </cfRule>
    <cfRule type="containsText" dxfId="2258" priority="2292" operator="containsText" text="Atendida">
      <formula>NOT(ISERROR(SEARCH("Atendida",K906)))</formula>
    </cfRule>
    <cfRule type="containsText" dxfId="2257" priority="2295" operator="containsText" text="Atendida">
      <formula>NOT(ISERROR(SEARCH("Atendida",K906)))</formula>
    </cfRule>
  </conditionalFormatting>
  <conditionalFormatting sqref="K906">
    <cfRule type="containsText" dxfId="2256" priority="2260" operator="containsText" text="Reasignación">
      <formula>NOT(ISERROR(SEARCH("Reasignación",K906)))</formula>
    </cfRule>
    <cfRule type="containsText" dxfId="2255" priority="2261" operator="containsText" text="RECHAZADA">
      <formula>NOT(ISERROR(SEARCH("RECHAZADA",K906)))</formula>
    </cfRule>
  </conditionalFormatting>
  <conditionalFormatting sqref="K908">
    <cfRule type="containsText" dxfId="2254" priority="2257" operator="containsText" text="Reasignación">
      <formula>NOT(ISERROR(SEARCH("Reasignación",K908)))</formula>
    </cfRule>
    <cfRule type="containsText" dxfId="2253" priority="2258" operator="containsText" text="RECHAZADA">
      <formula>NOT(ISERROR(SEARCH("RECHAZADA",K908)))</formula>
    </cfRule>
  </conditionalFormatting>
  <conditionalFormatting sqref="K908">
    <cfRule type="containsText" dxfId="2252" priority="2226" operator="containsText" text="Atendida">
      <formula>NOT(ISERROR(SEARCH("Atendida",K908)))</formula>
    </cfRule>
    <cfRule type="containsText" dxfId="2251" priority="2227" operator="containsText" text="Reasignación">
      <formula>NOT(ISERROR(SEARCH("Reasignación",K908)))</formula>
    </cfRule>
    <cfRule type="containsText" dxfId="2250" priority="2228" operator="containsText" text="RECHAZADA">
      <formula>NOT(ISERROR(SEARCH("RECHAZADA",K908)))</formula>
    </cfRule>
    <cfRule type="containsText" dxfId="2249" priority="2229" operator="containsText" text="Atendida">
      <formula>NOT(ISERROR(SEARCH("Atendida",K908)))</formula>
    </cfRule>
    <cfRule type="containsText" dxfId="2248" priority="2230" operator="containsText" text="Reasignación">
      <formula>NOT(ISERROR(SEARCH("Reasignación",K908)))</formula>
    </cfRule>
    <cfRule type="containsText" dxfId="2247" priority="2231" operator="containsText" text="RECHAZADA">
      <formula>NOT(ISERROR(SEARCH("RECHAZADA",K908)))</formula>
    </cfRule>
    <cfRule type="containsText" dxfId="2246" priority="2232" operator="containsText" text="Atendida">
      <formula>NOT(ISERROR(SEARCH("Atendida",K908)))</formula>
    </cfRule>
    <cfRule type="containsText" dxfId="2245" priority="2233" operator="containsText" text="Reasignación">
      <formula>NOT(ISERROR(SEARCH("Reasignación",K908)))</formula>
    </cfRule>
    <cfRule type="containsText" dxfId="2244" priority="2234" operator="containsText" text="RECHAZADA">
      <formula>NOT(ISERROR(SEARCH("RECHAZADA",K908)))</formula>
    </cfRule>
    <cfRule type="containsText" dxfId="2243" priority="2235" operator="containsText" text="Atendida">
      <formula>NOT(ISERROR(SEARCH("Atendida",K908)))</formula>
    </cfRule>
    <cfRule type="containsText" dxfId="2242" priority="2236" operator="containsText" text="Reasignación">
      <formula>NOT(ISERROR(SEARCH("Reasignación",K908)))</formula>
    </cfRule>
    <cfRule type="containsText" dxfId="2241" priority="2237" operator="containsText" text="RECHAZADA">
      <formula>NOT(ISERROR(SEARCH("RECHAZADA",K908)))</formula>
    </cfRule>
    <cfRule type="containsText" dxfId="2240" priority="2238" operator="containsText" text="Atendida">
      <formula>NOT(ISERROR(SEARCH("Atendida",K908)))</formula>
    </cfRule>
    <cfRule type="containsText" dxfId="2239" priority="2239" operator="containsText" text="Reasignación">
      <formula>NOT(ISERROR(SEARCH("Reasignación",K908)))</formula>
    </cfRule>
    <cfRule type="containsText" dxfId="2238" priority="2240" operator="containsText" text="RECHAZADA">
      <formula>NOT(ISERROR(SEARCH("RECHAZADA",K908)))</formula>
    </cfRule>
    <cfRule type="containsText" dxfId="2237" priority="2241" operator="containsText" text="Atendida">
      <formula>NOT(ISERROR(SEARCH("Atendida",K908)))</formula>
    </cfRule>
    <cfRule type="containsText" dxfId="2236" priority="2242" operator="containsText" text="Reasignación">
      <formula>NOT(ISERROR(SEARCH("Reasignación",K908)))</formula>
    </cfRule>
    <cfRule type="containsText" dxfId="2235" priority="2243" operator="containsText" text="RECHAZADA">
      <formula>NOT(ISERROR(SEARCH("RECHAZADA",K908)))</formula>
    </cfRule>
    <cfRule type="containsText" dxfId="2234" priority="2244" operator="containsText" text="Atendida">
      <formula>NOT(ISERROR(SEARCH("Atendida",K908)))</formula>
    </cfRule>
    <cfRule type="containsText" dxfId="2233" priority="2245" operator="containsText" text="Reasignación">
      <formula>NOT(ISERROR(SEARCH("Reasignación",K908)))</formula>
    </cfRule>
    <cfRule type="containsText" dxfId="2232" priority="2246" operator="containsText" text="RECHAZADA">
      <formula>NOT(ISERROR(SEARCH("RECHAZADA",K908)))</formula>
    </cfRule>
    <cfRule type="containsText" dxfId="2231" priority="2247" operator="containsText" text="Atendida">
      <formula>NOT(ISERROR(SEARCH("Atendida",K908)))</formula>
    </cfRule>
    <cfRule type="containsText" dxfId="2230" priority="2248" operator="containsText" text="Reasignación">
      <formula>NOT(ISERROR(SEARCH("Reasignación",K908)))</formula>
    </cfRule>
    <cfRule type="containsText" dxfId="2229" priority="2249" operator="containsText" text="RECHAZADA">
      <formula>NOT(ISERROR(SEARCH("RECHAZADA",K908)))</formula>
    </cfRule>
    <cfRule type="containsText" dxfId="2228" priority="2250" operator="containsText" text="Atendida">
      <formula>NOT(ISERROR(SEARCH("Atendida",K908)))</formula>
    </cfRule>
    <cfRule type="containsText" dxfId="2227" priority="2251" operator="containsText" text="Reasignación">
      <formula>NOT(ISERROR(SEARCH("Reasignación",K908)))</formula>
    </cfRule>
    <cfRule type="containsText" dxfId="2226" priority="2252" operator="containsText" text="RECHAZADA">
      <formula>NOT(ISERROR(SEARCH("RECHAZADA",K908)))</formula>
    </cfRule>
    <cfRule type="containsText" dxfId="2225" priority="2253" operator="containsText" text="Atendida">
      <formula>NOT(ISERROR(SEARCH("Atendida",K908)))</formula>
    </cfRule>
    <cfRule type="containsText" dxfId="2224" priority="2254" operator="containsText" text="Reasignación">
      <formula>NOT(ISERROR(SEARCH("Reasignación",K908)))</formula>
    </cfRule>
    <cfRule type="containsText" dxfId="2223" priority="2255" operator="containsText" text="RECHAZADA">
      <formula>NOT(ISERROR(SEARCH("RECHAZADA",K908)))</formula>
    </cfRule>
    <cfRule type="containsText" dxfId="2222" priority="2256" operator="containsText" text="Atendida">
      <formula>NOT(ISERROR(SEARCH("Atendida",K908)))</formula>
    </cfRule>
    <cfRule type="containsText" dxfId="2221" priority="2259" operator="containsText" text="Atendida">
      <formula>NOT(ISERROR(SEARCH("Atendida",K908)))</formula>
    </cfRule>
  </conditionalFormatting>
  <conditionalFormatting sqref="K908">
    <cfRule type="containsText" dxfId="2220" priority="2224" operator="containsText" text="Reasignación">
      <formula>NOT(ISERROR(SEARCH("Reasignación",K908)))</formula>
    </cfRule>
    <cfRule type="containsText" dxfId="2219" priority="2225" operator="containsText" text="RECHAZADA">
      <formula>NOT(ISERROR(SEARCH("RECHAZADA",K908)))</formula>
    </cfRule>
  </conditionalFormatting>
  <conditionalFormatting sqref="K910">
    <cfRule type="containsText" dxfId="2218" priority="2221" operator="containsText" text="Reasignación">
      <formula>NOT(ISERROR(SEARCH("Reasignación",K910)))</formula>
    </cfRule>
    <cfRule type="containsText" dxfId="2217" priority="2222" operator="containsText" text="RECHAZADA">
      <formula>NOT(ISERROR(SEARCH("RECHAZADA",K910)))</formula>
    </cfRule>
  </conditionalFormatting>
  <conditionalFormatting sqref="K910">
    <cfRule type="containsText" dxfId="2216" priority="2190" operator="containsText" text="Atendida">
      <formula>NOT(ISERROR(SEARCH("Atendida",K910)))</formula>
    </cfRule>
    <cfRule type="containsText" dxfId="2215" priority="2191" operator="containsText" text="Reasignación">
      <formula>NOT(ISERROR(SEARCH("Reasignación",K910)))</formula>
    </cfRule>
    <cfRule type="containsText" dxfId="2214" priority="2192" operator="containsText" text="RECHAZADA">
      <formula>NOT(ISERROR(SEARCH("RECHAZADA",K910)))</formula>
    </cfRule>
    <cfRule type="containsText" dxfId="2213" priority="2193" operator="containsText" text="Atendida">
      <formula>NOT(ISERROR(SEARCH("Atendida",K910)))</formula>
    </cfRule>
    <cfRule type="containsText" dxfId="2212" priority="2194" operator="containsText" text="Reasignación">
      <formula>NOT(ISERROR(SEARCH("Reasignación",K910)))</formula>
    </cfRule>
    <cfRule type="containsText" dxfId="2211" priority="2195" operator="containsText" text="RECHAZADA">
      <formula>NOT(ISERROR(SEARCH("RECHAZADA",K910)))</formula>
    </cfRule>
    <cfRule type="containsText" dxfId="2210" priority="2196" operator="containsText" text="Atendida">
      <formula>NOT(ISERROR(SEARCH("Atendida",K910)))</formula>
    </cfRule>
    <cfRule type="containsText" dxfId="2209" priority="2197" operator="containsText" text="Reasignación">
      <formula>NOT(ISERROR(SEARCH("Reasignación",K910)))</formula>
    </cfRule>
    <cfRule type="containsText" dxfId="2208" priority="2198" operator="containsText" text="RECHAZADA">
      <formula>NOT(ISERROR(SEARCH("RECHAZADA",K910)))</formula>
    </cfRule>
    <cfRule type="containsText" dxfId="2207" priority="2199" operator="containsText" text="Atendida">
      <formula>NOT(ISERROR(SEARCH("Atendida",K910)))</formula>
    </cfRule>
    <cfRule type="containsText" dxfId="2206" priority="2200" operator="containsText" text="Reasignación">
      <formula>NOT(ISERROR(SEARCH("Reasignación",K910)))</formula>
    </cfRule>
    <cfRule type="containsText" dxfId="2205" priority="2201" operator="containsText" text="RECHAZADA">
      <formula>NOT(ISERROR(SEARCH("RECHAZADA",K910)))</formula>
    </cfRule>
    <cfRule type="containsText" dxfId="2204" priority="2202" operator="containsText" text="Atendida">
      <formula>NOT(ISERROR(SEARCH("Atendida",K910)))</formula>
    </cfRule>
    <cfRule type="containsText" dxfId="2203" priority="2203" operator="containsText" text="Reasignación">
      <formula>NOT(ISERROR(SEARCH("Reasignación",K910)))</formula>
    </cfRule>
    <cfRule type="containsText" dxfId="2202" priority="2204" operator="containsText" text="RECHAZADA">
      <formula>NOT(ISERROR(SEARCH("RECHAZADA",K910)))</formula>
    </cfRule>
    <cfRule type="containsText" dxfId="2201" priority="2205" operator="containsText" text="Atendida">
      <formula>NOT(ISERROR(SEARCH("Atendida",K910)))</formula>
    </cfRule>
    <cfRule type="containsText" dxfId="2200" priority="2206" operator="containsText" text="Reasignación">
      <formula>NOT(ISERROR(SEARCH("Reasignación",K910)))</formula>
    </cfRule>
    <cfRule type="containsText" dxfId="2199" priority="2207" operator="containsText" text="RECHAZADA">
      <formula>NOT(ISERROR(SEARCH("RECHAZADA",K910)))</formula>
    </cfRule>
    <cfRule type="containsText" dxfId="2198" priority="2208" operator="containsText" text="Atendida">
      <formula>NOT(ISERROR(SEARCH("Atendida",K910)))</formula>
    </cfRule>
    <cfRule type="containsText" dxfId="2197" priority="2209" operator="containsText" text="Reasignación">
      <formula>NOT(ISERROR(SEARCH("Reasignación",K910)))</formula>
    </cfRule>
    <cfRule type="containsText" dxfId="2196" priority="2210" operator="containsText" text="RECHAZADA">
      <formula>NOT(ISERROR(SEARCH("RECHAZADA",K910)))</formula>
    </cfRule>
    <cfRule type="containsText" dxfId="2195" priority="2211" operator="containsText" text="Atendida">
      <formula>NOT(ISERROR(SEARCH("Atendida",K910)))</formula>
    </cfRule>
    <cfRule type="containsText" dxfId="2194" priority="2212" operator="containsText" text="Reasignación">
      <formula>NOT(ISERROR(SEARCH("Reasignación",K910)))</formula>
    </cfRule>
    <cfRule type="containsText" dxfId="2193" priority="2213" operator="containsText" text="RECHAZADA">
      <formula>NOT(ISERROR(SEARCH("RECHAZADA",K910)))</formula>
    </cfRule>
    <cfRule type="containsText" dxfId="2192" priority="2214" operator="containsText" text="Atendida">
      <formula>NOT(ISERROR(SEARCH("Atendida",K910)))</formula>
    </cfRule>
    <cfRule type="containsText" dxfId="2191" priority="2215" operator="containsText" text="Reasignación">
      <formula>NOT(ISERROR(SEARCH("Reasignación",K910)))</formula>
    </cfRule>
    <cfRule type="containsText" dxfId="2190" priority="2216" operator="containsText" text="RECHAZADA">
      <formula>NOT(ISERROR(SEARCH("RECHAZADA",K910)))</formula>
    </cfRule>
    <cfRule type="containsText" dxfId="2189" priority="2217" operator="containsText" text="Atendida">
      <formula>NOT(ISERROR(SEARCH("Atendida",K910)))</formula>
    </cfRule>
    <cfRule type="containsText" dxfId="2188" priority="2218" operator="containsText" text="Reasignación">
      <formula>NOT(ISERROR(SEARCH("Reasignación",K910)))</formula>
    </cfRule>
    <cfRule type="containsText" dxfId="2187" priority="2219" operator="containsText" text="RECHAZADA">
      <formula>NOT(ISERROR(SEARCH("RECHAZADA",K910)))</formula>
    </cfRule>
    <cfRule type="containsText" dxfId="2186" priority="2220" operator="containsText" text="Atendida">
      <formula>NOT(ISERROR(SEARCH("Atendida",K910)))</formula>
    </cfRule>
    <cfRule type="containsText" dxfId="2185" priority="2223" operator="containsText" text="Atendida">
      <formula>NOT(ISERROR(SEARCH("Atendida",K910)))</formula>
    </cfRule>
  </conditionalFormatting>
  <conditionalFormatting sqref="K910">
    <cfRule type="containsText" dxfId="2184" priority="2188" operator="containsText" text="Reasignación">
      <formula>NOT(ISERROR(SEARCH("Reasignación",K910)))</formula>
    </cfRule>
    <cfRule type="containsText" dxfId="2183" priority="2189" operator="containsText" text="RECHAZADA">
      <formula>NOT(ISERROR(SEARCH("RECHAZADA",K910)))</formula>
    </cfRule>
  </conditionalFormatting>
  <conditionalFormatting sqref="K911">
    <cfRule type="containsText" dxfId="2182" priority="2185" operator="containsText" text="Reasignación">
      <formula>NOT(ISERROR(SEARCH("Reasignación",K911)))</formula>
    </cfRule>
    <cfRule type="containsText" dxfId="2181" priority="2186" operator="containsText" text="RECHAZADA">
      <formula>NOT(ISERROR(SEARCH("RECHAZADA",K911)))</formula>
    </cfRule>
  </conditionalFormatting>
  <conditionalFormatting sqref="K911">
    <cfRule type="containsText" dxfId="2180" priority="2154" operator="containsText" text="Atendida">
      <formula>NOT(ISERROR(SEARCH("Atendida",K911)))</formula>
    </cfRule>
    <cfRule type="containsText" dxfId="2179" priority="2155" operator="containsText" text="Reasignación">
      <formula>NOT(ISERROR(SEARCH("Reasignación",K911)))</formula>
    </cfRule>
    <cfRule type="containsText" dxfId="2178" priority="2156" operator="containsText" text="RECHAZADA">
      <formula>NOT(ISERROR(SEARCH("RECHAZADA",K911)))</formula>
    </cfRule>
    <cfRule type="containsText" dxfId="2177" priority="2157" operator="containsText" text="Atendida">
      <formula>NOT(ISERROR(SEARCH("Atendida",K911)))</formula>
    </cfRule>
    <cfRule type="containsText" dxfId="2176" priority="2158" operator="containsText" text="Reasignación">
      <formula>NOT(ISERROR(SEARCH("Reasignación",K911)))</formula>
    </cfRule>
    <cfRule type="containsText" dxfId="2175" priority="2159" operator="containsText" text="RECHAZADA">
      <formula>NOT(ISERROR(SEARCH("RECHAZADA",K911)))</formula>
    </cfRule>
    <cfRule type="containsText" dxfId="2174" priority="2160" operator="containsText" text="Atendida">
      <formula>NOT(ISERROR(SEARCH("Atendida",K911)))</formula>
    </cfRule>
    <cfRule type="containsText" dxfId="2173" priority="2161" operator="containsText" text="Reasignación">
      <formula>NOT(ISERROR(SEARCH("Reasignación",K911)))</formula>
    </cfRule>
    <cfRule type="containsText" dxfId="2172" priority="2162" operator="containsText" text="RECHAZADA">
      <formula>NOT(ISERROR(SEARCH("RECHAZADA",K911)))</formula>
    </cfRule>
    <cfRule type="containsText" dxfId="2171" priority="2163" operator="containsText" text="Atendida">
      <formula>NOT(ISERROR(SEARCH("Atendida",K911)))</formula>
    </cfRule>
    <cfRule type="containsText" dxfId="2170" priority="2164" operator="containsText" text="Reasignación">
      <formula>NOT(ISERROR(SEARCH("Reasignación",K911)))</formula>
    </cfRule>
    <cfRule type="containsText" dxfId="2169" priority="2165" operator="containsText" text="RECHAZADA">
      <formula>NOT(ISERROR(SEARCH("RECHAZADA",K911)))</formula>
    </cfRule>
    <cfRule type="containsText" dxfId="2168" priority="2166" operator="containsText" text="Atendida">
      <formula>NOT(ISERROR(SEARCH("Atendida",K911)))</formula>
    </cfRule>
    <cfRule type="containsText" dxfId="2167" priority="2167" operator="containsText" text="Reasignación">
      <formula>NOT(ISERROR(SEARCH("Reasignación",K911)))</formula>
    </cfRule>
    <cfRule type="containsText" dxfId="2166" priority="2168" operator="containsText" text="RECHAZADA">
      <formula>NOT(ISERROR(SEARCH("RECHAZADA",K911)))</formula>
    </cfRule>
    <cfRule type="containsText" dxfId="2165" priority="2169" operator="containsText" text="Atendida">
      <formula>NOT(ISERROR(SEARCH("Atendida",K911)))</formula>
    </cfRule>
    <cfRule type="containsText" dxfId="2164" priority="2170" operator="containsText" text="Reasignación">
      <formula>NOT(ISERROR(SEARCH("Reasignación",K911)))</formula>
    </cfRule>
    <cfRule type="containsText" dxfId="2163" priority="2171" operator="containsText" text="RECHAZADA">
      <formula>NOT(ISERROR(SEARCH("RECHAZADA",K911)))</formula>
    </cfRule>
    <cfRule type="containsText" dxfId="2162" priority="2172" operator="containsText" text="Atendida">
      <formula>NOT(ISERROR(SEARCH("Atendida",K911)))</formula>
    </cfRule>
    <cfRule type="containsText" dxfId="2161" priority="2173" operator="containsText" text="Reasignación">
      <formula>NOT(ISERROR(SEARCH("Reasignación",K911)))</formula>
    </cfRule>
    <cfRule type="containsText" dxfId="2160" priority="2174" operator="containsText" text="RECHAZADA">
      <formula>NOT(ISERROR(SEARCH("RECHAZADA",K911)))</formula>
    </cfRule>
    <cfRule type="containsText" dxfId="2159" priority="2175" operator="containsText" text="Atendida">
      <formula>NOT(ISERROR(SEARCH("Atendida",K911)))</formula>
    </cfRule>
    <cfRule type="containsText" dxfId="2158" priority="2176" operator="containsText" text="Reasignación">
      <formula>NOT(ISERROR(SEARCH("Reasignación",K911)))</formula>
    </cfRule>
    <cfRule type="containsText" dxfId="2157" priority="2177" operator="containsText" text="RECHAZADA">
      <formula>NOT(ISERROR(SEARCH("RECHAZADA",K911)))</formula>
    </cfRule>
    <cfRule type="containsText" dxfId="2156" priority="2178" operator="containsText" text="Atendida">
      <formula>NOT(ISERROR(SEARCH("Atendida",K911)))</formula>
    </cfRule>
    <cfRule type="containsText" dxfId="2155" priority="2179" operator="containsText" text="Reasignación">
      <formula>NOT(ISERROR(SEARCH("Reasignación",K911)))</formula>
    </cfRule>
    <cfRule type="containsText" dxfId="2154" priority="2180" operator="containsText" text="RECHAZADA">
      <formula>NOT(ISERROR(SEARCH("RECHAZADA",K911)))</formula>
    </cfRule>
    <cfRule type="containsText" dxfId="2153" priority="2181" operator="containsText" text="Atendida">
      <formula>NOT(ISERROR(SEARCH("Atendida",K911)))</formula>
    </cfRule>
    <cfRule type="containsText" dxfId="2152" priority="2182" operator="containsText" text="Reasignación">
      <formula>NOT(ISERROR(SEARCH("Reasignación",K911)))</formula>
    </cfRule>
    <cfRule type="containsText" dxfId="2151" priority="2183" operator="containsText" text="RECHAZADA">
      <formula>NOT(ISERROR(SEARCH("RECHAZADA",K911)))</formula>
    </cfRule>
    <cfRule type="containsText" dxfId="2150" priority="2184" operator="containsText" text="Atendida">
      <formula>NOT(ISERROR(SEARCH("Atendida",K911)))</formula>
    </cfRule>
    <cfRule type="containsText" dxfId="2149" priority="2187" operator="containsText" text="Atendida">
      <formula>NOT(ISERROR(SEARCH("Atendida",K911)))</formula>
    </cfRule>
  </conditionalFormatting>
  <conditionalFormatting sqref="K911">
    <cfRule type="containsText" dxfId="2148" priority="2152" operator="containsText" text="Reasignación">
      <formula>NOT(ISERROR(SEARCH("Reasignación",K911)))</formula>
    </cfRule>
    <cfRule type="containsText" dxfId="2147" priority="2153" operator="containsText" text="RECHAZADA">
      <formula>NOT(ISERROR(SEARCH("RECHAZADA",K911)))</formula>
    </cfRule>
  </conditionalFormatting>
  <conditionalFormatting sqref="K909">
    <cfRule type="containsText" dxfId="2146" priority="2149" operator="containsText" text="Reasignación">
      <formula>NOT(ISERROR(SEARCH("Reasignación",K909)))</formula>
    </cfRule>
    <cfRule type="containsText" dxfId="2145" priority="2150" operator="containsText" text="RECHAZADA">
      <formula>NOT(ISERROR(SEARCH("RECHAZADA",K909)))</formula>
    </cfRule>
  </conditionalFormatting>
  <conditionalFormatting sqref="K909">
    <cfRule type="containsText" dxfId="2144" priority="2118" operator="containsText" text="Atendida">
      <formula>NOT(ISERROR(SEARCH("Atendida",K909)))</formula>
    </cfRule>
    <cfRule type="containsText" dxfId="2143" priority="2119" operator="containsText" text="Reasignación">
      <formula>NOT(ISERROR(SEARCH("Reasignación",K909)))</formula>
    </cfRule>
    <cfRule type="containsText" dxfId="2142" priority="2120" operator="containsText" text="RECHAZADA">
      <formula>NOT(ISERROR(SEARCH("RECHAZADA",K909)))</formula>
    </cfRule>
    <cfRule type="containsText" dxfId="2141" priority="2121" operator="containsText" text="Atendida">
      <formula>NOT(ISERROR(SEARCH("Atendida",K909)))</formula>
    </cfRule>
    <cfRule type="containsText" dxfId="2140" priority="2122" operator="containsText" text="Reasignación">
      <formula>NOT(ISERROR(SEARCH("Reasignación",K909)))</formula>
    </cfRule>
    <cfRule type="containsText" dxfId="2139" priority="2123" operator="containsText" text="RECHAZADA">
      <formula>NOT(ISERROR(SEARCH("RECHAZADA",K909)))</formula>
    </cfRule>
    <cfRule type="containsText" dxfId="2138" priority="2124" operator="containsText" text="Atendida">
      <formula>NOT(ISERROR(SEARCH("Atendida",K909)))</formula>
    </cfRule>
    <cfRule type="containsText" dxfId="2137" priority="2125" operator="containsText" text="Reasignación">
      <formula>NOT(ISERROR(SEARCH("Reasignación",K909)))</formula>
    </cfRule>
    <cfRule type="containsText" dxfId="2136" priority="2126" operator="containsText" text="RECHAZADA">
      <formula>NOT(ISERROR(SEARCH("RECHAZADA",K909)))</formula>
    </cfRule>
    <cfRule type="containsText" dxfId="2135" priority="2127" operator="containsText" text="Atendida">
      <formula>NOT(ISERROR(SEARCH("Atendida",K909)))</formula>
    </cfRule>
    <cfRule type="containsText" dxfId="2134" priority="2128" operator="containsText" text="Reasignación">
      <formula>NOT(ISERROR(SEARCH("Reasignación",K909)))</formula>
    </cfRule>
    <cfRule type="containsText" dxfId="2133" priority="2129" operator="containsText" text="RECHAZADA">
      <formula>NOT(ISERROR(SEARCH("RECHAZADA",K909)))</formula>
    </cfRule>
    <cfRule type="containsText" dxfId="2132" priority="2130" operator="containsText" text="Atendida">
      <formula>NOT(ISERROR(SEARCH("Atendida",K909)))</formula>
    </cfRule>
    <cfRule type="containsText" dxfId="2131" priority="2131" operator="containsText" text="Reasignación">
      <formula>NOT(ISERROR(SEARCH("Reasignación",K909)))</formula>
    </cfRule>
    <cfRule type="containsText" dxfId="2130" priority="2132" operator="containsText" text="RECHAZADA">
      <formula>NOT(ISERROR(SEARCH("RECHAZADA",K909)))</formula>
    </cfRule>
    <cfRule type="containsText" dxfId="2129" priority="2133" operator="containsText" text="Atendida">
      <formula>NOT(ISERROR(SEARCH("Atendida",K909)))</formula>
    </cfRule>
    <cfRule type="containsText" dxfId="2128" priority="2134" operator="containsText" text="Reasignación">
      <formula>NOT(ISERROR(SEARCH("Reasignación",K909)))</formula>
    </cfRule>
    <cfRule type="containsText" dxfId="2127" priority="2135" operator="containsText" text="RECHAZADA">
      <formula>NOT(ISERROR(SEARCH("RECHAZADA",K909)))</formula>
    </cfRule>
    <cfRule type="containsText" dxfId="2126" priority="2136" operator="containsText" text="Atendida">
      <formula>NOT(ISERROR(SEARCH("Atendida",K909)))</formula>
    </cfRule>
    <cfRule type="containsText" dxfId="2125" priority="2137" operator="containsText" text="Reasignación">
      <formula>NOT(ISERROR(SEARCH("Reasignación",K909)))</formula>
    </cfRule>
    <cfRule type="containsText" dxfId="2124" priority="2138" operator="containsText" text="RECHAZADA">
      <formula>NOT(ISERROR(SEARCH("RECHAZADA",K909)))</formula>
    </cfRule>
    <cfRule type="containsText" dxfId="2123" priority="2139" operator="containsText" text="Atendida">
      <formula>NOT(ISERROR(SEARCH("Atendida",K909)))</formula>
    </cfRule>
    <cfRule type="containsText" dxfId="2122" priority="2140" operator="containsText" text="Reasignación">
      <formula>NOT(ISERROR(SEARCH("Reasignación",K909)))</formula>
    </cfRule>
    <cfRule type="containsText" dxfId="2121" priority="2141" operator="containsText" text="RECHAZADA">
      <formula>NOT(ISERROR(SEARCH("RECHAZADA",K909)))</formula>
    </cfRule>
    <cfRule type="containsText" dxfId="2120" priority="2142" operator="containsText" text="Atendida">
      <formula>NOT(ISERROR(SEARCH("Atendida",K909)))</formula>
    </cfRule>
    <cfRule type="containsText" dxfId="2119" priority="2143" operator="containsText" text="Reasignación">
      <formula>NOT(ISERROR(SEARCH("Reasignación",K909)))</formula>
    </cfRule>
    <cfRule type="containsText" dxfId="2118" priority="2144" operator="containsText" text="RECHAZADA">
      <formula>NOT(ISERROR(SEARCH("RECHAZADA",K909)))</formula>
    </cfRule>
    <cfRule type="containsText" dxfId="2117" priority="2145" operator="containsText" text="Atendida">
      <formula>NOT(ISERROR(SEARCH("Atendida",K909)))</formula>
    </cfRule>
    <cfRule type="containsText" dxfId="2116" priority="2146" operator="containsText" text="Reasignación">
      <formula>NOT(ISERROR(SEARCH("Reasignación",K909)))</formula>
    </cfRule>
    <cfRule type="containsText" dxfId="2115" priority="2147" operator="containsText" text="RECHAZADA">
      <formula>NOT(ISERROR(SEARCH("RECHAZADA",K909)))</formula>
    </cfRule>
    <cfRule type="containsText" dxfId="2114" priority="2148" operator="containsText" text="Atendida">
      <formula>NOT(ISERROR(SEARCH("Atendida",K909)))</formula>
    </cfRule>
    <cfRule type="containsText" dxfId="2113" priority="2151" operator="containsText" text="Atendida">
      <formula>NOT(ISERROR(SEARCH("Atendida",K909)))</formula>
    </cfRule>
  </conditionalFormatting>
  <conditionalFormatting sqref="K909">
    <cfRule type="containsText" dxfId="2112" priority="2116" operator="containsText" text="Reasignación">
      <formula>NOT(ISERROR(SEARCH("Reasignación",K909)))</formula>
    </cfRule>
    <cfRule type="containsText" dxfId="2111" priority="2117" operator="containsText" text="RECHAZADA">
      <formula>NOT(ISERROR(SEARCH("RECHAZADA",K909)))</formula>
    </cfRule>
  </conditionalFormatting>
  <conditionalFormatting sqref="M913">
    <cfRule type="containsText" dxfId="2110" priority="2114" operator="containsText" text="RECHAZADA">
      <formula>NOT(ISERROR(SEARCH("RECHAZADA",M913)))</formula>
    </cfRule>
  </conditionalFormatting>
  <conditionalFormatting sqref="M913">
    <cfRule type="containsText" dxfId="2109" priority="2115" operator="containsText" text="Atendida">
      <formula>NOT(ISERROR(SEARCH("Atendida",M913)))</formula>
    </cfRule>
  </conditionalFormatting>
  <conditionalFormatting sqref="M913">
    <cfRule type="containsText" dxfId="2108" priority="2112" operator="containsText" text="OBSERVADO">
      <formula>NOT(ISERROR(SEARCH("OBSERVADO",M913)))</formula>
    </cfRule>
  </conditionalFormatting>
  <conditionalFormatting sqref="M913">
    <cfRule type="containsText" dxfId="2107" priority="2113" operator="containsText" text="CONFORME">
      <formula>NOT(ISERROR(SEARCH("CONFORME",M913)))</formula>
    </cfRule>
  </conditionalFormatting>
  <conditionalFormatting sqref="K912">
    <cfRule type="containsText" dxfId="2106" priority="2109" operator="containsText" text="Reasignación">
      <formula>NOT(ISERROR(SEARCH("Reasignación",K912)))</formula>
    </cfRule>
    <cfRule type="containsText" dxfId="2105" priority="2110" operator="containsText" text="RECHAZADA">
      <formula>NOT(ISERROR(SEARCH("RECHAZADA",K912)))</formula>
    </cfRule>
  </conditionalFormatting>
  <conditionalFormatting sqref="K912">
    <cfRule type="containsText" dxfId="2104" priority="2078" operator="containsText" text="Atendida">
      <formula>NOT(ISERROR(SEARCH("Atendida",K912)))</formula>
    </cfRule>
    <cfRule type="containsText" dxfId="2103" priority="2079" operator="containsText" text="Reasignación">
      <formula>NOT(ISERROR(SEARCH("Reasignación",K912)))</formula>
    </cfRule>
    <cfRule type="containsText" dxfId="2102" priority="2080" operator="containsText" text="RECHAZADA">
      <formula>NOT(ISERROR(SEARCH("RECHAZADA",K912)))</formula>
    </cfRule>
    <cfRule type="containsText" dxfId="2101" priority="2081" operator="containsText" text="Atendida">
      <formula>NOT(ISERROR(SEARCH("Atendida",K912)))</formula>
    </cfRule>
    <cfRule type="containsText" dxfId="2100" priority="2082" operator="containsText" text="Reasignación">
      <formula>NOT(ISERROR(SEARCH("Reasignación",K912)))</formula>
    </cfRule>
    <cfRule type="containsText" dxfId="2099" priority="2083" operator="containsText" text="RECHAZADA">
      <formula>NOT(ISERROR(SEARCH("RECHAZADA",K912)))</formula>
    </cfRule>
    <cfRule type="containsText" dxfId="2098" priority="2084" operator="containsText" text="Atendida">
      <formula>NOT(ISERROR(SEARCH("Atendida",K912)))</formula>
    </cfRule>
    <cfRule type="containsText" dxfId="2097" priority="2085" operator="containsText" text="Reasignación">
      <formula>NOT(ISERROR(SEARCH("Reasignación",K912)))</formula>
    </cfRule>
    <cfRule type="containsText" dxfId="2096" priority="2086" operator="containsText" text="RECHAZADA">
      <formula>NOT(ISERROR(SEARCH("RECHAZADA",K912)))</formula>
    </cfRule>
    <cfRule type="containsText" dxfId="2095" priority="2087" operator="containsText" text="Atendida">
      <formula>NOT(ISERROR(SEARCH("Atendida",K912)))</formula>
    </cfRule>
    <cfRule type="containsText" dxfId="2094" priority="2088" operator="containsText" text="Reasignación">
      <formula>NOT(ISERROR(SEARCH("Reasignación",K912)))</formula>
    </cfRule>
    <cfRule type="containsText" dxfId="2093" priority="2089" operator="containsText" text="RECHAZADA">
      <formula>NOT(ISERROR(SEARCH("RECHAZADA",K912)))</formula>
    </cfRule>
    <cfRule type="containsText" dxfId="2092" priority="2090" operator="containsText" text="Atendida">
      <formula>NOT(ISERROR(SEARCH("Atendida",K912)))</formula>
    </cfRule>
    <cfRule type="containsText" dxfId="2091" priority="2091" operator="containsText" text="Reasignación">
      <formula>NOT(ISERROR(SEARCH("Reasignación",K912)))</formula>
    </cfRule>
    <cfRule type="containsText" dxfId="2090" priority="2092" operator="containsText" text="RECHAZADA">
      <formula>NOT(ISERROR(SEARCH("RECHAZADA",K912)))</formula>
    </cfRule>
    <cfRule type="containsText" dxfId="2089" priority="2093" operator="containsText" text="Atendida">
      <formula>NOT(ISERROR(SEARCH("Atendida",K912)))</formula>
    </cfRule>
    <cfRule type="containsText" dxfId="2088" priority="2094" operator="containsText" text="Reasignación">
      <formula>NOT(ISERROR(SEARCH("Reasignación",K912)))</formula>
    </cfRule>
    <cfRule type="containsText" dxfId="2087" priority="2095" operator="containsText" text="RECHAZADA">
      <formula>NOT(ISERROR(SEARCH("RECHAZADA",K912)))</formula>
    </cfRule>
    <cfRule type="containsText" dxfId="2086" priority="2096" operator="containsText" text="Atendida">
      <formula>NOT(ISERROR(SEARCH("Atendida",K912)))</formula>
    </cfRule>
    <cfRule type="containsText" dxfId="2085" priority="2097" operator="containsText" text="Reasignación">
      <formula>NOT(ISERROR(SEARCH("Reasignación",K912)))</formula>
    </cfRule>
    <cfRule type="containsText" dxfId="2084" priority="2098" operator="containsText" text="RECHAZADA">
      <formula>NOT(ISERROR(SEARCH("RECHAZADA",K912)))</formula>
    </cfRule>
    <cfRule type="containsText" dxfId="2083" priority="2099" operator="containsText" text="Atendida">
      <formula>NOT(ISERROR(SEARCH("Atendida",K912)))</formula>
    </cfRule>
    <cfRule type="containsText" dxfId="2082" priority="2100" operator="containsText" text="Reasignación">
      <formula>NOT(ISERROR(SEARCH("Reasignación",K912)))</formula>
    </cfRule>
    <cfRule type="containsText" dxfId="2081" priority="2101" operator="containsText" text="RECHAZADA">
      <formula>NOT(ISERROR(SEARCH("RECHAZADA",K912)))</formula>
    </cfRule>
    <cfRule type="containsText" dxfId="2080" priority="2102" operator="containsText" text="Atendida">
      <formula>NOT(ISERROR(SEARCH("Atendida",K912)))</formula>
    </cfRule>
    <cfRule type="containsText" dxfId="2079" priority="2103" operator="containsText" text="Reasignación">
      <formula>NOT(ISERROR(SEARCH("Reasignación",K912)))</formula>
    </cfRule>
    <cfRule type="containsText" dxfId="2078" priority="2104" operator="containsText" text="RECHAZADA">
      <formula>NOT(ISERROR(SEARCH("RECHAZADA",K912)))</formula>
    </cfRule>
    <cfRule type="containsText" dxfId="2077" priority="2105" operator="containsText" text="Atendida">
      <formula>NOT(ISERROR(SEARCH("Atendida",K912)))</formula>
    </cfRule>
    <cfRule type="containsText" dxfId="2076" priority="2106" operator="containsText" text="Reasignación">
      <formula>NOT(ISERROR(SEARCH("Reasignación",K912)))</formula>
    </cfRule>
    <cfRule type="containsText" dxfId="2075" priority="2107" operator="containsText" text="RECHAZADA">
      <formula>NOT(ISERROR(SEARCH("RECHAZADA",K912)))</formula>
    </cfRule>
    <cfRule type="containsText" dxfId="2074" priority="2108" operator="containsText" text="Atendida">
      <formula>NOT(ISERROR(SEARCH("Atendida",K912)))</formula>
    </cfRule>
    <cfRule type="containsText" dxfId="2073" priority="2111" operator="containsText" text="Atendida">
      <formula>NOT(ISERROR(SEARCH("Atendida",K912)))</formula>
    </cfRule>
  </conditionalFormatting>
  <conditionalFormatting sqref="K912">
    <cfRule type="containsText" dxfId="2072" priority="2076" operator="containsText" text="Reasignación">
      <formula>NOT(ISERROR(SEARCH("Reasignación",K912)))</formula>
    </cfRule>
    <cfRule type="containsText" dxfId="2071" priority="2077" operator="containsText" text="RECHAZADA">
      <formula>NOT(ISERROR(SEARCH("RECHAZADA",K912)))</formula>
    </cfRule>
  </conditionalFormatting>
  <conditionalFormatting sqref="K913">
    <cfRule type="containsText" dxfId="2070" priority="2073" operator="containsText" text="Reasignación">
      <formula>NOT(ISERROR(SEARCH("Reasignación",K913)))</formula>
    </cfRule>
    <cfRule type="containsText" dxfId="2069" priority="2074" operator="containsText" text="RECHAZADA">
      <formula>NOT(ISERROR(SEARCH("RECHAZADA",K913)))</formula>
    </cfRule>
  </conditionalFormatting>
  <conditionalFormatting sqref="K913">
    <cfRule type="containsText" dxfId="2068" priority="2042" operator="containsText" text="Atendida">
      <formula>NOT(ISERROR(SEARCH("Atendida",K913)))</formula>
    </cfRule>
    <cfRule type="containsText" dxfId="2067" priority="2043" operator="containsText" text="Reasignación">
      <formula>NOT(ISERROR(SEARCH("Reasignación",K913)))</formula>
    </cfRule>
    <cfRule type="containsText" dxfId="2066" priority="2044" operator="containsText" text="RECHAZADA">
      <formula>NOT(ISERROR(SEARCH("RECHAZADA",K913)))</formula>
    </cfRule>
    <cfRule type="containsText" dxfId="2065" priority="2045" operator="containsText" text="Atendida">
      <formula>NOT(ISERROR(SEARCH("Atendida",K913)))</formula>
    </cfRule>
    <cfRule type="containsText" dxfId="2064" priority="2046" operator="containsText" text="Reasignación">
      <formula>NOT(ISERROR(SEARCH("Reasignación",K913)))</formula>
    </cfRule>
    <cfRule type="containsText" dxfId="2063" priority="2047" operator="containsText" text="RECHAZADA">
      <formula>NOT(ISERROR(SEARCH("RECHAZADA",K913)))</formula>
    </cfRule>
    <cfRule type="containsText" dxfId="2062" priority="2048" operator="containsText" text="Atendida">
      <formula>NOT(ISERROR(SEARCH("Atendida",K913)))</formula>
    </cfRule>
    <cfRule type="containsText" dxfId="2061" priority="2049" operator="containsText" text="Reasignación">
      <formula>NOT(ISERROR(SEARCH("Reasignación",K913)))</formula>
    </cfRule>
    <cfRule type="containsText" dxfId="2060" priority="2050" operator="containsText" text="RECHAZADA">
      <formula>NOT(ISERROR(SEARCH("RECHAZADA",K913)))</formula>
    </cfRule>
    <cfRule type="containsText" dxfId="2059" priority="2051" operator="containsText" text="Atendida">
      <formula>NOT(ISERROR(SEARCH("Atendida",K913)))</formula>
    </cfRule>
    <cfRule type="containsText" dxfId="2058" priority="2052" operator="containsText" text="Reasignación">
      <formula>NOT(ISERROR(SEARCH("Reasignación",K913)))</formula>
    </cfRule>
    <cfRule type="containsText" dxfId="2057" priority="2053" operator="containsText" text="RECHAZADA">
      <formula>NOT(ISERROR(SEARCH("RECHAZADA",K913)))</formula>
    </cfRule>
    <cfRule type="containsText" dxfId="2056" priority="2054" operator="containsText" text="Atendida">
      <formula>NOT(ISERROR(SEARCH("Atendida",K913)))</formula>
    </cfRule>
    <cfRule type="containsText" dxfId="2055" priority="2055" operator="containsText" text="Reasignación">
      <formula>NOT(ISERROR(SEARCH("Reasignación",K913)))</formula>
    </cfRule>
    <cfRule type="containsText" dxfId="2054" priority="2056" operator="containsText" text="RECHAZADA">
      <formula>NOT(ISERROR(SEARCH("RECHAZADA",K913)))</formula>
    </cfRule>
    <cfRule type="containsText" dxfId="2053" priority="2057" operator="containsText" text="Atendida">
      <formula>NOT(ISERROR(SEARCH("Atendida",K913)))</formula>
    </cfRule>
    <cfRule type="containsText" dxfId="2052" priority="2058" operator="containsText" text="Reasignación">
      <formula>NOT(ISERROR(SEARCH("Reasignación",K913)))</formula>
    </cfRule>
    <cfRule type="containsText" dxfId="2051" priority="2059" operator="containsText" text="RECHAZADA">
      <formula>NOT(ISERROR(SEARCH("RECHAZADA",K913)))</formula>
    </cfRule>
    <cfRule type="containsText" dxfId="2050" priority="2060" operator="containsText" text="Atendida">
      <formula>NOT(ISERROR(SEARCH("Atendida",K913)))</formula>
    </cfRule>
    <cfRule type="containsText" dxfId="2049" priority="2061" operator="containsText" text="Reasignación">
      <formula>NOT(ISERROR(SEARCH("Reasignación",K913)))</formula>
    </cfRule>
    <cfRule type="containsText" dxfId="2048" priority="2062" operator="containsText" text="RECHAZADA">
      <formula>NOT(ISERROR(SEARCH("RECHAZADA",K913)))</formula>
    </cfRule>
    <cfRule type="containsText" dxfId="2047" priority="2063" operator="containsText" text="Atendida">
      <formula>NOT(ISERROR(SEARCH("Atendida",K913)))</formula>
    </cfRule>
    <cfRule type="containsText" dxfId="2046" priority="2064" operator="containsText" text="Reasignación">
      <formula>NOT(ISERROR(SEARCH("Reasignación",K913)))</formula>
    </cfRule>
    <cfRule type="containsText" dxfId="2045" priority="2065" operator="containsText" text="RECHAZADA">
      <formula>NOT(ISERROR(SEARCH("RECHAZADA",K913)))</formula>
    </cfRule>
    <cfRule type="containsText" dxfId="2044" priority="2066" operator="containsText" text="Atendida">
      <formula>NOT(ISERROR(SEARCH("Atendida",K913)))</formula>
    </cfRule>
    <cfRule type="containsText" dxfId="2043" priority="2067" operator="containsText" text="Reasignación">
      <formula>NOT(ISERROR(SEARCH("Reasignación",K913)))</formula>
    </cfRule>
    <cfRule type="containsText" dxfId="2042" priority="2068" operator="containsText" text="RECHAZADA">
      <formula>NOT(ISERROR(SEARCH("RECHAZADA",K913)))</formula>
    </cfRule>
    <cfRule type="containsText" dxfId="2041" priority="2069" operator="containsText" text="Atendida">
      <formula>NOT(ISERROR(SEARCH("Atendida",K913)))</formula>
    </cfRule>
    <cfRule type="containsText" dxfId="2040" priority="2070" operator="containsText" text="Reasignación">
      <formula>NOT(ISERROR(SEARCH("Reasignación",K913)))</formula>
    </cfRule>
    <cfRule type="containsText" dxfId="2039" priority="2071" operator="containsText" text="RECHAZADA">
      <formula>NOT(ISERROR(SEARCH("RECHAZADA",K913)))</formula>
    </cfRule>
    <cfRule type="containsText" dxfId="2038" priority="2072" operator="containsText" text="Atendida">
      <formula>NOT(ISERROR(SEARCH("Atendida",K913)))</formula>
    </cfRule>
    <cfRule type="containsText" dxfId="2037" priority="2075" operator="containsText" text="Atendida">
      <formula>NOT(ISERROR(SEARCH("Atendida",K913)))</formula>
    </cfRule>
  </conditionalFormatting>
  <conditionalFormatting sqref="K913">
    <cfRule type="containsText" dxfId="2036" priority="2040" operator="containsText" text="Reasignación">
      <formula>NOT(ISERROR(SEARCH("Reasignación",K913)))</formula>
    </cfRule>
    <cfRule type="containsText" dxfId="2035" priority="2041" operator="containsText" text="RECHAZADA">
      <formula>NOT(ISERROR(SEARCH("RECHAZADA",K913)))</formula>
    </cfRule>
  </conditionalFormatting>
  <conditionalFormatting sqref="M914">
    <cfRule type="containsText" dxfId="2034" priority="2038" operator="containsText" text="RECHAZADA">
      <formula>NOT(ISERROR(SEARCH("RECHAZADA",M914)))</formula>
    </cfRule>
  </conditionalFormatting>
  <conditionalFormatting sqref="M914">
    <cfRule type="containsText" dxfId="2033" priority="2039" operator="containsText" text="Atendida">
      <formula>NOT(ISERROR(SEARCH("Atendida",M914)))</formula>
    </cfRule>
  </conditionalFormatting>
  <conditionalFormatting sqref="M914">
    <cfRule type="containsText" dxfId="2032" priority="2036" operator="containsText" text="OBSERVADO">
      <formula>NOT(ISERROR(SEARCH("OBSERVADO",M914)))</formula>
    </cfRule>
  </conditionalFormatting>
  <conditionalFormatting sqref="M914">
    <cfRule type="containsText" dxfId="2031" priority="2037" operator="containsText" text="CONFORME">
      <formula>NOT(ISERROR(SEARCH("CONFORME",M914)))</formula>
    </cfRule>
  </conditionalFormatting>
  <conditionalFormatting sqref="K914">
    <cfRule type="containsText" dxfId="2030" priority="2033" operator="containsText" text="Reasignación">
      <formula>NOT(ISERROR(SEARCH("Reasignación",K914)))</formula>
    </cfRule>
    <cfRule type="containsText" dxfId="2029" priority="2034" operator="containsText" text="RECHAZADA">
      <formula>NOT(ISERROR(SEARCH("RECHAZADA",K914)))</formula>
    </cfRule>
  </conditionalFormatting>
  <conditionalFormatting sqref="K914">
    <cfRule type="containsText" dxfId="2028" priority="2002" operator="containsText" text="Atendida">
      <formula>NOT(ISERROR(SEARCH("Atendida",K914)))</formula>
    </cfRule>
    <cfRule type="containsText" dxfId="2027" priority="2003" operator="containsText" text="Reasignación">
      <formula>NOT(ISERROR(SEARCH("Reasignación",K914)))</formula>
    </cfRule>
    <cfRule type="containsText" dxfId="2026" priority="2004" operator="containsText" text="RECHAZADA">
      <formula>NOT(ISERROR(SEARCH("RECHAZADA",K914)))</formula>
    </cfRule>
    <cfRule type="containsText" dxfId="2025" priority="2005" operator="containsText" text="Atendida">
      <formula>NOT(ISERROR(SEARCH("Atendida",K914)))</formula>
    </cfRule>
    <cfRule type="containsText" dxfId="2024" priority="2006" operator="containsText" text="Reasignación">
      <formula>NOT(ISERROR(SEARCH("Reasignación",K914)))</formula>
    </cfRule>
    <cfRule type="containsText" dxfId="2023" priority="2007" operator="containsText" text="RECHAZADA">
      <formula>NOT(ISERROR(SEARCH("RECHAZADA",K914)))</formula>
    </cfRule>
    <cfRule type="containsText" dxfId="2022" priority="2008" operator="containsText" text="Atendida">
      <formula>NOT(ISERROR(SEARCH("Atendida",K914)))</formula>
    </cfRule>
    <cfRule type="containsText" dxfId="2021" priority="2009" operator="containsText" text="Reasignación">
      <formula>NOT(ISERROR(SEARCH("Reasignación",K914)))</formula>
    </cfRule>
    <cfRule type="containsText" dxfId="2020" priority="2010" operator="containsText" text="RECHAZADA">
      <formula>NOT(ISERROR(SEARCH("RECHAZADA",K914)))</formula>
    </cfRule>
    <cfRule type="containsText" dxfId="2019" priority="2011" operator="containsText" text="Atendida">
      <formula>NOT(ISERROR(SEARCH("Atendida",K914)))</formula>
    </cfRule>
    <cfRule type="containsText" dxfId="2018" priority="2012" operator="containsText" text="Reasignación">
      <formula>NOT(ISERROR(SEARCH("Reasignación",K914)))</formula>
    </cfRule>
    <cfRule type="containsText" dxfId="2017" priority="2013" operator="containsText" text="RECHAZADA">
      <formula>NOT(ISERROR(SEARCH("RECHAZADA",K914)))</formula>
    </cfRule>
    <cfRule type="containsText" dxfId="2016" priority="2014" operator="containsText" text="Atendida">
      <formula>NOT(ISERROR(SEARCH("Atendida",K914)))</formula>
    </cfRule>
    <cfRule type="containsText" dxfId="2015" priority="2015" operator="containsText" text="Reasignación">
      <formula>NOT(ISERROR(SEARCH("Reasignación",K914)))</formula>
    </cfRule>
    <cfRule type="containsText" dxfId="2014" priority="2016" operator="containsText" text="RECHAZADA">
      <formula>NOT(ISERROR(SEARCH("RECHAZADA",K914)))</formula>
    </cfRule>
    <cfRule type="containsText" dxfId="2013" priority="2017" operator="containsText" text="Atendida">
      <formula>NOT(ISERROR(SEARCH("Atendida",K914)))</formula>
    </cfRule>
    <cfRule type="containsText" dxfId="2012" priority="2018" operator="containsText" text="Reasignación">
      <formula>NOT(ISERROR(SEARCH("Reasignación",K914)))</formula>
    </cfRule>
    <cfRule type="containsText" dxfId="2011" priority="2019" operator="containsText" text="RECHAZADA">
      <formula>NOT(ISERROR(SEARCH("RECHAZADA",K914)))</formula>
    </cfRule>
    <cfRule type="containsText" dxfId="2010" priority="2020" operator="containsText" text="Atendida">
      <formula>NOT(ISERROR(SEARCH("Atendida",K914)))</formula>
    </cfRule>
    <cfRule type="containsText" dxfId="2009" priority="2021" operator="containsText" text="Reasignación">
      <formula>NOT(ISERROR(SEARCH("Reasignación",K914)))</formula>
    </cfRule>
    <cfRule type="containsText" dxfId="2008" priority="2022" operator="containsText" text="RECHAZADA">
      <formula>NOT(ISERROR(SEARCH("RECHAZADA",K914)))</formula>
    </cfRule>
    <cfRule type="containsText" dxfId="2007" priority="2023" operator="containsText" text="Atendida">
      <formula>NOT(ISERROR(SEARCH("Atendida",K914)))</formula>
    </cfRule>
    <cfRule type="containsText" dxfId="2006" priority="2024" operator="containsText" text="Reasignación">
      <formula>NOT(ISERROR(SEARCH("Reasignación",K914)))</formula>
    </cfRule>
    <cfRule type="containsText" dxfId="2005" priority="2025" operator="containsText" text="RECHAZADA">
      <formula>NOT(ISERROR(SEARCH("RECHAZADA",K914)))</formula>
    </cfRule>
    <cfRule type="containsText" dxfId="2004" priority="2026" operator="containsText" text="Atendida">
      <formula>NOT(ISERROR(SEARCH("Atendida",K914)))</formula>
    </cfRule>
    <cfRule type="containsText" dxfId="2003" priority="2027" operator="containsText" text="Reasignación">
      <formula>NOT(ISERROR(SEARCH("Reasignación",K914)))</formula>
    </cfRule>
    <cfRule type="containsText" dxfId="2002" priority="2028" operator="containsText" text="RECHAZADA">
      <formula>NOT(ISERROR(SEARCH("RECHAZADA",K914)))</formula>
    </cfRule>
    <cfRule type="containsText" dxfId="2001" priority="2029" operator="containsText" text="Atendida">
      <formula>NOT(ISERROR(SEARCH("Atendida",K914)))</formula>
    </cfRule>
    <cfRule type="containsText" dxfId="2000" priority="2030" operator="containsText" text="Reasignación">
      <formula>NOT(ISERROR(SEARCH("Reasignación",K914)))</formula>
    </cfRule>
    <cfRule type="containsText" dxfId="1999" priority="2031" operator="containsText" text="RECHAZADA">
      <formula>NOT(ISERROR(SEARCH("RECHAZADA",K914)))</formula>
    </cfRule>
    <cfRule type="containsText" dxfId="1998" priority="2032" operator="containsText" text="Atendida">
      <formula>NOT(ISERROR(SEARCH("Atendida",K914)))</formula>
    </cfRule>
    <cfRule type="containsText" dxfId="1997" priority="2035" operator="containsText" text="Atendida">
      <formula>NOT(ISERROR(SEARCH("Atendida",K914)))</formula>
    </cfRule>
  </conditionalFormatting>
  <conditionalFormatting sqref="K914">
    <cfRule type="containsText" dxfId="1996" priority="2000" operator="containsText" text="Reasignación">
      <formula>NOT(ISERROR(SEARCH("Reasignación",K914)))</formula>
    </cfRule>
    <cfRule type="containsText" dxfId="1995" priority="2001" operator="containsText" text="RECHAZADA">
      <formula>NOT(ISERROR(SEARCH("RECHAZADA",K914)))</formula>
    </cfRule>
  </conditionalFormatting>
  <conditionalFormatting sqref="K916">
    <cfRule type="containsText" dxfId="1994" priority="1997" operator="containsText" text="Reasignación">
      <formula>NOT(ISERROR(SEARCH("Reasignación",K916)))</formula>
    </cfRule>
    <cfRule type="containsText" dxfId="1993" priority="1998" operator="containsText" text="RECHAZADA">
      <formula>NOT(ISERROR(SEARCH("RECHAZADA",K916)))</formula>
    </cfRule>
  </conditionalFormatting>
  <conditionalFormatting sqref="K916">
    <cfRule type="containsText" dxfId="1992" priority="1966" operator="containsText" text="Atendida">
      <formula>NOT(ISERROR(SEARCH("Atendida",K916)))</formula>
    </cfRule>
    <cfRule type="containsText" dxfId="1991" priority="1967" operator="containsText" text="Reasignación">
      <formula>NOT(ISERROR(SEARCH("Reasignación",K916)))</formula>
    </cfRule>
    <cfRule type="containsText" dxfId="1990" priority="1968" operator="containsText" text="RECHAZADA">
      <formula>NOT(ISERROR(SEARCH("RECHAZADA",K916)))</formula>
    </cfRule>
    <cfRule type="containsText" dxfId="1989" priority="1969" operator="containsText" text="Atendida">
      <formula>NOT(ISERROR(SEARCH("Atendida",K916)))</formula>
    </cfRule>
    <cfRule type="containsText" dxfId="1988" priority="1970" operator="containsText" text="Reasignación">
      <formula>NOT(ISERROR(SEARCH("Reasignación",K916)))</formula>
    </cfRule>
    <cfRule type="containsText" dxfId="1987" priority="1971" operator="containsText" text="RECHAZADA">
      <formula>NOT(ISERROR(SEARCH("RECHAZADA",K916)))</formula>
    </cfRule>
    <cfRule type="containsText" dxfId="1986" priority="1972" operator="containsText" text="Atendida">
      <formula>NOT(ISERROR(SEARCH("Atendida",K916)))</formula>
    </cfRule>
    <cfRule type="containsText" dxfId="1985" priority="1973" operator="containsText" text="Reasignación">
      <formula>NOT(ISERROR(SEARCH("Reasignación",K916)))</formula>
    </cfRule>
    <cfRule type="containsText" dxfId="1984" priority="1974" operator="containsText" text="RECHAZADA">
      <formula>NOT(ISERROR(SEARCH("RECHAZADA",K916)))</formula>
    </cfRule>
    <cfRule type="containsText" dxfId="1983" priority="1975" operator="containsText" text="Atendida">
      <formula>NOT(ISERROR(SEARCH("Atendida",K916)))</formula>
    </cfRule>
    <cfRule type="containsText" dxfId="1982" priority="1976" operator="containsText" text="Reasignación">
      <formula>NOT(ISERROR(SEARCH("Reasignación",K916)))</formula>
    </cfRule>
    <cfRule type="containsText" dxfId="1981" priority="1977" operator="containsText" text="RECHAZADA">
      <formula>NOT(ISERROR(SEARCH("RECHAZADA",K916)))</formula>
    </cfRule>
    <cfRule type="containsText" dxfId="1980" priority="1978" operator="containsText" text="Atendida">
      <formula>NOT(ISERROR(SEARCH("Atendida",K916)))</formula>
    </cfRule>
    <cfRule type="containsText" dxfId="1979" priority="1979" operator="containsText" text="Reasignación">
      <formula>NOT(ISERROR(SEARCH("Reasignación",K916)))</formula>
    </cfRule>
    <cfRule type="containsText" dxfId="1978" priority="1980" operator="containsText" text="RECHAZADA">
      <formula>NOT(ISERROR(SEARCH("RECHAZADA",K916)))</formula>
    </cfRule>
    <cfRule type="containsText" dxfId="1977" priority="1981" operator="containsText" text="Atendida">
      <formula>NOT(ISERROR(SEARCH("Atendida",K916)))</formula>
    </cfRule>
    <cfRule type="containsText" dxfId="1976" priority="1982" operator="containsText" text="Reasignación">
      <formula>NOT(ISERROR(SEARCH("Reasignación",K916)))</formula>
    </cfRule>
    <cfRule type="containsText" dxfId="1975" priority="1983" operator="containsText" text="RECHAZADA">
      <formula>NOT(ISERROR(SEARCH("RECHAZADA",K916)))</formula>
    </cfRule>
    <cfRule type="containsText" dxfId="1974" priority="1984" operator="containsText" text="Atendida">
      <formula>NOT(ISERROR(SEARCH("Atendida",K916)))</formula>
    </cfRule>
    <cfRule type="containsText" dxfId="1973" priority="1985" operator="containsText" text="Reasignación">
      <formula>NOT(ISERROR(SEARCH("Reasignación",K916)))</formula>
    </cfRule>
    <cfRule type="containsText" dxfId="1972" priority="1986" operator="containsText" text="RECHAZADA">
      <formula>NOT(ISERROR(SEARCH("RECHAZADA",K916)))</formula>
    </cfRule>
    <cfRule type="containsText" dxfId="1971" priority="1987" operator="containsText" text="Atendida">
      <formula>NOT(ISERROR(SEARCH("Atendida",K916)))</formula>
    </cfRule>
    <cfRule type="containsText" dxfId="1970" priority="1988" operator="containsText" text="Reasignación">
      <formula>NOT(ISERROR(SEARCH("Reasignación",K916)))</formula>
    </cfRule>
    <cfRule type="containsText" dxfId="1969" priority="1989" operator="containsText" text="RECHAZADA">
      <formula>NOT(ISERROR(SEARCH("RECHAZADA",K916)))</formula>
    </cfRule>
    <cfRule type="containsText" dxfId="1968" priority="1990" operator="containsText" text="Atendida">
      <formula>NOT(ISERROR(SEARCH("Atendida",K916)))</formula>
    </cfRule>
    <cfRule type="containsText" dxfId="1967" priority="1991" operator="containsText" text="Reasignación">
      <formula>NOT(ISERROR(SEARCH("Reasignación",K916)))</formula>
    </cfRule>
    <cfRule type="containsText" dxfId="1966" priority="1992" operator="containsText" text="RECHAZADA">
      <formula>NOT(ISERROR(SEARCH("RECHAZADA",K916)))</formula>
    </cfRule>
    <cfRule type="containsText" dxfId="1965" priority="1993" operator="containsText" text="Atendida">
      <formula>NOT(ISERROR(SEARCH("Atendida",K916)))</formula>
    </cfRule>
    <cfRule type="containsText" dxfId="1964" priority="1994" operator="containsText" text="Reasignación">
      <formula>NOT(ISERROR(SEARCH("Reasignación",K916)))</formula>
    </cfRule>
    <cfRule type="containsText" dxfId="1963" priority="1995" operator="containsText" text="RECHAZADA">
      <formula>NOT(ISERROR(SEARCH("RECHAZADA",K916)))</formula>
    </cfRule>
    <cfRule type="containsText" dxfId="1962" priority="1996" operator="containsText" text="Atendida">
      <formula>NOT(ISERROR(SEARCH("Atendida",K916)))</formula>
    </cfRule>
    <cfRule type="containsText" dxfId="1961" priority="1999" operator="containsText" text="Atendida">
      <formula>NOT(ISERROR(SEARCH("Atendida",K916)))</formula>
    </cfRule>
  </conditionalFormatting>
  <conditionalFormatting sqref="K916">
    <cfRule type="containsText" dxfId="1960" priority="1964" operator="containsText" text="Reasignación">
      <formula>NOT(ISERROR(SEARCH("Reasignación",K916)))</formula>
    </cfRule>
    <cfRule type="containsText" dxfId="1959" priority="1965" operator="containsText" text="RECHAZADA">
      <formula>NOT(ISERROR(SEARCH("RECHAZADA",K916)))</formula>
    </cfRule>
  </conditionalFormatting>
  <conditionalFormatting sqref="M915">
    <cfRule type="containsText" dxfId="1958" priority="1962" operator="containsText" text="RECHAZADA">
      <formula>NOT(ISERROR(SEARCH("RECHAZADA",M915)))</formula>
    </cfRule>
  </conditionalFormatting>
  <conditionalFormatting sqref="M915">
    <cfRule type="containsText" dxfId="1957" priority="1963" operator="containsText" text="Atendida">
      <formula>NOT(ISERROR(SEARCH("Atendida",M915)))</formula>
    </cfRule>
  </conditionalFormatting>
  <conditionalFormatting sqref="M915">
    <cfRule type="containsText" dxfId="1956" priority="1960" operator="containsText" text="OBSERVADO">
      <formula>NOT(ISERROR(SEARCH("OBSERVADO",M915)))</formula>
    </cfRule>
  </conditionalFormatting>
  <conditionalFormatting sqref="M915">
    <cfRule type="containsText" dxfId="1955" priority="1961" operator="containsText" text="CONFORME">
      <formula>NOT(ISERROR(SEARCH("CONFORME",M915)))</formula>
    </cfRule>
  </conditionalFormatting>
  <conditionalFormatting sqref="M916">
    <cfRule type="containsText" dxfId="1954" priority="1958" operator="containsText" text="RECHAZADA">
      <formula>NOT(ISERROR(SEARCH("RECHAZADA",M916)))</formula>
    </cfRule>
  </conditionalFormatting>
  <conditionalFormatting sqref="M916">
    <cfRule type="containsText" dxfId="1953" priority="1959" operator="containsText" text="Atendida">
      <formula>NOT(ISERROR(SEARCH("Atendida",M916)))</formula>
    </cfRule>
  </conditionalFormatting>
  <conditionalFormatting sqref="M916">
    <cfRule type="containsText" dxfId="1952" priority="1956" operator="containsText" text="OBSERVADO">
      <formula>NOT(ISERROR(SEARCH("OBSERVADO",M916)))</formula>
    </cfRule>
  </conditionalFormatting>
  <conditionalFormatting sqref="M916">
    <cfRule type="containsText" dxfId="1951" priority="1957" operator="containsText" text="CONFORME">
      <formula>NOT(ISERROR(SEARCH("CONFORME",M916)))</formula>
    </cfRule>
  </conditionalFormatting>
  <conditionalFormatting sqref="K915">
    <cfRule type="containsText" dxfId="1950" priority="1953" operator="containsText" text="Reasignación">
      <formula>NOT(ISERROR(SEARCH("Reasignación",K915)))</formula>
    </cfRule>
    <cfRule type="containsText" dxfId="1949" priority="1954" operator="containsText" text="RECHAZADA">
      <formula>NOT(ISERROR(SEARCH("RECHAZADA",K915)))</formula>
    </cfRule>
  </conditionalFormatting>
  <conditionalFormatting sqref="K915">
    <cfRule type="containsText" dxfId="1948" priority="1922" operator="containsText" text="Atendida">
      <formula>NOT(ISERROR(SEARCH("Atendida",K915)))</formula>
    </cfRule>
    <cfRule type="containsText" dxfId="1947" priority="1923" operator="containsText" text="Reasignación">
      <formula>NOT(ISERROR(SEARCH("Reasignación",K915)))</formula>
    </cfRule>
    <cfRule type="containsText" dxfId="1946" priority="1924" operator="containsText" text="RECHAZADA">
      <formula>NOT(ISERROR(SEARCH("RECHAZADA",K915)))</formula>
    </cfRule>
    <cfRule type="containsText" dxfId="1945" priority="1925" operator="containsText" text="Atendida">
      <formula>NOT(ISERROR(SEARCH("Atendida",K915)))</formula>
    </cfRule>
    <cfRule type="containsText" dxfId="1944" priority="1926" operator="containsText" text="Reasignación">
      <formula>NOT(ISERROR(SEARCH("Reasignación",K915)))</formula>
    </cfRule>
    <cfRule type="containsText" dxfId="1943" priority="1927" operator="containsText" text="RECHAZADA">
      <formula>NOT(ISERROR(SEARCH("RECHAZADA",K915)))</formula>
    </cfRule>
    <cfRule type="containsText" dxfId="1942" priority="1928" operator="containsText" text="Atendida">
      <formula>NOT(ISERROR(SEARCH("Atendida",K915)))</formula>
    </cfRule>
    <cfRule type="containsText" dxfId="1941" priority="1929" operator="containsText" text="Reasignación">
      <formula>NOT(ISERROR(SEARCH("Reasignación",K915)))</formula>
    </cfRule>
    <cfRule type="containsText" dxfId="1940" priority="1930" operator="containsText" text="RECHAZADA">
      <formula>NOT(ISERROR(SEARCH("RECHAZADA",K915)))</formula>
    </cfRule>
    <cfRule type="containsText" dxfId="1939" priority="1931" operator="containsText" text="Atendida">
      <formula>NOT(ISERROR(SEARCH("Atendida",K915)))</formula>
    </cfRule>
    <cfRule type="containsText" dxfId="1938" priority="1932" operator="containsText" text="Reasignación">
      <formula>NOT(ISERROR(SEARCH("Reasignación",K915)))</formula>
    </cfRule>
    <cfRule type="containsText" dxfId="1937" priority="1933" operator="containsText" text="RECHAZADA">
      <formula>NOT(ISERROR(SEARCH("RECHAZADA",K915)))</formula>
    </cfRule>
    <cfRule type="containsText" dxfId="1936" priority="1934" operator="containsText" text="Atendida">
      <formula>NOT(ISERROR(SEARCH("Atendida",K915)))</formula>
    </cfRule>
    <cfRule type="containsText" dxfId="1935" priority="1935" operator="containsText" text="Reasignación">
      <formula>NOT(ISERROR(SEARCH("Reasignación",K915)))</formula>
    </cfRule>
    <cfRule type="containsText" dxfId="1934" priority="1936" operator="containsText" text="RECHAZADA">
      <formula>NOT(ISERROR(SEARCH("RECHAZADA",K915)))</formula>
    </cfRule>
    <cfRule type="containsText" dxfId="1933" priority="1937" operator="containsText" text="Atendida">
      <formula>NOT(ISERROR(SEARCH("Atendida",K915)))</formula>
    </cfRule>
    <cfRule type="containsText" dxfId="1932" priority="1938" operator="containsText" text="Reasignación">
      <formula>NOT(ISERROR(SEARCH("Reasignación",K915)))</formula>
    </cfRule>
    <cfRule type="containsText" dxfId="1931" priority="1939" operator="containsText" text="RECHAZADA">
      <formula>NOT(ISERROR(SEARCH("RECHAZADA",K915)))</formula>
    </cfRule>
    <cfRule type="containsText" dxfId="1930" priority="1940" operator="containsText" text="Atendida">
      <formula>NOT(ISERROR(SEARCH("Atendida",K915)))</formula>
    </cfRule>
    <cfRule type="containsText" dxfId="1929" priority="1941" operator="containsText" text="Reasignación">
      <formula>NOT(ISERROR(SEARCH("Reasignación",K915)))</formula>
    </cfRule>
    <cfRule type="containsText" dxfId="1928" priority="1942" operator="containsText" text="RECHAZADA">
      <formula>NOT(ISERROR(SEARCH("RECHAZADA",K915)))</formula>
    </cfRule>
    <cfRule type="containsText" dxfId="1927" priority="1943" operator="containsText" text="Atendida">
      <formula>NOT(ISERROR(SEARCH("Atendida",K915)))</formula>
    </cfRule>
    <cfRule type="containsText" dxfId="1926" priority="1944" operator="containsText" text="Reasignación">
      <formula>NOT(ISERROR(SEARCH("Reasignación",K915)))</formula>
    </cfRule>
    <cfRule type="containsText" dxfId="1925" priority="1945" operator="containsText" text="RECHAZADA">
      <formula>NOT(ISERROR(SEARCH("RECHAZADA",K915)))</formula>
    </cfRule>
    <cfRule type="containsText" dxfId="1924" priority="1946" operator="containsText" text="Atendida">
      <formula>NOT(ISERROR(SEARCH("Atendida",K915)))</formula>
    </cfRule>
    <cfRule type="containsText" dxfId="1923" priority="1947" operator="containsText" text="Reasignación">
      <formula>NOT(ISERROR(SEARCH("Reasignación",K915)))</formula>
    </cfRule>
    <cfRule type="containsText" dxfId="1922" priority="1948" operator="containsText" text="RECHAZADA">
      <formula>NOT(ISERROR(SEARCH("RECHAZADA",K915)))</formula>
    </cfRule>
    <cfRule type="containsText" dxfId="1921" priority="1949" operator="containsText" text="Atendida">
      <formula>NOT(ISERROR(SEARCH("Atendida",K915)))</formula>
    </cfRule>
    <cfRule type="containsText" dxfId="1920" priority="1950" operator="containsText" text="Reasignación">
      <formula>NOT(ISERROR(SEARCH("Reasignación",K915)))</formula>
    </cfRule>
    <cfRule type="containsText" dxfId="1919" priority="1951" operator="containsText" text="RECHAZADA">
      <formula>NOT(ISERROR(SEARCH("RECHAZADA",K915)))</formula>
    </cfRule>
    <cfRule type="containsText" dxfId="1918" priority="1952" operator="containsText" text="Atendida">
      <formula>NOT(ISERROR(SEARCH("Atendida",K915)))</formula>
    </cfRule>
    <cfRule type="containsText" dxfId="1917" priority="1955" operator="containsText" text="Atendida">
      <formula>NOT(ISERROR(SEARCH("Atendida",K915)))</formula>
    </cfRule>
  </conditionalFormatting>
  <conditionalFormatting sqref="K915">
    <cfRule type="containsText" dxfId="1916" priority="1920" operator="containsText" text="Reasignación">
      <formula>NOT(ISERROR(SEARCH("Reasignación",K915)))</formula>
    </cfRule>
    <cfRule type="containsText" dxfId="1915" priority="1921" operator="containsText" text="RECHAZADA">
      <formula>NOT(ISERROR(SEARCH("RECHAZADA",K915)))</formula>
    </cfRule>
  </conditionalFormatting>
  <conditionalFormatting sqref="M917">
    <cfRule type="containsText" dxfId="1914" priority="1918" operator="containsText" text="RECHAZADA">
      <formula>NOT(ISERROR(SEARCH("RECHAZADA",M917)))</formula>
    </cfRule>
  </conditionalFormatting>
  <conditionalFormatting sqref="M917">
    <cfRule type="containsText" dxfId="1913" priority="1919" operator="containsText" text="Atendida">
      <formula>NOT(ISERROR(SEARCH("Atendida",M917)))</formula>
    </cfRule>
  </conditionalFormatting>
  <conditionalFormatting sqref="M917">
    <cfRule type="containsText" dxfId="1912" priority="1916" operator="containsText" text="OBSERVADO">
      <formula>NOT(ISERROR(SEARCH("OBSERVADO",M917)))</formula>
    </cfRule>
  </conditionalFormatting>
  <conditionalFormatting sqref="M917">
    <cfRule type="containsText" dxfId="1911" priority="1917" operator="containsText" text="CONFORME">
      <formula>NOT(ISERROR(SEARCH("CONFORME",M917)))</formula>
    </cfRule>
  </conditionalFormatting>
  <conditionalFormatting sqref="K917">
    <cfRule type="containsText" dxfId="1910" priority="1913" operator="containsText" text="Reasignación">
      <formula>NOT(ISERROR(SEARCH("Reasignación",K917)))</formula>
    </cfRule>
    <cfRule type="containsText" dxfId="1909" priority="1914" operator="containsText" text="RECHAZADA">
      <formula>NOT(ISERROR(SEARCH("RECHAZADA",K917)))</formula>
    </cfRule>
  </conditionalFormatting>
  <conditionalFormatting sqref="K917">
    <cfRule type="containsText" dxfId="1908" priority="1882" operator="containsText" text="Atendida">
      <formula>NOT(ISERROR(SEARCH("Atendida",K917)))</formula>
    </cfRule>
    <cfRule type="containsText" dxfId="1907" priority="1883" operator="containsText" text="Reasignación">
      <formula>NOT(ISERROR(SEARCH("Reasignación",K917)))</formula>
    </cfRule>
    <cfRule type="containsText" dxfId="1906" priority="1884" operator="containsText" text="RECHAZADA">
      <formula>NOT(ISERROR(SEARCH("RECHAZADA",K917)))</formula>
    </cfRule>
    <cfRule type="containsText" dxfId="1905" priority="1885" operator="containsText" text="Atendida">
      <formula>NOT(ISERROR(SEARCH("Atendida",K917)))</formula>
    </cfRule>
    <cfRule type="containsText" dxfId="1904" priority="1886" operator="containsText" text="Reasignación">
      <formula>NOT(ISERROR(SEARCH("Reasignación",K917)))</formula>
    </cfRule>
    <cfRule type="containsText" dxfId="1903" priority="1887" operator="containsText" text="RECHAZADA">
      <formula>NOT(ISERROR(SEARCH("RECHAZADA",K917)))</formula>
    </cfRule>
    <cfRule type="containsText" dxfId="1902" priority="1888" operator="containsText" text="Atendida">
      <formula>NOT(ISERROR(SEARCH("Atendida",K917)))</formula>
    </cfRule>
    <cfRule type="containsText" dxfId="1901" priority="1889" operator="containsText" text="Reasignación">
      <formula>NOT(ISERROR(SEARCH("Reasignación",K917)))</formula>
    </cfRule>
    <cfRule type="containsText" dxfId="1900" priority="1890" operator="containsText" text="RECHAZADA">
      <formula>NOT(ISERROR(SEARCH("RECHAZADA",K917)))</formula>
    </cfRule>
    <cfRule type="containsText" dxfId="1899" priority="1891" operator="containsText" text="Atendida">
      <formula>NOT(ISERROR(SEARCH("Atendida",K917)))</formula>
    </cfRule>
    <cfRule type="containsText" dxfId="1898" priority="1892" operator="containsText" text="Reasignación">
      <formula>NOT(ISERROR(SEARCH("Reasignación",K917)))</formula>
    </cfRule>
    <cfRule type="containsText" dxfId="1897" priority="1893" operator="containsText" text="RECHAZADA">
      <formula>NOT(ISERROR(SEARCH("RECHAZADA",K917)))</formula>
    </cfRule>
    <cfRule type="containsText" dxfId="1896" priority="1894" operator="containsText" text="Atendida">
      <formula>NOT(ISERROR(SEARCH("Atendida",K917)))</formula>
    </cfRule>
    <cfRule type="containsText" dxfId="1895" priority="1895" operator="containsText" text="Reasignación">
      <formula>NOT(ISERROR(SEARCH("Reasignación",K917)))</formula>
    </cfRule>
    <cfRule type="containsText" dxfId="1894" priority="1896" operator="containsText" text="RECHAZADA">
      <formula>NOT(ISERROR(SEARCH("RECHAZADA",K917)))</formula>
    </cfRule>
    <cfRule type="containsText" dxfId="1893" priority="1897" operator="containsText" text="Atendida">
      <formula>NOT(ISERROR(SEARCH("Atendida",K917)))</formula>
    </cfRule>
    <cfRule type="containsText" dxfId="1892" priority="1898" operator="containsText" text="Reasignación">
      <formula>NOT(ISERROR(SEARCH("Reasignación",K917)))</formula>
    </cfRule>
    <cfRule type="containsText" dxfId="1891" priority="1899" operator="containsText" text="RECHAZADA">
      <formula>NOT(ISERROR(SEARCH("RECHAZADA",K917)))</formula>
    </cfRule>
    <cfRule type="containsText" dxfId="1890" priority="1900" operator="containsText" text="Atendida">
      <formula>NOT(ISERROR(SEARCH("Atendida",K917)))</formula>
    </cfRule>
    <cfRule type="containsText" dxfId="1889" priority="1901" operator="containsText" text="Reasignación">
      <formula>NOT(ISERROR(SEARCH("Reasignación",K917)))</formula>
    </cfRule>
    <cfRule type="containsText" dxfId="1888" priority="1902" operator="containsText" text="RECHAZADA">
      <formula>NOT(ISERROR(SEARCH("RECHAZADA",K917)))</formula>
    </cfRule>
    <cfRule type="containsText" dxfId="1887" priority="1903" operator="containsText" text="Atendida">
      <formula>NOT(ISERROR(SEARCH("Atendida",K917)))</formula>
    </cfRule>
    <cfRule type="containsText" dxfId="1886" priority="1904" operator="containsText" text="Reasignación">
      <formula>NOT(ISERROR(SEARCH("Reasignación",K917)))</formula>
    </cfRule>
    <cfRule type="containsText" dxfId="1885" priority="1905" operator="containsText" text="RECHAZADA">
      <formula>NOT(ISERROR(SEARCH("RECHAZADA",K917)))</formula>
    </cfRule>
    <cfRule type="containsText" dxfId="1884" priority="1906" operator="containsText" text="Atendida">
      <formula>NOT(ISERROR(SEARCH("Atendida",K917)))</formula>
    </cfRule>
    <cfRule type="containsText" dxfId="1883" priority="1907" operator="containsText" text="Reasignación">
      <formula>NOT(ISERROR(SEARCH("Reasignación",K917)))</formula>
    </cfRule>
    <cfRule type="containsText" dxfId="1882" priority="1908" operator="containsText" text="RECHAZADA">
      <formula>NOT(ISERROR(SEARCH("RECHAZADA",K917)))</formula>
    </cfRule>
    <cfRule type="containsText" dxfId="1881" priority="1909" operator="containsText" text="Atendida">
      <formula>NOT(ISERROR(SEARCH("Atendida",K917)))</formula>
    </cfRule>
    <cfRule type="containsText" dxfId="1880" priority="1910" operator="containsText" text="Reasignación">
      <formula>NOT(ISERROR(SEARCH("Reasignación",K917)))</formula>
    </cfRule>
    <cfRule type="containsText" dxfId="1879" priority="1911" operator="containsText" text="RECHAZADA">
      <formula>NOT(ISERROR(SEARCH("RECHAZADA",K917)))</formula>
    </cfRule>
    <cfRule type="containsText" dxfId="1878" priority="1912" operator="containsText" text="Atendida">
      <formula>NOT(ISERROR(SEARCH("Atendida",K917)))</formula>
    </cfRule>
    <cfRule type="containsText" dxfId="1877" priority="1915" operator="containsText" text="Atendida">
      <formula>NOT(ISERROR(SEARCH("Atendida",K917)))</formula>
    </cfRule>
  </conditionalFormatting>
  <conditionalFormatting sqref="K917">
    <cfRule type="containsText" dxfId="1876" priority="1880" operator="containsText" text="Reasignación">
      <formula>NOT(ISERROR(SEARCH("Reasignación",K917)))</formula>
    </cfRule>
    <cfRule type="containsText" dxfId="1875" priority="1881" operator="containsText" text="RECHAZADA">
      <formula>NOT(ISERROR(SEARCH("RECHAZADA",K917)))</formula>
    </cfRule>
  </conditionalFormatting>
  <conditionalFormatting sqref="K918">
    <cfRule type="containsText" dxfId="1874" priority="1877" operator="containsText" text="Reasignación">
      <formula>NOT(ISERROR(SEARCH("Reasignación",K918)))</formula>
    </cfRule>
    <cfRule type="containsText" dxfId="1873" priority="1878" operator="containsText" text="RECHAZADA">
      <formula>NOT(ISERROR(SEARCH("RECHAZADA",K918)))</formula>
    </cfRule>
  </conditionalFormatting>
  <conditionalFormatting sqref="K918">
    <cfRule type="containsText" dxfId="1872" priority="1846" operator="containsText" text="Atendida">
      <formula>NOT(ISERROR(SEARCH("Atendida",K918)))</formula>
    </cfRule>
    <cfRule type="containsText" dxfId="1871" priority="1847" operator="containsText" text="Reasignación">
      <formula>NOT(ISERROR(SEARCH("Reasignación",K918)))</formula>
    </cfRule>
    <cfRule type="containsText" dxfId="1870" priority="1848" operator="containsText" text="RECHAZADA">
      <formula>NOT(ISERROR(SEARCH("RECHAZADA",K918)))</formula>
    </cfRule>
    <cfRule type="containsText" dxfId="1869" priority="1849" operator="containsText" text="Atendida">
      <formula>NOT(ISERROR(SEARCH("Atendida",K918)))</formula>
    </cfRule>
    <cfRule type="containsText" dxfId="1868" priority="1850" operator="containsText" text="Reasignación">
      <formula>NOT(ISERROR(SEARCH("Reasignación",K918)))</formula>
    </cfRule>
    <cfRule type="containsText" dxfId="1867" priority="1851" operator="containsText" text="RECHAZADA">
      <formula>NOT(ISERROR(SEARCH("RECHAZADA",K918)))</formula>
    </cfRule>
    <cfRule type="containsText" dxfId="1866" priority="1852" operator="containsText" text="Atendida">
      <formula>NOT(ISERROR(SEARCH("Atendida",K918)))</formula>
    </cfRule>
    <cfRule type="containsText" dxfId="1865" priority="1853" operator="containsText" text="Reasignación">
      <formula>NOT(ISERROR(SEARCH("Reasignación",K918)))</formula>
    </cfRule>
    <cfRule type="containsText" dxfId="1864" priority="1854" operator="containsText" text="RECHAZADA">
      <formula>NOT(ISERROR(SEARCH("RECHAZADA",K918)))</formula>
    </cfRule>
    <cfRule type="containsText" dxfId="1863" priority="1855" operator="containsText" text="Atendida">
      <formula>NOT(ISERROR(SEARCH("Atendida",K918)))</formula>
    </cfRule>
    <cfRule type="containsText" dxfId="1862" priority="1856" operator="containsText" text="Reasignación">
      <formula>NOT(ISERROR(SEARCH("Reasignación",K918)))</formula>
    </cfRule>
    <cfRule type="containsText" dxfId="1861" priority="1857" operator="containsText" text="RECHAZADA">
      <formula>NOT(ISERROR(SEARCH("RECHAZADA",K918)))</formula>
    </cfRule>
    <cfRule type="containsText" dxfId="1860" priority="1858" operator="containsText" text="Atendida">
      <formula>NOT(ISERROR(SEARCH("Atendida",K918)))</formula>
    </cfRule>
    <cfRule type="containsText" dxfId="1859" priority="1859" operator="containsText" text="Reasignación">
      <formula>NOT(ISERROR(SEARCH("Reasignación",K918)))</formula>
    </cfRule>
    <cfRule type="containsText" dxfId="1858" priority="1860" operator="containsText" text="RECHAZADA">
      <formula>NOT(ISERROR(SEARCH("RECHAZADA",K918)))</formula>
    </cfRule>
    <cfRule type="containsText" dxfId="1857" priority="1861" operator="containsText" text="Atendida">
      <formula>NOT(ISERROR(SEARCH("Atendida",K918)))</formula>
    </cfRule>
    <cfRule type="containsText" dxfId="1856" priority="1862" operator="containsText" text="Reasignación">
      <formula>NOT(ISERROR(SEARCH("Reasignación",K918)))</formula>
    </cfRule>
    <cfRule type="containsText" dxfId="1855" priority="1863" operator="containsText" text="RECHAZADA">
      <formula>NOT(ISERROR(SEARCH("RECHAZADA",K918)))</formula>
    </cfRule>
    <cfRule type="containsText" dxfId="1854" priority="1864" operator="containsText" text="Atendida">
      <formula>NOT(ISERROR(SEARCH("Atendida",K918)))</formula>
    </cfRule>
    <cfRule type="containsText" dxfId="1853" priority="1865" operator="containsText" text="Reasignación">
      <formula>NOT(ISERROR(SEARCH("Reasignación",K918)))</formula>
    </cfRule>
    <cfRule type="containsText" dxfId="1852" priority="1866" operator="containsText" text="RECHAZADA">
      <formula>NOT(ISERROR(SEARCH("RECHAZADA",K918)))</formula>
    </cfRule>
    <cfRule type="containsText" dxfId="1851" priority="1867" operator="containsText" text="Atendida">
      <formula>NOT(ISERROR(SEARCH("Atendida",K918)))</formula>
    </cfRule>
    <cfRule type="containsText" dxfId="1850" priority="1868" operator="containsText" text="Reasignación">
      <formula>NOT(ISERROR(SEARCH("Reasignación",K918)))</formula>
    </cfRule>
    <cfRule type="containsText" dxfId="1849" priority="1869" operator="containsText" text="RECHAZADA">
      <formula>NOT(ISERROR(SEARCH("RECHAZADA",K918)))</formula>
    </cfRule>
    <cfRule type="containsText" dxfId="1848" priority="1870" operator="containsText" text="Atendida">
      <formula>NOT(ISERROR(SEARCH("Atendida",K918)))</formula>
    </cfRule>
    <cfRule type="containsText" dxfId="1847" priority="1871" operator="containsText" text="Reasignación">
      <formula>NOT(ISERROR(SEARCH("Reasignación",K918)))</formula>
    </cfRule>
    <cfRule type="containsText" dxfId="1846" priority="1872" operator="containsText" text="RECHAZADA">
      <formula>NOT(ISERROR(SEARCH("RECHAZADA",K918)))</formula>
    </cfRule>
    <cfRule type="containsText" dxfId="1845" priority="1873" operator="containsText" text="Atendida">
      <formula>NOT(ISERROR(SEARCH("Atendida",K918)))</formula>
    </cfRule>
    <cfRule type="containsText" dxfId="1844" priority="1874" operator="containsText" text="Reasignación">
      <formula>NOT(ISERROR(SEARCH("Reasignación",K918)))</formula>
    </cfRule>
    <cfRule type="containsText" dxfId="1843" priority="1875" operator="containsText" text="RECHAZADA">
      <formula>NOT(ISERROR(SEARCH("RECHAZADA",K918)))</formula>
    </cfRule>
    <cfRule type="containsText" dxfId="1842" priority="1876" operator="containsText" text="Atendida">
      <formula>NOT(ISERROR(SEARCH("Atendida",K918)))</formula>
    </cfRule>
    <cfRule type="containsText" dxfId="1841" priority="1879" operator="containsText" text="Atendida">
      <formula>NOT(ISERROR(SEARCH("Atendida",K918)))</formula>
    </cfRule>
  </conditionalFormatting>
  <conditionalFormatting sqref="K918">
    <cfRule type="containsText" dxfId="1840" priority="1844" operator="containsText" text="Reasignación">
      <formula>NOT(ISERROR(SEARCH("Reasignación",K918)))</formula>
    </cfRule>
    <cfRule type="containsText" dxfId="1839" priority="1845" operator="containsText" text="RECHAZADA">
      <formula>NOT(ISERROR(SEARCH("RECHAZADA",K918)))</formula>
    </cfRule>
  </conditionalFormatting>
  <conditionalFormatting sqref="K919">
    <cfRule type="containsText" dxfId="1838" priority="1841" operator="containsText" text="Reasignación">
      <formula>NOT(ISERROR(SEARCH("Reasignación",K919)))</formula>
    </cfRule>
    <cfRule type="containsText" dxfId="1837" priority="1842" operator="containsText" text="RECHAZADA">
      <formula>NOT(ISERROR(SEARCH("RECHAZADA",K919)))</formula>
    </cfRule>
  </conditionalFormatting>
  <conditionalFormatting sqref="K919">
    <cfRule type="containsText" dxfId="1836" priority="1810" operator="containsText" text="Atendida">
      <formula>NOT(ISERROR(SEARCH("Atendida",K919)))</formula>
    </cfRule>
    <cfRule type="containsText" dxfId="1835" priority="1811" operator="containsText" text="Reasignación">
      <formula>NOT(ISERROR(SEARCH("Reasignación",K919)))</formula>
    </cfRule>
    <cfRule type="containsText" dxfId="1834" priority="1812" operator="containsText" text="RECHAZADA">
      <formula>NOT(ISERROR(SEARCH("RECHAZADA",K919)))</formula>
    </cfRule>
    <cfRule type="containsText" dxfId="1833" priority="1813" operator="containsText" text="Atendida">
      <formula>NOT(ISERROR(SEARCH("Atendida",K919)))</formula>
    </cfRule>
    <cfRule type="containsText" dxfId="1832" priority="1814" operator="containsText" text="Reasignación">
      <formula>NOT(ISERROR(SEARCH("Reasignación",K919)))</formula>
    </cfRule>
    <cfRule type="containsText" dxfId="1831" priority="1815" operator="containsText" text="RECHAZADA">
      <formula>NOT(ISERROR(SEARCH("RECHAZADA",K919)))</formula>
    </cfRule>
    <cfRule type="containsText" dxfId="1830" priority="1816" operator="containsText" text="Atendida">
      <formula>NOT(ISERROR(SEARCH("Atendida",K919)))</formula>
    </cfRule>
    <cfRule type="containsText" dxfId="1829" priority="1817" operator="containsText" text="Reasignación">
      <formula>NOT(ISERROR(SEARCH("Reasignación",K919)))</formula>
    </cfRule>
    <cfRule type="containsText" dxfId="1828" priority="1818" operator="containsText" text="RECHAZADA">
      <formula>NOT(ISERROR(SEARCH("RECHAZADA",K919)))</formula>
    </cfRule>
    <cfRule type="containsText" dxfId="1827" priority="1819" operator="containsText" text="Atendida">
      <formula>NOT(ISERROR(SEARCH("Atendida",K919)))</formula>
    </cfRule>
    <cfRule type="containsText" dxfId="1826" priority="1820" operator="containsText" text="Reasignación">
      <formula>NOT(ISERROR(SEARCH("Reasignación",K919)))</formula>
    </cfRule>
    <cfRule type="containsText" dxfId="1825" priority="1821" operator="containsText" text="RECHAZADA">
      <formula>NOT(ISERROR(SEARCH("RECHAZADA",K919)))</formula>
    </cfRule>
    <cfRule type="containsText" dxfId="1824" priority="1822" operator="containsText" text="Atendida">
      <formula>NOT(ISERROR(SEARCH("Atendida",K919)))</formula>
    </cfRule>
    <cfRule type="containsText" dxfId="1823" priority="1823" operator="containsText" text="Reasignación">
      <formula>NOT(ISERROR(SEARCH("Reasignación",K919)))</formula>
    </cfRule>
    <cfRule type="containsText" dxfId="1822" priority="1824" operator="containsText" text="RECHAZADA">
      <formula>NOT(ISERROR(SEARCH("RECHAZADA",K919)))</formula>
    </cfRule>
    <cfRule type="containsText" dxfId="1821" priority="1825" operator="containsText" text="Atendida">
      <formula>NOT(ISERROR(SEARCH("Atendida",K919)))</formula>
    </cfRule>
    <cfRule type="containsText" dxfId="1820" priority="1826" operator="containsText" text="Reasignación">
      <formula>NOT(ISERROR(SEARCH("Reasignación",K919)))</formula>
    </cfRule>
    <cfRule type="containsText" dxfId="1819" priority="1827" operator="containsText" text="RECHAZADA">
      <formula>NOT(ISERROR(SEARCH("RECHAZADA",K919)))</formula>
    </cfRule>
    <cfRule type="containsText" dxfId="1818" priority="1828" operator="containsText" text="Atendida">
      <formula>NOT(ISERROR(SEARCH("Atendida",K919)))</formula>
    </cfRule>
    <cfRule type="containsText" dxfId="1817" priority="1829" operator="containsText" text="Reasignación">
      <formula>NOT(ISERROR(SEARCH("Reasignación",K919)))</formula>
    </cfRule>
    <cfRule type="containsText" dxfId="1816" priority="1830" operator="containsText" text="RECHAZADA">
      <formula>NOT(ISERROR(SEARCH("RECHAZADA",K919)))</formula>
    </cfRule>
    <cfRule type="containsText" dxfId="1815" priority="1831" operator="containsText" text="Atendida">
      <formula>NOT(ISERROR(SEARCH("Atendida",K919)))</formula>
    </cfRule>
    <cfRule type="containsText" dxfId="1814" priority="1832" operator="containsText" text="Reasignación">
      <formula>NOT(ISERROR(SEARCH("Reasignación",K919)))</formula>
    </cfRule>
    <cfRule type="containsText" dxfId="1813" priority="1833" operator="containsText" text="RECHAZADA">
      <formula>NOT(ISERROR(SEARCH("RECHAZADA",K919)))</formula>
    </cfRule>
    <cfRule type="containsText" dxfId="1812" priority="1834" operator="containsText" text="Atendida">
      <formula>NOT(ISERROR(SEARCH("Atendida",K919)))</formula>
    </cfRule>
    <cfRule type="containsText" dxfId="1811" priority="1835" operator="containsText" text="Reasignación">
      <formula>NOT(ISERROR(SEARCH("Reasignación",K919)))</formula>
    </cfRule>
    <cfRule type="containsText" dxfId="1810" priority="1836" operator="containsText" text="RECHAZADA">
      <formula>NOT(ISERROR(SEARCH("RECHAZADA",K919)))</formula>
    </cfRule>
    <cfRule type="containsText" dxfId="1809" priority="1837" operator="containsText" text="Atendida">
      <formula>NOT(ISERROR(SEARCH("Atendida",K919)))</formula>
    </cfRule>
    <cfRule type="containsText" dxfId="1808" priority="1838" operator="containsText" text="Reasignación">
      <formula>NOT(ISERROR(SEARCH("Reasignación",K919)))</formula>
    </cfRule>
    <cfRule type="containsText" dxfId="1807" priority="1839" operator="containsText" text="RECHAZADA">
      <formula>NOT(ISERROR(SEARCH("RECHAZADA",K919)))</formula>
    </cfRule>
    <cfRule type="containsText" dxfId="1806" priority="1840" operator="containsText" text="Atendida">
      <formula>NOT(ISERROR(SEARCH("Atendida",K919)))</formula>
    </cfRule>
    <cfRule type="containsText" dxfId="1805" priority="1843" operator="containsText" text="Atendida">
      <formula>NOT(ISERROR(SEARCH("Atendida",K919)))</formula>
    </cfRule>
  </conditionalFormatting>
  <conditionalFormatting sqref="K919">
    <cfRule type="containsText" dxfId="1804" priority="1808" operator="containsText" text="Reasignación">
      <formula>NOT(ISERROR(SEARCH("Reasignación",K919)))</formula>
    </cfRule>
    <cfRule type="containsText" dxfId="1803" priority="1809" operator="containsText" text="RECHAZADA">
      <formula>NOT(ISERROR(SEARCH("RECHAZADA",K919)))</formula>
    </cfRule>
  </conditionalFormatting>
  <conditionalFormatting sqref="K920">
    <cfRule type="containsText" dxfId="1802" priority="1805" operator="containsText" text="Reasignación">
      <formula>NOT(ISERROR(SEARCH("Reasignación",K920)))</formula>
    </cfRule>
    <cfRule type="containsText" dxfId="1801" priority="1806" operator="containsText" text="RECHAZADA">
      <formula>NOT(ISERROR(SEARCH("RECHAZADA",K920)))</formula>
    </cfRule>
  </conditionalFormatting>
  <conditionalFormatting sqref="K920">
    <cfRule type="containsText" dxfId="1800" priority="1774" operator="containsText" text="Atendida">
      <formula>NOT(ISERROR(SEARCH("Atendida",K920)))</formula>
    </cfRule>
    <cfRule type="containsText" dxfId="1799" priority="1775" operator="containsText" text="Reasignación">
      <formula>NOT(ISERROR(SEARCH("Reasignación",K920)))</formula>
    </cfRule>
    <cfRule type="containsText" dxfId="1798" priority="1776" operator="containsText" text="RECHAZADA">
      <formula>NOT(ISERROR(SEARCH("RECHAZADA",K920)))</formula>
    </cfRule>
    <cfRule type="containsText" dxfId="1797" priority="1777" operator="containsText" text="Atendida">
      <formula>NOT(ISERROR(SEARCH("Atendida",K920)))</formula>
    </cfRule>
    <cfRule type="containsText" dxfId="1796" priority="1778" operator="containsText" text="Reasignación">
      <formula>NOT(ISERROR(SEARCH("Reasignación",K920)))</formula>
    </cfRule>
    <cfRule type="containsText" dxfId="1795" priority="1779" operator="containsText" text="RECHAZADA">
      <formula>NOT(ISERROR(SEARCH("RECHAZADA",K920)))</formula>
    </cfRule>
    <cfRule type="containsText" dxfId="1794" priority="1780" operator="containsText" text="Atendida">
      <formula>NOT(ISERROR(SEARCH("Atendida",K920)))</formula>
    </cfRule>
    <cfRule type="containsText" dxfId="1793" priority="1781" operator="containsText" text="Reasignación">
      <formula>NOT(ISERROR(SEARCH("Reasignación",K920)))</formula>
    </cfRule>
    <cfRule type="containsText" dxfId="1792" priority="1782" operator="containsText" text="RECHAZADA">
      <formula>NOT(ISERROR(SEARCH("RECHAZADA",K920)))</formula>
    </cfRule>
    <cfRule type="containsText" dxfId="1791" priority="1783" operator="containsText" text="Atendida">
      <formula>NOT(ISERROR(SEARCH("Atendida",K920)))</formula>
    </cfRule>
    <cfRule type="containsText" dxfId="1790" priority="1784" operator="containsText" text="Reasignación">
      <formula>NOT(ISERROR(SEARCH("Reasignación",K920)))</formula>
    </cfRule>
    <cfRule type="containsText" dxfId="1789" priority="1785" operator="containsText" text="RECHAZADA">
      <formula>NOT(ISERROR(SEARCH("RECHAZADA",K920)))</formula>
    </cfRule>
    <cfRule type="containsText" dxfId="1788" priority="1786" operator="containsText" text="Atendida">
      <formula>NOT(ISERROR(SEARCH("Atendida",K920)))</formula>
    </cfRule>
    <cfRule type="containsText" dxfId="1787" priority="1787" operator="containsText" text="Reasignación">
      <formula>NOT(ISERROR(SEARCH("Reasignación",K920)))</formula>
    </cfRule>
    <cfRule type="containsText" dxfId="1786" priority="1788" operator="containsText" text="RECHAZADA">
      <formula>NOT(ISERROR(SEARCH("RECHAZADA",K920)))</formula>
    </cfRule>
    <cfRule type="containsText" dxfId="1785" priority="1789" operator="containsText" text="Atendida">
      <formula>NOT(ISERROR(SEARCH("Atendida",K920)))</formula>
    </cfRule>
    <cfRule type="containsText" dxfId="1784" priority="1790" operator="containsText" text="Reasignación">
      <formula>NOT(ISERROR(SEARCH("Reasignación",K920)))</formula>
    </cfRule>
    <cfRule type="containsText" dxfId="1783" priority="1791" operator="containsText" text="RECHAZADA">
      <formula>NOT(ISERROR(SEARCH("RECHAZADA",K920)))</formula>
    </cfRule>
    <cfRule type="containsText" dxfId="1782" priority="1792" operator="containsText" text="Atendida">
      <formula>NOT(ISERROR(SEARCH("Atendida",K920)))</formula>
    </cfRule>
    <cfRule type="containsText" dxfId="1781" priority="1793" operator="containsText" text="Reasignación">
      <formula>NOT(ISERROR(SEARCH("Reasignación",K920)))</formula>
    </cfRule>
    <cfRule type="containsText" dxfId="1780" priority="1794" operator="containsText" text="RECHAZADA">
      <formula>NOT(ISERROR(SEARCH("RECHAZADA",K920)))</formula>
    </cfRule>
    <cfRule type="containsText" dxfId="1779" priority="1795" operator="containsText" text="Atendida">
      <formula>NOT(ISERROR(SEARCH("Atendida",K920)))</formula>
    </cfRule>
    <cfRule type="containsText" dxfId="1778" priority="1796" operator="containsText" text="Reasignación">
      <formula>NOT(ISERROR(SEARCH("Reasignación",K920)))</formula>
    </cfRule>
    <cfRule type="containsText" dxfId="1777" priority="1797" operator="containsText" text="RECHAZADA">
      <formula>NOT(ISERROR(SEARCH("RECHAZADA",K920)))</formula>
    </cfRule>
    <cfRule type="containsText" dxfId="1776" priority="1798" operator="containsText" text="Atendida">
      <formula>NOT(ISERROR(SEARCH("Atendida",K920)))</formula>
    </cfRule>
    <cfRule type="containsText" dxfId="1775" priority="1799" operator="containsText" text="Reasignación">
      <formula>NOT(ISERROR(SEARCH("Reasignación",K920)))</formula>
    </cfRule>
    <cfRule type="containsText" dxfId="1774" priority="1800" operator="containsText" text="RECHAZADA">
      <formula>NOT(ISERROR(SEARCH("RECHAZADA",K920)))</formula>
    </cfRule>
    <cfRule type="containsText" dxfId="1773" priority="1801" operator="containsText" text="Atendida">
      <formula>NOT(ISERROR(SEARCH("Atendida",K920)))</formula>
    </cfRule>
    <cfRule type="containsText" dxfId="1772" priority="1802" operator="containsText" text="Reasignación">
      <formula>NOT(ISERROR(SEARCH("Reasignación",K920)))</formula>
    </cfRule>
    <cfRule type="containsText" dxfId="1771" priority="1803" operator="containsText" text="RECHAZADA">
      <formula>NOT(ISERROR(SEARCH("RECHAZADA",K920)))</formula>
    </cfRule>
    <cfRule type="containsText" dxfId="1770" priority="1804" operator="containsText" text="Atendida">
      <formula>NOT(ISERROR(SEARCH("Atendida",K920)))</formula>
    </cfRule>
    <cfRule type="containsText" dxfId="1769" priority="1807" operator="containsText" text="Atendida">
      <formula>NOT(ISERROR(SEARCH("Atendida",K920)))</formula>
    </cfRule>
  </conditionalFormatting>
  <conditionalFormatting sqref="K920">
    <cfRule type="containsText" dxfId="1768" priority="1772" operator="containsText" text="Reasignación">
      <formula>NOT(ISERROR(SEARCH("Reasignación",K920)))</formula>
    </cfRule>
    <cfRule type="containsText" dxfId="1767" priority="1773" operator="containsText" text="RECHAZADA">
      <formula>NOT(ISERROR(SEARCH("RECHAZADA",K920)))</formula>
    </cfRule>
  </conditionalFormatting>
  <conditionalFormatting sqref="E1267:E1277 E1260:E1265">
    <cfRule type="duplicateValues" dxfId="1766" priority="1771"/>
  </conditionalFormatting>
  <conditionalFormatting sqref="B1275:B1277 B1267:B1273 B1263:B1265">
    <cfRule type="duplicateValues" dxfId="1765" priority="1770"/>
  </conditionalFormatting>
  <conditionalFormatting sqref="E1266">
    <cfRule type="duplicateValues" dxfId="1764" priority="1769"/>
  </conditionalFormatting>
  <conditionalFormatting sqref="B1274">
    <cfRule type="duplicateValues" dxfId="1763" priority="1768"/>
  </conditionalFormatting>
  <conditionalFormatting sqref="K1260">
    <cfRule type="containsText" dxfId="1762" priority="1765" operator="containsText" text="Reasignación">
      <formula>NOT(ISERROR(SEARCH("Reasignación",K1260)))</formula>
    </cfRule>
    <cfRule type="containsText" dxfId="1761" priority="1766" operator="containsText" text="RECHAZADA">
      <formula>NOT(ISERROR(SEARCH("RECHAZADA",K1260)))</formula>
    </cfRule>
  </conditionalFormatting>
  <conditionalFormatting sqref="K1260">
    <cfRule type="containsText" dxfId="1760" priority="1734" operator="containsText" text="Atendida">
      <formula>NOT(ISERROR(SEARCH("Atendida",K1260)))</formula>
    </cfRule>
    <cfRule type="containsText" dxfId="1759" priority="1735" operator="containsText" text="Reasignación">
      <formula>NOT(ISERROR(SEARCH("Reasignación",K1260)))</formula>
    </cfRule>
    <cfRule type="containsText" dxfId="1758" priority="1736" operator="containsText" text="RECHAZADA">
      <formula>NOT(ISERROR(SEARCH("RECHAZADA",K1260)))</formula>
    </cfRule>
    <cfRule type="containsText" dxfId="1757" priority="1737" operator="containsText" text="Atendida">
      <formula>NOT(ISERROR(SEARCH("Atendida",K1260)))</formula>
    </cfRule>
    <cfRule type="containsText" dxfId="1756" priority="1738" operator="containsText" text="Reasignación">
      <formula>NOT(ISERROR(SEARCH("Reasignación",K1260)))</formula>
    </cfRule>
    <cfRule type="containsText" dxfId="1755" priority="1739" operator="containsText" text="RECHAZADA">
      <formula>NOT(ISERROR(SEARCH("RECHAZADA",K1260)))</formula>
    </cfRule>
    <cfRule type="containsText" dxfId="1754" priority="1740" operator="containsText" text="Atendida">
      <formula>NOT(ISERROR(SEARCH("Atendida",K1260)))</formula>
    </cfRule>
    <cfRule type="containsText" dxfId="1753" priority="1741" operator="containsText" text="Reasignación">
      <formula>NOT(ISERROR(SEARCH("Reasignación",K1260)))</formula>
    </cfRule>
    <cfRule type="containsText" dxfId="1752" priority="1742" operator="containsText" text="RECHAZADA">
      <formula>NOT(ISERROR(SEARCH("RECHAZADA",K1260)))</formula>
    </cfRule>
    <cfRule type="containsText" dxfId="1751" priority="1743" operator="containsText" text="Atendida">
      <formula>NOT(ISERROR(SEARCH("Atendida",K1260)))</formula>
    </cfRule>
    <cfRule type="containsText" dxfId="1750" priority="1744" operator="containsText" text="Reasignación">
      <formula>NOT(ISERROR(SEARCH("Reasignación",K1260)))</formula>
    </cfRule>
    <cfRule type="containsText" dxfId="1749" priority="1745" operator="containsText" text="RECHAZADA">
      <formula>NOT(ISERROR(SEARCH("RECHAZADA",K1260)))</formula>
    </cfRule>
    <cfRule type="containsText" dxfId="1748" priority="1746" operator="containsText" text="Atendida">
      <formula>NOT(ISERROR(SEARCH("Atendida",K1260)))</formula>
    </cfRule>
    <cfRule type="containsText" dxfId="1747" priority="1747" operator="containsText" text="Reasignación">
      <formula>NOT(ISERROR(SEARCH("Reasignación",K1260)))</formula>
    </cfRule>
    <cfRule type="containsText" dxfId="1746" priority="1748" operator="containsText" text="RECHAZADA">
      <formula>NOT(ISERROR(SEARCH("RECHAZADA",K1260)))</formula>
    </cfRule>
    <cfRule type="containsText" dxfId="1745" priority="1749" operator="containsText" text="Atendida">
      <formula>NOT(ISERROR(SEARCH("Atendida",K1260)))</formula>
    </cfRule>
    <cfRule type="containsText" dxfId="1744" priority="1750" operator="containsText" text="Reasignación">
      <formula>NOT(ISERROR(SEARCH("Reasignación",K1260)))</formula>
    </cfRule>
    <cfRule type="containsText" dxfId="1743" priority="1751" operator="containsText" text="RECHAZADA">
      <formula>NOT(ISERROR(SEARCH("RECHAZADA",K1260)))</formula>
    </cfRule>
    <cfRule type="containsText" dxfId="1742" priority="1752" operator="containsText" text="Atendida">
      <formula>NOT(ISERROR(SEARCH("Atendida",K1260)))</formula>
    </cfRule>
    <cfRule type="containsText" dxfId="1741" priority="1753" operator="containsText" text="Reasignación">
      <formula>NOT(ISERROR(SEARCH("Reasignación",K1260)))</formula>
    </cfRule>
    <cfRule type="containsText" dxfId="1740" priority="1754" operator="containsText" text="RECHAZADA">
      <formula>NOT(ISERROR(SEARCH("RECHAZADA",K1260)))</formula>
    </cfRule>
    <cfRule type="containsText" dxfId="1739" priority="1755" operator="containsText" text="Atendida">
      <formula>NOT(ISERROR(SEARCH("Atendida",K1260)))</formula>
    </cfRule>
    <cfRule type="containsText" dxfId="1738" priority="1756" operator="containsText" text="Reasignación">
      <formula>NOT(ISERROR(SEARCH("Reasignación",K1260)))</formula>
    </cfRule>
    <cfRule type="containsText" dxfId="1737" priority="1757" operator="containsText" text="RECHAZADA">
      <formula>NOT(ISERROR(SEARCH("RECHAZADA",K1260)))</formula>
    </cfRule>
    <cfRule type="containsText" dxfId="1736" priority="1758" operator="containsText" text="Atendida">
      <formula>NOT(ISERROR(SEARCH("Atendida",K1260)))</formula>
    </cfRule>
    <cfRule type="containsText" dxfId="1735" priority="1759" operator="containsText" text="Reasignación">
      <formula>NOT(ISERROR(SEARCH("Reasignación",K1260)))</formula>
    </cfRule>
    <cfRule type="containsText" dxfId="1734" priority="1760" operator="containsText" text="RECHAZADA">
      <formula>NOT(ISERROR(SEARCH("RECHAZADA",K1260)))</formula>
    </cfRule>
    <cfRule type="containsText" dxfId="1733" priority="1761" operator="containsText" text="Atendida">
      <formula>NOT(ISERROR(SEARCH("Atendida",K1260)))</formula>
    </cfRule>
    <cfRule type="containsText" dxfId="1732" priority="1762" operator="containsText" text="Reasignación">
      <formula>NOT(ISERROR(SEARCH("Reasignación",K1260)))</formula>
    </cfRule>
    <cfRule type="containsText" dxfId="1731" priority="1763" operator="containsText" text="RECHAZADA">
      <formula>NOT(ISERROR(SEARCH("RECHAZADA",K1260)))</formula>
    </cfRule>
    <cfRule type="containsText" dxfId="1730" priority="1764" operator="containsText" text="Atendida">
      <formula>NOT(ISERROR(SEARCH("Atendida",K1260)))</formula>
    </cfRule>
    <cfRule type="containsText" dxfId="1729" priority="1767" operator="containsText" text="Atendida">
      <formula>NOT(ISERROR(SEARCH("Atendida",K1260)))</formula>
    </cfRule>
  </conditionalFormatting>
  <conditionalFormatting sqref="K1260">
    <cfRule type="containsText" dxfId="1728" priority="1732" operator="containsText" text="Reasignación">
      <formula>NOT(ISERROR(SEARCH("Reasignación",K1260)))</formula>
    </cfRule>
    <cfRule type="containsText" dxfId="1727" priority="1733" operator="containsText" text="RECHAZADA">
      <formula>NOT(ISERROR(SEARCH("RECHAZADA",K1260)))</formula>
    </cfRule>
  </conditionalFormatting>
  <conditionalFormatting sqref="K1261">
    <cfRule type="containsText" dxfId="1726" priority="1729" operator="containsText" text="Reasignación">
      <formula>NOT(ISERROR(SEARCH("Reasignación",K1261)))</formula>
    </cfRule>
    <cfRule type="containsText" dxfId="1725" priority="1730" operator="containsText" text="RECHAZADA">
      <formula>NOT(ISERROR(SEARCH("RECHAZADA",K1261)))</formula>
    </cfRule>
  </conditionalFormatting>
  <conditionalFormatting sqref="K1261">
    <cfRule type="containsText" dxfId="1724" priority="1698" operator="containsText" text="Atendida">
      <formula>NOT(ISERROR(SEARCH("Atendida",K1261)))</formula>
    </cfRule>
    <cfRule type="containsText" dxfId="1723" priority="1699" operator="containsText" text="Reasignación">
      <formula>NOT(ISERROR(SEARCH("Reasignación",K1261)))</formula>
    </cfRule>
    <cfRule type="containsText" dxfId="1722" priority="1700" operator="containsText" text="RECHAZADA">
      <formula>NOT(ISERROR(SEARCH("RECHAZADA",K1261)))</formula>
    </cfRule>
    <cfRule type="containsText" dxfId="1721" priority="1701" operator="containsText" text="Atendida">
      <formula>NOT(ISERROR(SEARCH("Atendida",K1261)))</formula>
    </cfRule>
    <cfRule type="containsText" dxfId="1720" priority="1702" operator="containsText" text="Reasignación">
      <formula>NOT(ISERROR(SEARCH("Reasignación",K1261)))</formula>
    </cfRule>
    <cfRule type="containsText" dxfId="1719" priority="1703" operator="containsText" text="RECHAZADA">
      <formula>NOT(ISERROR(SEARCH("RECHAZADA",K1261)))</formula>
    </cfRule>
    <cfRule type="containsText" dxfId="1718" priority="1704" operator="containsText" text="Atendida">
      <formula>NOT(ISERROR(SEARCH("Atendida",K1261)))</formula>
    </cfRule>
    <cfRule type="containsText" dxfId="1717" priority="1705" operator="containsText" text="Reasignación">
      <formula>NOT(ISERROR(SEARCH("Reasignación",K1261)))</formula>
    </cfRule>
    <cfRule type="containsText" dxfId="1716" priority="1706" operator="containsText" text="RECHAZADA">
      <formula>NOT(ISERROR(SEARCH("RECHAZADA",K1261)))</formula>
    </cfRule>
    <cfRule type="containsText" dxfId="1715" priority="1707" operator="containsText" text="Atendida">
      <formula>NOT(ISERROR(SEARCH("Atendida",K1261)))</formula>
    </cfRule>
    <cfRule type="containsText" dxfId="1714" priority="1708" operator="containsText" text="Reasignación">
      <formula>NOT(ISERROR(SEARCH("Reasignación",K1261)))</formula>
    </cfRule>
    <cfRule type="containsText" dxfId="1713" priority="1709" operator="containsText" text="RECHAZADA">
      <formula>NOT(ISERROR(SEARCH("RECHAZADA",K1261)))</formula>
    </cfRule>
    <cfRule type="containsText" dxfId="1712" priority="1710" operator="containsText" text="Atendida">
      <formula>NOT(ISERROR(SEARCH("Atendida",K1261)))</formula>
    </cfRule>
    <cfRule type="containsText" dxfId="1711" priority="1711" operator="containsText" text="Reasignación">
      <formula>NOT(ISERROR(SEARCH("Reasignación",K1261)))</formula>
    </cfRule>
    <cfRule type="containsText" dxfId="1710" priority="1712" operator="containsText" text="RECHAZADA">
      <formula>NOT(ISERROR(SEARCH("RECHAZADA",K1261)))</formula>
    </cfRule>
    <cfRule type="containsText" dxfId="1709" priority="1713" operator="containsText" text="Atendida">
      <formula>NOT(ISERROR(SEARCH("Atendida",K1261)))</formula>
    </cfRule>
    <cfRule type="containsText" dxfId="1708" priority="1714" operator="containsText" text="Reasignación">
      <formula>NOT(ISERROR(SEARCH("Reasignación",K1261)))</formula>
    </cfRule>
    <cfRule type="containsText" dxfId="1707" priority="1715" operator="containsText" text="RECHAZADA">
      <formula>NOT(ISERROR(SEARCH("RECHAZADA",K1261)))</formula>
    </cfRule>
    <cfRule type="containsText" dxfId="1706" priority="1716" operator="containsText" text="Atendida">
      <formula>NOT(ISERROR(SEARCH("Atendida",K1261)))</formula>
    </cfRule>
    <cfRule type="containsText" dxfId="1705" priority="1717" operator="containsText" text="Reasignación">
      <formula>NOT(ISERROR(SEARCH("Reasignación",K1261)))</formula>
    </cfRule>
    <cfRule type="containsText" dxfId="1704" priority="1718" operator="containsText" text="RECHAZADA">
      <formula>NOT(ISERROR(SEARCH("RECHAZADA",K1261)))</formula>
    </cfRule>
    <cfRule type="containsText" dxfId="1703" priority="1719" operator="containsText" text="Atendida">
      <formula>NOT(ISERROR(SEARCH("Atendida",K1261)))</formula>
    </cfRule>
    <cfRule type="containsText" dxfId="1702" priority="1720" operator="containsText" text="Reasignación">
      <formula>NOT(ISERROR(SEARCH("Reasignación",K1261)))</formula>
    </cfRule>
    <cfRule type="containsText" dxfId="1701" priority="1721" operator="containsText" text="RECHAZADA">
      <formula>NOT(ISERROR(SEARCH("RECHAZADA",K1261)))</formula>
    </cfRule>
    <cfRule type="containsText" dxfId="1700" priority="1722" operator="containsText" text="Atendida">
      <formula>NOT(ISERROR(SEARCH("Atendida",K1261)))</formula>
    </cfRule>
    <cfRule type="containsText" dxfId="1699" priority="1723" operator="containsText" text="Reasignación">
      <formula>NOT(ISERROR(SEARCH("Reasignación",K1261)))</formula>
    </cfRule>
    <cfRule type="containsText" dxfId="1698" priority="1724" operator="containsText" text="RECHAZADA">
      <formula>NOT(ISERROR(SEARCH("RECHAZADA",K1261)))</formula>
    </cfRule>
    <cfRule type="containsText" dxfId="1697" priority="1725" operator="containsText" text="Atendida">
      <formula>NOT(ISERROR(SEARCH("Atendida",K1261)))</formula>
    </cfRule>
    <cfRule type="containsText" dxfId="1696" priority="1726" operator="containsText" text="Reasignación">
      <formula>NOT(ISERROR(SEARCH("Reasignación",K1261)))</formula>
    </cfRule>
    <cfRule type="containsText" dxfId="1695" priority="1727" operator="containsText" text="RECHAZADA">
      <formula>NOT(ISERROR(SEARCH("RECHAZADA",K1261)))</formula>
    </cfRule>
    <cfRule type="containsText" dxfId="1694" priority="1728" operator="containsText" text="Atendida">
      <formula>NOT(ISERROR(SEARCH("Atendida",K1261)))</formula>
    </cfRule>
    <cfRule type="containsText" dxfId="1693" priority="1731" operator="containsText" text="Atendida">
      <formula>NOT(ISERROR(SEARCH("Atendida",K1261)))</formula>
    </cfRule>
  </conditionalFormatting>
  <conditionalFormatting sqref="K1261">
    <cfRule type="containsText" dxfId="1692" priority="1696" operator="containsText" text="Reasignación">
      <formula>NOT(ISERROR(SEARCH("Reasignación",K1261)))</formula>
    </cfRule>
    <cfRule type="containsText" dxfId="1691" priority="1697" operator="containsText" text="RECHAZADA">
      <formula>NOT(ISERROR(SEARCH("RECHAZADA",K1261)))</formula>
    </cfRule>
  </conditionalFormatting>
  <conditionalFormatting sqref="K1262">
    <cfRule type="containsText" dxfId="1690" priority="1693" operator="containsText" text="Reasignación">
      <formula>NOT(ISERROR(SEARCH("Reasignación",K1262)))</formula>
    </cfRule>
    <cfRule type="containsText" dxfId="1689" priority="1694" operator="containsText" text="RECHAZADA">
      <formula>NOT(ISERROR(SEARCH("RECHAZADA",K1262)))</formula>
    </cfRule>
  </conditionalFormatting>
  <conditionalFormatting sqref="K1262">
    <cfRule type="containsText" dxfId="1688" priority="1662" operator="containsText" text="Atendida">
      <formula>NOT(ISERROR(SEARCH("Atendida",K1262)))</formula>
    </cfRule>
    <cfRule type="containsText" dxfId="1687" priority="1663" operator="containsText" text="Reasignación">
      <formula>NOT(ISERROR(SEARCH("Reasignación",K1262)))</formula>
    </cfRule>
    <cfRule type="containsText" dxfId="1686" priority="1664" operator="containsText" text="RECHAZADA">
      <formula>NOT(ISERROR(SEARCH("RECHAZADA",K1262)))</formula>
    </cfRule>
    <cfRule type="containsText" dxfId="1685" priority="1665" operator="containsText" text="Atendida">
      <formula>NOT(ISERROR(SEARCH("Atendida",K1262)))</formula>
    </cfRule>
    <cfRule type="containsText" dxfId="1684" priority="1666" operator="containsText" text="Reasignación">
      <formula>NOT(ISERROR(SEARCH("Reasignación",K1262)))</formula>
    </cfRule>
    <cfRule type="containsText" dxfId="1683" priority="1667" operator="containsText" text="RECHAZADA">
      <formula>NOT(ISERROR(SEARCH("RECHAZADA",K1262)))</formula>
    </cfRule>
    <cfRule type="containsText" dxfId="1682" priority="1668" operator="containsText" text="Atendida">
      <formula>NOT(ISERROR(SEARCH("Atendida",K1262)))</formula>
    </cfRule>
    <cfRule type="containsText" dxfId="1681" priority="1669" operator="containsText" text="Reasignación">
      <formula>NOT(ISERROR(SEARCH("Reasignación",K1262)))</formula>
    </cfRule>
    <cfRule type="containsText" dxfId="1680" priority="1670" operator="containsText" text="RECHAZADA">
      <formula>NOT(ISERROR(SEARCH("RECHAZADA",K1262)))</formula>
    </cfRule>
    <cfRule type="containsText" dxfId="1679" priority="1671" operator="containsText" text="Atendida">
      <formula>NOT(ISERROR(SEARCH("Atendida",K1262)))</formula>
    </cfRule>
    <cfRule type="containsText" dxfId="1678" priority="1672" operator="containsText" text="Reasignación">
      <formula>NOT(ISERROR(SEARCH("Reasignación",K1262)))</formula>
    </cfRule>
    <cfRule type="containsText" dxfId="1677" priority="1673" operator="containsText" text="RECHAZADA">
      <formula>NOT(ISERROR(SEARCH("RECHAZADA",K1262)))</formula>
    </cfRule>
    <cfRule type="containsText" dxfId="1676" priority="1674" operator="containsText" text="Atendida">
      <formula>NOT(ISERROR(SEARCH("Atendida",K1262)))</formula>
    </cfRule>
    <cfRule type="containsText" dxfId="1675" priority="1675" operator="containsText" text="Reasignación">
      <formula>NOT(ISERROR(SEARCH("Reasignación",K1262)))</formula>
    </cfRule>
    <cfRule type="containsText" dxfId="1674" priority="1676" operator="containsText" text="RECHAZADA">
      <formula>NOT(ISERROR(SEARCH("RECHAZADA",K1262)))</formula>
    </cfRule>
    <cfRule type="containsText" dxfId="1673" priority="1677" operator="containsText" text="Atendida">
      <formula>NOT(ISERROR(SEARCH("Atendida",K1262)))</formula>
    </cfRule>
    <cfRule type="containsText" dxfId="1672" priority="1678" operator="containsText" text="Reasignación">
      <formula>NOT(ISERROR(SEARCH("Reasignación",K1262)))</formula>
    </cfRule>
    <cfRule type="containsText" dxfId="1671" priority="1679" operator="containsText" text="RECHAZADA">
      <formula>NOT(ISERROR(SEARCH("RECHAZADA",K1262)))</formula>
    </cfRule>
    <cfRule type="containsText" dxfId="1670" priority="1680" operator="containsText" text="Atendida">
      <formula>NOT(ISERROR(SEARCH("Atendida",K1262)))</formula>
    </cfRule>
    <cfRule type="containsText" dxfId="1669" priority="1681" operator="containsText" text="Reasignación">
      <formula>NOT(ISERROR(SEARCH("Reasignación",K1262)))</formula>
    </cfRule>
    <cfRule type="containsText" dxfId="1668" priority="1682" operator="containsText" text="RECHAZADA">
      <formula>NOT(ISERROR(SEARCH("RECHAZADA",K1262)))</formula>
    </cfRule>
    <cfRule type="containsText" dxfId="1667" priority="1683" operator="containsText" text="Atendida">
      <formula>NOT(ISERROR(SEARCH("Atendida",K1262)))</formula>
    </cfRule>
    <cfRule type="containsText" dxfId="1666" priority="1684" operator="containsText" text="Reasignación">
      <formula>NOT(ISERROR(SEARCH("Reasignación",K1262)))</formula>
    </cfRule>
    <cfRule type="containsText" dxfId="1665" priority="1685" operator="containsText" text="RECHAZADA">
      <formula>NOT(ISERROR(SEARCH("RECHAZADA",K1262)))</formula>
    </cfRule>
    <cfRule type="containsText" dxfId="1664" priority="1686" operator="containsText" text="Atendida">
      <formula>NOT(ISERROR(SEARCH("Atendida",K1262)))</formula>
    </cfRule>
    <cfRule type="containsText" dxfId="1663" priority="1687" operator="containsText" text="Reasignación">
      <formula>NOT(ISERROR(SEARCH("Reasignación",K1262)))</formula>
    </cfRule>
    <cfRule type="containsText" dxfId="1662" priority="1688" operator="containsText" text="RECHAZADA">
      <formula>NOT(ISERROR(SEARCH("RECHAZADA",K1262)))</formula>
    </cfRule>
    <cfRule type="containsText" dxfId="1661" priority="1689" operator="containsText" text="Atendida">
      <formula>NOT(ISERROR(SEARCH("Atendida",K1262)))</formula>
    </cfRule>
    <cfRule type="containsText" dxfId="1660" priority="1690" operator="containsText" text="Reasignación">
      <formula>NOT(ISERROR(SEARCH("Reasignación",K1262)))</formula>
    </cfRule>
    <cfRule type="containsText" dxfId="1659" priority="1691" operator="containsText" text="RECHAZADA">
      <formula>NOT(ISERROR(SEARCH("RECHAZADA",K1262)))</formula>
    </cfRule>
    <cfRule type="containsText" dxfId="1658" priority="1692" operator="containsText" text="Atendida">
      <formula>NOT(ISERROR(SEARCH("Atendida",K1262)))</formula>
    </cfRule>
    <cfRule type="containsText" dxfId="1657" priority="1695" operator="containsText" text="Atendida">
      <formula>NOT(ISERROR(SEARCH("Atendida",K1262)))</formula>
    </cfRule>
  </conditionalFormatting>
  <conditionalFormatting sqref="K1262">
    <cfRule type="containsText" dxfId="1656" priority="1660" operator="containsText" text="Reasignación">
      <formula>NOT(ISERROR(SEARCH("Reasignación",K1262)))</formula>
    </cfRule>
    <cfRule type="containsText" dxfId="1655" priority="1661" operator="containsText" text="RECHAZADA">
      <formula>NOT(ISERROR(SEARCH("RECHAZADA",K1262)))</formula>
    </cfRule>
  </conditionalFormatting>
  <conditionalFormatting sqref="K1263">
    <cfRule type="containsText" dxfId="1654" priority="1657" operator="containsText" text="Reasignación">
      <formula>NOT(ISERROR(SEARCH("Reasignación",K1263)))</formula>
    </cfRule>
    <cfRule type="containsText" dxfId="1653" priority="1658" operator="containsText" text="RECHAZADA">
      <formula>NOT(ISERROR(SEARCH("RECHAZADA",K1263)))</formula>
    </cfRule>
  </conditionalFormatting>
  <conditionalFormatting sqref="K1263">
    <cfRule type="containsText" dxfId="1652" priority="1626" operator="containsText" text="Atendida">
      <formula>NOT(ISERROR(SEARCH("Atendida",K1263)))</formula>
    </cfRule>
    <cfRule type="containsText" dxfId="1651" priority="1627" operator="containsText" text="Reasignación">
      <formula>NOT(ISERROR(SEARCH("Reasignación",K1263)))</formula>
    </cfRule>
    <cfRule type="containsText" dxfId="1650" priority="1628" operator="containsText" text="RECHAZADA">
      <formula>NOT(ISERROR(SEARCH("RECHAZADA",K1263)))</formula>
    </cfRule>
    <cfRule type="containsText" dxfId="1649" priority="1629" operator="containsText" text="Atendida">
      <formula>NOT(ISERROR(SEARCH("Atendida",K1263)))</formula>
    </cfRule>
    <cfRule type="containsText" dxfId="1648" priority="1630" operator="containsText" text="Reasignación">
      <formula>NOT(ISERROR(SEARCH("Reasignación",K1263)))</formula>
    </cfRule>
    <cfRule type="containsText" dxfId="1647" priority="1631" operator="containsText" text="RECHAZADA">
      <formula>NOT(ISERROR(SEARCH("RECHAZADA",K1263)))</formula>
    </cfRule>
    <cfRule type="containsText" dxfId="1646" priority="1632" operator="containsText" text="Atendida">
      <formula>NOT(ISERROR(SEARCH("Atendida",K1263)))</formula>
    </cfRule>
    <cfRule type="containsText" dxfId="1645" priority="1633" operator="containsText" text="Reasignación">
      <formula>NOT(ISERROR(SEARCH("Reasignación",K1263)))</formula>
    </cfRule>
    <cfRule type="containsText" dxfId="1644" priority="1634" operator="containsText" text="RECHAZADA">
      <formula>NOT(ISERROR(SEARCH("RECHAZADA",K1263)))</formula>
    </cfRule>
    <cfRule type="containsText" dxfId="1643" priority="1635" operator="containsText" text="Atendida">
      <formula>NOT(ISERROR(SEARCH("Atendida",K1263)))</formula>
    </cfRule>
    <cfRule type="containsText" dxfId="1642" priority="1636" operator="containsText" text="Reasignación">
      <formula>NOT(ISERROR(SEARCH("Reasignación",K1263)))</formula>
    </cfRule>
    <cfRule type="containsText" dxfId="1641" priority="1637" operator="containsText" text="RECHAZADA">
      <formula>NOT(ISERROR(SEARCH("RECHAZADA",K1263)))</formula>
    </cfRule>
    <cfRule type="containsText" dxfId="1640" priority="1638" operator="containsText" text="Atendida">
      <formula>NOT(ISERROR(SEARCH("Atendida",K1263)))</formula>
    </cfRule>
    <cfRule type="containsText" dxfId="1639" priority="1639" operator="containsText" text="Reasignación">
      <formula>NOT(ISERROR(SEARCH("Reasignación",K1263)))</formula>
    </cfRule>
    <cfRule type="containsText" dxfId="1638" priority="1640" operator="containsText" text="RECHAZADA">
      <formula>NOT(ISERROR(SEARCH("RECHAZADA",K1263)))</formula>
    </cfRule>
    <cfRule type="containsText" dxfId="1637" priority="1641" operator="containsText" text="Atendida">
      <formula>NOT(ISERROR(SEARCH("Atendida",K1263)))</formula>
    </cfRule>
    <cfRule type="containsText" dxfId="1636" priority="1642" operator="containsText" text="Reasignación">
      <formula>NOT(ISERROR(SEARCH("Reasignación",K1263)))</formula>
    </cfRule>
    <cfRule type="containsText" dxfId="1635" priority="1643" operator="containsText" text="RECHAZADA">
      <formula>NOT(ISERROR(SEARCH("RECHAZADA",K1263)))</formula>
    </cfRule>
    <cfRule type="containsText" dxfId="1634" priority="1644" operator="containsText" text="Atendida">
      <formula>NOT(ISERROR(SEARCH("Atendida",K1263)))</formula>
    </cfRule>
    <cfRule type="containsText" dxfId="1633" priority="1645" operator="containsText" text="Reasignación">
      <formula>NOT(ISERROR(SEARCH("Reasignación",K1263)))</formula>
    </cfRule>
    <cfRule type="containsText" dxfId="1632" priority="1646" operator="containsText" text="RECHAZADA">
      <formula>NOT(ISERROR(SEARCH("RECHAZADA",K1263)))</formula>
    </cfRule>
    <cfRule type="containsText" dxfId="1631" priority="1647" operator="containsText" text="Atendida">
      <formula>NOT(ISERROR(SEARCH("Atendida",K1263)))</formula>
    </cfRule>
    <cfRule type="containsText" dxfId="1630" priority="1648" operator="containsText" text="Reasignación">
      <formula>NOT(ISERROR(SEARCH("Reasignación",K1263)))</formula>
    </cfRule>
    <cfRule type="containsText" dxfId="1629" priority="1649" operator="containsText" text="RECHAZADA">
      <formula>NOT(ISERROR(SEARCH("RECHAZADA",K1263)))</formula>
    </cfRule>
    <cfRule type="containsText" dxfId="1628" priority="1650" operator="containsText" text="Atendida">
      <formula>NOT(ISERROR(SEARCH("Atendida",K1263)))</formula>
    </cfRule>
    <cfRule type="containsText" dxfId="1627" priority="1651" operator="containsText" text="Reasignación">
      <formula>NOT(ISERROR(SEARCH("Reasignación",K1263)))</formula>
    </cfRule>
    <cfRule type="containsText" dxfId="1626" priority="1652" operator="containsText" text="RECHAZADA">
      <formula>NOT(ISERROR(SEARCH("RECHAZADA",K1263)))</formula>
    </cfRule>
    <cfRule type="containsText" dxfId="1625" priority="1653" operator="containsText" text="Atendida">
      <formula>NOT(ISERROR(SEARCH("Atendida",K1263)))</formula>
    </cfRule>
    <cfRule type="containsText" dxfId="1624" priority="1654" operator="containsText" text="Reasignación">
      <formula>NOT(ISERROR(SEARCH("Reasignación",K1263)))</formula>
    </cfRule>
    <cfRule type="containsText" dxfId="1623" priority="1655" operator="containsText" text="RECHAZADA">
      <formula>NOT(ISERROR(SEARCH("RECHAZADA",K1263)))</formula>
    </cfRule>
    <cfRule type="containsText" dxfId="1622" priority="1656" operator="containsText" text="Atendida">
      <formula>NOT(ISERROR(SEARCH("Atendida",K1263)))</formula>
    </cfRule>
    <cfRule type="containsText" dxfId="1621" priority="1659" operator="containsText" text="Atendida">
      <formula>NOT(ISERROR(SEARCH("Atendida",K1263)))</formula>
    </cfRule>
  </conditionalFormatting>
  <conditionalFormatting sqref="K1263">
    <cfRule type="containsText" dxfId="1620" priority="1624" operator="containsText" text="Reasignación">
      <formula>NOT(ISERROR(SEARCH("Reasignación",K1263)))</formula>
    </cfRule>
    <cfRule type="containsText" dxfId="1619" priority="1625" operator="containsText" text="RECHAZADA">
      <formula>NOT(ISERROR(SEARCH("RECHAZADA",K1263)))</formula>
    </cfRule>
  </conditionalFormatting>
  <conditionalFormatting sqref="K1264">
    <cfRule type="containsText" dxfId="1618" priority="1621" operator="containsText" text="Reasignación">
      <formula>NOT(ISERROR(SEARCH("Reasignación",K1264)))</formula>
    </cfRule>
    <cfRule type="containsText" dxfId="1617" priority="1622" operator="containsText" text="RECHAZADA">
      <formula>NOT(ISERROR(SEARCH("RECHAZADA",K1264)))</formula>
    </cfRule>
  </conditionalFormatting>
  <conditionalFormatting sqref="K1264">
    <cfRule type="containsText" dxfId="1616" priority="1590" operator="containsText" text="Atendida">
      <formula>NOT(ISERROR(SEARCH("Atendida",K1264)))</formula>
    </cfRule>
    <cfRule type="containsText" dxfId="1615" priority="1591" operator="containsText" text="Reasignación">
      <formula>NOT(ISERROR(SEARCH("Reasignación",K1264)))</formula>
    </cfRule>
    <cfRule type="containsText" dxfId="1614" priority="1592" operator="containsText" text="RECHAZADA">
      <formula>NOT(ISERROR(SEARCH("RECHAZADA",K1264)))</formula>
    </cfRule>
    <cfRule type="containsText" dxfId="1613" priority="1593" operator="containsText" text="Atendida">
      <formula>NOT(ISERROR(SEARCH("Atendida",K1264)))</formula>
    </cfRule>
    <cfRule type="containsText" dxfId="1612" priority="1594" operator="containsText" text="Reasignación">
      <formula>NOT(ISERROR(SEARCH("Reasignación",K1264)))</formula>
    </cfRule>
    <cfRule type="containsText" dxfId="1611" priority="1595" operator="containsText" text="RECHAZADA">
      <formula>NOT(ISERROR(SEARCH("RECHAZADA",K1264)))</formula>
    </cfRule>
    <cfRule type="containsText" dxfId="1610" priority="1596" operator="containsText" text="Atendida">
      <formula>NOT(ISERROR(SEARCH("Atendida",K1264)))</formula>
    </cfRule>
    <cfRule type="containsText" dxfId="1609" priority="1597" operator="containsText" text="Reasignación">
      <formula>NOT(ISERROR(SEARCH("Reasignación",K1264)))</formula>
    </cfRule>
    <cfRule type="containsText" dxfId="1608" priority="1598" operator="containsText" text="RECHAZADA">
      <formula>NOT(ISERROR(SEARCH("RECHAZADA",K1264)))</formula>
    </cfRule>
    <cfRule type="containsText" dxfId="1607" priority="1599" operator="containsText" text="Atendida">
      <formula>NOT(ISERROR(SEARCH("Atendida",K1264)))</formula>
    </cfRule>
    <cfRule type="containsText" dxfId="1606" priority="1600" operator="containsText" text="Reasignación">
      <formula>NOT(ISERROR(SEARCH("Reasignación",K1264)))</formula>
    </cfRule>
    <cfRule type="containsText" dxfId="1605" priority="1601" operator="containsText" text="RECHAZADA">
      <formula>NOT(ISERROR(SEARCH("RECHAZADA",K1264)))</formula>
    </cfRule>
    <cfRule type="containsText" dxfId="1604" priority="1602" operator="containsText" text="Atendida">
      <formula>NOT(ISERROR(SEARCH("Atendida",K1264)))</formula>
    </cfRule>
    <cfRule type="containsText" dxfId="1603" priority="1603" operator="containsText" text="Reasignación">
      <formula>NOT(ISERROR(SEARCH("Reasignación",K1264)))</formula>
    </cfRule>
    <cfRule type="containsText" dxfId="1602" priority="1604" operator="containsText" text="RECHAZADA">
      <formula>NOT(ISERROR(SEARCH("RECHAZADA",K1264)))</formula>
    </cfRule>
    <cfRule type="containsText" dxfId="1601" priority="1605" operator="containsText" text="Atendida">
      <formula>NOT(ISERROR(SEARCH("Atendida",K1264)))</formula>
    </cfRule>
    <cfRule type="containsText" dxfId="1600" priority="1606" operator="containsText" text="Reasignación">
      <formula>NOT(ISERROR(SEARCH("Reasignación",K1264)))</formula>
    </cfRule>
    <cfRule type="containsText" dxfId="1599" priority="1607" operator="containsText" text="RECHAZADA">
      <formula>NOT(ISERROR(SEARCH("RECHAZADA",K1264)))</formula>
    </cfRule>
    <cfRule type="containsText" dxfId="1598" priority="1608" operator="containsText" text="Atendida">
      <formula>NOT(ISERROR(SEARCH("Atendida",K1264)))</formula>
    </cfRule>
    <cfRule type="containsText" dxfId="1597" priority="1609" operator="containsText" text="Reasignación">
      <formula>NOT(ISERROR(SEARCH("Reasignación",K1264)))</formula>
    </cfRule>
    <cfRule type="containsText" dxfId="1596" priority="1610" operator="containsText" text="RECHAZADA">
      <formula>NOT(ISERROR(SEARCH("RECHAZADA",K1264)))</formula>
    </cfRule>
    <cfRule type="containsText" dxfId="1595" priority="1611" operator="containsText" text="Atendida">
      <formula>NOT(ISERROR(SEARCH("Atendida",K1264)))</formula>
    </cfRule>
    <cfRule type="containsText" dxfId="1594" priority="1612" operator="containsText" text="Reasignación">
      <formula>NOT(ISERROR(SEARCH("Reasignación",K1264)))</formula>
    </cfRule>
    <cfRule type="containsText" dxfId="1593" priority="1613" operator="containsText" text="RECHAZADA">
      <formula>NOT(ISERROR(SEARCH("RECHAZADA",K1264)))</formula>
    </cfRule>
    <cfRule type="containsText" dxfId="1592" priority="1614" operator="containsText" text="Atendida">
      <formula>NOT(ISERROR(SEARCH("Atendida",K1264)))</formula>
    </cfRule>
    <cfRule type="containsText" dxfId="1591" priority="1615" operator="containsText" text="Reasignación">
      <formula>NOT(ISERROR(SEARCH("Reasignación",K1264)))</formula>
    </cfRule>
    <cfRule type="containsText" dxfId="1590" priority="1616" operator="containsText" text="RECHAZADA">
      <formula>NOT(ISERROR(SEARCH("RECHAZADA",K1264)))</formula>
    </cfRule>
    <cfRule type="containsText" dxfId="1589" priority="1617" operator="containsText" text="Atendida">
      <formula>NOT(ISERROR(SEARCH("Atendida",K1264)))</formula>
    </cfRule>
    <cfRule type="containsText" dxfId="1588" priority="1618" operator="containsText" text="Reasignación">
      <formula>NOT(ISERROR(SEARCH("Reasignación",K1264)))</formula>
    </cfRule>
    <cfRule type="containsText" dxfId="1587" priority="1619" operator="containsText" text="RECHAZADA">
      <formula>NOT(ISERROR(SEARCH("RECHAZADA",K1264)))</formula>
    </cfRule>
    <cfRule type="containsText" dxfId="1586" priority="1620" operator="containsText" text="Atendida">
      <formula>NOT(ISERROR(SEARCH("Atendida",K1264)))</formula>
    </cfRule>
    <cfRule type="containsText" dxfId="1585" priority="1623" operator="containsText" text="Atendida">
      <formula>NOT(ISERROR(SEARCH("Atendida",K1264)))</formula>
    </cfRule>
  </conditionalFormatting>
  <conditionalFormatting sqref="K1264">
    <cfRule type="containsText" dxfId="1584" priority="1588" operator="containsText" text="Reasignación">
      <formula>NOT(ISERROR(SEARCH("Reasignación",K1264)))</formula>
    </cfRule>
    <cfRule type="containsText" dxfId="1583" priority="1589" operator="containsText" text="RECHAZADA">
      <formula>NOT(ISERROR(SEARCH("RECHAZADA",K1264)))</formula>
    </cfRule>
  </conditionalFormatting>
  <conditionalFormatting sqref="K1265">
    <cfRule type="containsText" dxfId="1582" priority="1585" operator="containsText" text="Reasignación">
      <formula>NOT(ISERROR(SEARCH("Reasignación",K1265)))</formula>
    </cfRule>
    <cfRule type="containsText" dxfId="1581" priority="1586" operator="containsText" text="RECHAZADA">
      <formula>NOT(ISERROR(SEARCH("RECHAZADA",K1265)))</formula>
    </cfRule>
  </conditionalFormatting>
  <conditionalFormatting sqref="K1265">
    <cfRule type="containsText" dxfId="1580" priority="1554" operator="containsText" text="Atendida">
      <formula>NOT(ISERROR(SEARCH("Atendida",K1265)))</formula>
    </cfRule>
    <cfRule type="containsText" dxfId="1579" priority="1555" operator="containsText" text="Reasignación">
      <formula>NOT(ISERROR(SEARCH("Reasignación",K1265)))</formula>
    </cfRule>
    <cfRule type="containsText" dxfId="1578" priority="1556" operator="containsText" text="RECHAZADA">
      <formula>NOT(ISERROR(SEARCH("RECHAZADA",K1265)))</formula>
    </cfRule>
    <cfRule type="containsText" dxfId="1577" priority="1557" operator="containsText" text="Atendida">
      <formula>NOT(ISERROR(SEARCH("Atendida",K1265)))</formula>
    </cfRule>
    <cfRule type="containsText" dxfId="1576" priority="1558" operator="containsText" text="Reasignación">
      <formula>NOT(ISERROR(SEARCH("Reasignación",K1265)))</formula>
    </cfRule>
    <cfRule type="containsText" dxfId="1575" priority="1559" operator="containsText" text="RECHAZADA">
      <formula>NOT(ISERROR(SEARCH("RECHAZADA",K1265)))</formula>
    </cfRule>
    <cfRule type="containsText" dxfId="1574" priority="1560" operator="containsText" text="Atendida">
      <formula>NOT(ISERROR(SEARCH("Atendida",K1265)))</formula>
    </cfRule>
    <cfRule type="containsText" dxfId="1573" priority="1561" operator="containsText" text="Reasignación">
      <formula>NOT(ISERROR(SEARCH("Reasignación",K1265)))</formula>
    </cfRule>
    <cfRule type="containsText" dxfId="1572" priority="1562" operator="containsText" text="RECHAZADA">
      <formula>NOT(ISERROR(SEARCH("RECHAZADA",K1265)))</formula>
    </cfRule>
    <cfRule type="containsText" dxfId="1571" priority="1563" operator="containsText" text="Atendida">
      <formula>NOT(ISERROR(SEARCH("Atendida",K1265)))</formula>
    </cfRule>
    <cfRule type="containsText" dxfId="1570" priority="1564" operator="containsText" text="Reasignación">
      <formula>NOT(ISERROR(SEARCH("Reasignación",K1265)))</formula>
    </cfRule>
    <cfRule type="containsText" dxfId="1569" priority="1565" operator="containsText" text="RECHAZADA">
      <formula>NOT(ISERROR(SEARCH("RECHAZADA",K1265)))</formula>
    </cfRule>
    <cfRule type="containsText" dxfId="1568" priority="1566" operator="containsText" text="Atendida">
      <formula>NOT(ISERROR(SEARCH("Atendida",K1265)))</formula>
    </cfRule>
    <cfRule type="containsText" dxfId="1567" priority="1567" operator="containsText" text="Reasignación">
      <formula>NOT(ISERROR(SEARCH("Reasignación",K1265)))</formula>
    </cfRule>
    <cfRule type="containsText" dxfId="1566" priority="1568" operator="containsText" text="RECHAZADA">
      <formula>NOT(ISERROR(SEARCH("RECHAZADA",K1265)))</formula>
    </cfRule>
    <cfRule type="containsText" dxfId="1565" priority="1569" operator="containsText" text="Atendida">
      <formula>NOT(ISERROR(SEARCH("Atendida",K1265)))</formula>
    </cfRule>
    <cfRule type="containsText" dxfId="1564" priority="1570" operator="containsText" text="Reasignación">
      <formula>NOT(ISERROR(SEARCH("Reasignación",K1265)))</formula>
    </cfRule>
    <cfRule type="containsText" dxfId="1563" priority="1571" operator="containsText" text="RECHAZADA">
      <formula>NOT(ISERROR(SEARCH("RECHAZADA",K1265)))</formula>
    </cfRule>
    <cfRule type="containsText" dxfId="1562" priority="1572" operator="containsText" text="Atendida">
      <formula>NOT(ISERROR(SEARCH("Atendida",K1265)))</formula>
    </cfRule>
    <cfRule type="containsText" dxfId="1561" priority="1573" operator="containsText" text="Reasignación">
      <formula>NOT(ISERROR(SEARCH("Reasignación",K1265)))</formula>
    </cfRule>
    <cfRule type="containsText" dxfId="1560" priority="1574" operator="containsText" text="RECHAZADA">
      <formula>NOT(ISERROR(SEARCH("RECHAZADA",K1265)))</formula>
    </cfRule>
    <cfRule type="containsText" dxfId="1559" priority="1575" operator="containsText" text="Atendida">
      <formula>NOT(ISERROR(SEARCH("Atendida",K1265)))</formula>
    </cfRule>
    <cfRule type="containsText" dxfId="1558" priority="1576" operator="containsText" text="Reasignación">
      <formula>NOT(ISERROR(SEARCH("Reasignación",K1265)))</formula>
    </cfRule>
    <cfRule type="containsText" dxfId="1557" priority="1577" operator="containsText" text="RECHAZADA">
      <formula>NOT(ISERROR(SEARCH("RECHAZADA",K1265)))</formula>
    </cfRule>
    <cfRule type="containsText" dxfId="1556" priority="1578" operator="containsText" text="Atendida">
      <formula>NOT(ISERROR(SEARCH("Atendida",K1265)))</formula>
    </cfRule>
    <cfRule type="containsText" dxfId="1555" priority="1579" operator="containsText" text="Reasignación">
      <formula>NOT(ISERROR(SEARCH("Reasignación",K1265)))</formula>
    </cfRule>
    <cfRule type="containsText" dxfId="1554" priority="1580" operator="containsText" text="RECHAZADA">
      <formula>NOT(ISERROR(SEARCH("RECHAZADA",K1265)))</formula>
    </cfRule>
    <cfRule type="containsText" dxfId="1553" priority="1581" operator="containsText" text="Atendida">
      <formula>NOT(ISERROR(SEARCH("Atendida",K1265)))</formula>
    </cfRule>
    <cfRule type="containsText" dxfId="1552" priority="1582" operator="containsText" text="Reasignación">
      <formula>NOT(ISERROR(SEARCH("Reasignación",K1265)))</formula>
    </cfRule>
    <cfRule type="containsText" dxfId="1551" priority="1583" operator="containsText" text="RECHAZADA">
      <formula>NOT(ISERROR(SEARCH("RECHAZADA",K1265)))</formula>
    </cfRule>
    <cfRule type="containsText" dxfId="1550" priority="1584" operator="containsText" text="Atendida">
      <formula>NOT(ISERROR(SEARCH("Atendida",K1265)))</formula>
    </cfRule>
    <cfRule type="containsText" dxfId="1549" priority="1587" operator="containsText" text="Atendida">
      <formula>NOT(ISERROR(SEARCH("Atendida",K1265)))</formula>
    </cfRule>
  </conditionalFormatting>
  <conditionalFormatting sqref="K1265">
    <cfRule type="containsText" dxfId="1548" priority="1552" operator="containsText" text="Reasignación">
      <formula>NOT(ISERROR(SEARCH("Reasignación",K1265)))</formula>
    </cfRule>
    <cfRule type="containsText" dxfId="1547" priority="1553" operator="containsText" text="RECHAZADA">
      <formula>NOT(ISERROR(SEARCH("RECHAZADA",K1265)))</formula>
    </cfRule>
  </conditionalFormatting>
  <conditionalFormatting sqref="K1266">
    <cfRule type="containsText" dxfId="1546" priority="1549" operator="containsText" text="Reasignación">
      <formula>NOT(ISERROR(SEARCH("Reasignación",K1266)))</formula>
    </cfRule>
    <cfRule type="containsText" dxfId="1545" priority="1550" operator="containsText" text="RECHAZADA">
      <formula>NOT(ISERROR(SEARCH("RECHAZADA",K1266)))</formula>
    </cfRule>
  </conditionalFormatting>
  <conditionalFormatting sqref="K1266">
    <cfRule type="containsText" dxfId="1544" priority="1518" operator="containsText" text="Atendida">
      <formula>NOT(ISERROR(SEARCH("Atendida",K1266)))</formula>
    </cfRule>
    <cfRule type="containsText" dxfId="1543" priority="1519" operator="containsText" text="Reasignación">
      <formula>NOT(ISERROR(SEARCH("Reasignación",K1266)))</formula>
    </cfRule>
    <cfRule type="containsText" dxfId="1542" priority="1520" operator="containsText" text="RECHAZADA">
      <formula>NOT(ISERROR(SEARCH("RECHAZADA",K1266)))</formula>
    </cfRule>
    <cfRule type="containsText" dxfId="1541" priority="1521" operator="containsText" text="Atendida">
      <formula>NOT(ISERROR(SEARCH("Atendida",K1266)))</formula>
    </cfRule>
    <cfRule type="containsText" dxfId="1540" priority="1522" operator="containsText" text="Reasignación">
      <formula>NOT(ISERROR(SEARCH("Reasignación",K1266)))</formula>
    </cfRule>
    <cfRule type="containsText" dxfId="1539" priority="1523" operator="containsText" text="RECHAZADA">
      <formula>NOT(ISERROR(SEARCH("RECHAZADA",K1266)))</formula>
    </cfRule>
    <cfRule type="containsText" dxfId="1538" priority="1524" operator="containsText" text="Atendida">
      <formula>NOT(ISERROR(SEARCH("Atendida",K1266)))</formula>
    </cfRule>
    <cfRule type="containsText" dxfId="1537" priority="1525" operator="containsText" text="Reasignación">
      <formula>NOT(ISERROR(SEARCH("Reasignación",K1266)))</formula>
    </cfRule>
    <cfRule type="containsText" dxfId="1536" priority="1526" operator="containsText" text="RECHAZADA">
      <formula>NOT(ISERROR(SEARCH("RECHAZADA",K1266)))</formula>
    </cfRule>
    <cfRule type="containsText" dxfId="1535" priority="1527" operator="containsText" text="Atendida">
      <formula>NOT(ISERROR(SEARCH("Atendida",K1266)))</formula>
    </cfRule>
    <cfRule type="containsText" dxfId="1534" priority="1528" operator="containsText" text="Reasignación">
      <formula>NOT(ISERROR(SEARCH("Reasignación",K1266)))</formula>
    </cfRule>
    <cfRule type="containsText" dxfId="1533" priority="1529" operator="containsText" text="RECHAZADA">
      <formula>NOT(ISERROR(SEARCH("RECHAZADA",K1266)))</formula>
    </cfRule>
    <cfRule type="containsText" dxfId="1532" priority="1530" operator="containsText" text="Atendida">
      <formula>NOT(ISERROR(SEARCH("Atendida",K1266)))</formula>
    </cfRule>
    <cfRule type="containsText" dxfId="1531" priority="1531" operator="containsText" text="Reasignación">
      <formula>NOT(ISERROR(SEARCH("Reasignación",K1266)))</formula>
    </cfRule>
    <cfRule type="containsText" dxfId="1530" priority="1532" operator="containsText" text="RECHAZADA">
      <formula>NOT(ISERROR(SEARCH("RECHAZADA",K1266)))</formula>
    </cfRule>
    <cfRule type="containsText" dxfId="1529" priority="1533" operator="containsText" text="Atendida">
      <formula>NOT(ISERROR(SEARCH("Atendida",K1266)))</formula>
    </cfRule>
    <cfRule type="containsText" dxfId="1528" priority="1534" operator="containsText" text="Reasignación">
      <formula>NOT(ISERROR(SEARCH("Reasignación",K1266)))</formula>
    </cfRule>
    <cfRule type="containsText" dxfId="1527" priority="1535" operator="containsText" text="RECHAZADA">
      <formula>NOT(ISERROR(SEARCH("RECHAZADA",K1266)))</formula>
    </cfRule>
    <cfRule type="containsText" dxfId="1526" priority="1536" operator="containsText" text="Atendida">
      <formula>NOT(ISERROR(SEARCH("Atendida",K1266)))</formula>
    </cfRule>
    <cfRule type="containsText" dxfId="1525" priority="1537" operator="containsText" text="Reasignación">
      <formula>NOT(ISERROR(SEARCH("Reasignación",K1266)))</formula>
    </cfRule>
    <cfRule type="containsText" dxfId="1524" priority="1538" operator="containsText" text="RECHAZADA">
      <formula>NOT(ISERROR(SEARCH("RECHAZADA",K1266)))</formula>
    </cfRule>
    <cfRule type="containsText" dxfId="1523" priority="1539" operator="containsText" text="Atendida">
      <formula>NOT(ISERROR(SEARCH("Atendida",K1266)))</formula>
    </cfRule>
    <cfRule type="containsText" dxfId="1522" priority="1540" operator="containsText" text="Reasignación">
      <formula>NOT(ISERROR(SEARCH("Reasignación",K1266)))</formula>
    </cfRule>
    <cfRule type="containsText" dxfId="1521" priority="1541" operator="containsText" text="RECHAZADA">
      <formula>NOT(ISERROR(SEARCH("RECHAZADA",K1266)))</formula>
    </cfRule>
    <cfRule type="containsText" dxfId="1520" priority="1542" operator="containsText" text="Atendida">
      <formula>NOT(ISERROR(SEARCH("Atendida",K1266)))</formula>
    </cfRule>
    <cfRule type="containsText" dxfId="1519" priority="1543" operator="containsText" text="Reasignación">
      <formula>NOT(ISERROR(SEARCH("Reasignación",K1266)))</formula>
    </cfRule>
    <cfRule type="containsText" dxfId="1518" priority="1544" operator="containsText" text="RECHAZADA">
      <formula>NOT(ISERROR(SEARCH("RECHAZADA",K1266)))</formula>
    </cfRule>
    <cfRule type="containsText" dxfId="1517" priority="1545" operator="containsText" text="Atendida">
      <formula>NOT(ISERROR(SEARCH("Atendida",K1266)))</formula>
    </cfRule>
    <cfRule type="containsText" dxfId="1516" priority="1546" operator="containsText" text="Reasignación">
      <formula>NOT(ISERROR(SEARCH("Reasignación",K1266)))</formula>
    </cfRule>
    <cfRule type="containsText" dxfId="1515" priority="1547" operator="containsText" text="RECHAZADA">
      <formula>NOT(ISERROR(SEARCH("RECHAZADA",K1266)))</formula>
    </cfRule>
    <cfRule type="containsText" dxfId="1514" priority="1548" operator="containsText" text="Atendida">
      <formula>NOT(ISERROR(SEARCH("Atendida",K1266)))</formula>
    </cfRule>
    <cfRule type="containsText" dxfId="1513" priority="1551" operator="containsText" text="Atendida">
      <formula>NOT(ISERROR(SEARCH("Atendida",K1266)))</formula>
    </cfRule>
  </conditionalFormatting>
  <conditionalFormatting sqref="K1266">
    <cfRule type="containsText" dxfId="1512" priority="1516" operator="containsText" text="Reasignación">
      <formula>NOT(ISERROR(SEARCH("Reasignación",K1266)))</formula>
    </cfRule>
    <cfRule type="containsText" dxfId="1511" priority="1517" operator="containsText" text="RECHAZADA">
      <formula>NOT(ISERROR(SEARCH("RECHAZADA",K1266)))</formula>
    </cfRule>
  </conditionalFormatting>
  <conditionalFormatting sqref="K1267">
    <cfRule type="containsText" dxfId="1510" priority="1513" operator="containsText" text="Reasignación">
      <formula>NOT(ISERROR(SEARCH("Reasignación",K1267)))</formula>
    </cfRule>
    <cfRule type="containsText" dxfId="1509" priority="1514" operator="containsText" text="RECHAZADA">
      <formula>NOT(ISERROR(SEARCH("RECHAZADA",K1267)))</formula>
    </cfRule>
  </conditionalFormatting>
  <conditionalFormatting sqref="K1267">
    <cfRule type="containsText" dxfId="1508" priority="1482" operator="containsText" text="Atendida">
      <formula>NOT(ISERROR(SEARCH("Atendida",K1267)))</formula>
    </cfRule>
    <cfRule type="containsText" dxfId="1507" priority="1483" operator="containsText" text="Reasignación">
      <formula>NOT(ISERROR(SEARCH("Reasignación",K1267)))</formula>
    </cfRule>
    <cfRule type="containsText" dxfId="1506" priority="1484" operator="containsText" text="RECHAZADA">
      <formula>NOT(ISERROR(SEARCH("RECHAZADA",K1267)))</formula>
    </cfRule>
    <cfRule type="containsText" dxfId="1505" priority="1485" operator="containsText" text="Atendida">
      <formula>NOT(ISERROR(SEARCH("Atendida",K1267)))</formula>
    </cfRule>
    <cfRule type="containsText" dxfId="1504" priority="1486" operator="containsText" text="Reasignación">
      <formula>NOT(ISERROR(SEARCH("Reasignación",K1267)))</formula>
    </cfRule>
    <cfRule type="containsText" dxfId="1503" priority="1487" operator="containsText" text="RECHAZADA">
      <formula>NOT(ISERROR(SEARCH("RECHAZADA",K1267)))</formula>
    </cfRule>
    <cfRule type="containsText" dxfId="1502" priority="1488" operator="containsText" text="Atendida">
      <formula>NOT(ISERROR(SEARCH("Atendida",K1267)))</formula>
    </cfRule>
    <cfRule type="containsText" dxfId="1501" priority="1489" operator="containsText" text="Reasignación">
      <formula>NOT(ISERROR(SEARCH("Reasignación",K1267)))</formula>
    </cfRule>
    <cfRule type="containsText" dxfId="1500" priority="1490" operator="containsText" text="RECHAZADA">
      <formula>NOT(ISERROR(SEARCH("RECHAZADA",K1267)))</formula>
    </cfRule>
    <cfRule type="containsText" dxfId="1499" priority="1491" operator="containsText" text="Atendida">
      <formula>NOT(ISERROR(SEARCH("Atendida",K1267)))</formula>
    </cfRule>
    <cfRule type="containsText" dxfId="1498" priority="1492" operator="containsText" text="Reasignación">
      <formula>NOT(ISERROR(SEARCH("Reasignación",K1267)))</formula>
    </cfRule>
    <cfRule type="containsText" dxfId="1497" priority="1493" operator="containsText" text="RECHAZADA">
      <formula>NOT(ISERROR(SEARCH("RECHAZADA",K1267)))</formula>
    </cfRule>
    <cfRule type="containsText" dxfId="1496" priority="1494" operator="containsText" text="Atendida">
      <formula>NOT(ISERROR(SEARCH("Atendida",K1267)))</formula>
    </cfRule>
    <cfRule type="containsText" dxfId="1495" priority="1495" operator="containsText" text="Reasignación">
      <formula>NOT(ISERROR(SEARCH("Reasignación",K1267)))</formula>
    </cfRule>
    <cfRule type="containsText" dxfId="1494" priority="1496" operator="containsText" text="RECHAZADA">
      <formula>NOT(ISERROR(SEARCH("RECHAZADA",K1267)))</formula>
    </cfRule>
    <cfRule type="containsText" dxfId="1493" priority="1497" operator="containsText" text="Atendida">
      <formula>NOT(ISERROR(SEARCH("Atendida",K1267)))</formula>
    </cfRule>
    <cfRule type="containsText" dxfId="1492" priority="1498" operator="containsText" text="Reasignación">
      <formula>NOT(ISERROR(SEARCH("Reasignación",K1267)))</formula>
    </cfRule>
    <cfRule type="containsText" dxfId="1491" priority="1499" operator="containsText" text="RECHAZADA">
      <formula>NOT(ISERROR(SEARCH("RECHAZADA",K1267)))</formula>
    </cfRule>
    <cfRule type="containsText" dxfId="1490" priority="1500" operator="containsText" text="Atendida">
      <formula>NOT(ISERROR(SEARCH("Atendida",K1267)))</formula>
    </cfRule>
    <cfRule type="containsText" dxfId="1489" priority="1501" operator="containsText" text="Reasignación">
      <formula>NOT(ISERROR(SEARCH("Reasignación",K1267)))</formula>
    </cfRule>
    <cfRule type="containsText" dxfId="1488" priority="1502" operator="containsText" text="RECHAZADA">
      <formula>NOT(ISERROR(SEARCH("RECHAZADA",K1267)))</formula>
    </cfRule>
    <cfRule type="containsText" dxfId="1487" priority="1503" operator="containsText" text="Atendida">
      <formula>NOT(ISERROR(SEARCH("Atendida",K1267)))</formula>
    </cfRule>
    <cfRule type="containsText" dxfId="1486" priority="1504" operator="containsText" text="Reasignación">
      <formula>NOT(ISERROR(SEARCH("Reasignación",K1267)))</formula>
    </cfRule>
    <cfRule type="containsText" dxfId="1485" priority="1505" operator="containsText" text="RECHAZADA">
      <formula>NOT(ISERROR(SEARCH("RECHAZADA",K1267)))</formula>
    </cfRule>
    <cfRule type="containsText" dxfId="1484" priority="1506" operator="containsText" text="Atendida">
      <formula>NOT(ISERROR(SEARCH("Atendida",K1267)))</formula>
    </cfRule>
    <cfRule type="containsText" dxfId="1483" priority="1507" operator="containsText" text="Reasignación">
      <formula>NOT(ISERROR(SEARCH("Reasignación",K1267)))</formula>
    </cfRule>
    <cfRule type="containsText" dxfId="1482" priority="1508" operator="containsText" text="RECHAZADA">
      <formula>NOT(ISERROR(SEARCH("RECHAZADA",K1267)))</formula>
    </cfRule>
    <cfRule type="containsText" dxfId="1481" priority="1509" operator="containsText" text="Atendida">
      <formula>NOT(ISERROR(SEARCH("Atendida",K1267)))</formula>
    </cfRule>
    <cfRule type="containsText" dxfId="1480" priority="1510" operator="containsText" text="Reasignación">
      <formula>NOT(ISERROR(SEARCH("Reasignación",K1267)))</formula>
    </cfRule>
    <cfRule type="containsText" dxfId="1479" priority="1511" operator="containsText" text="RECHAZADA">
      <formula>NOT(ISERROR(SEARCH("RECHAZADA",K1267)))</formula>
    </cfRule>
    <cfRule type="containsText" dxfId="1478" priority="1512" operator="containsText" text="Atendida">
      <formula>NOT(ISERROR(SEARCH("Atendida",K1267)))</formula>
    </cfRule>
    <cfRule type="containsText" dxfId="1477" priority="1515" operator="containsText" text="Atendida">
      <formula>NOT(ISERROR(SEARCH("Atendida",K1267)))</formula>
    </cfRule>
  </conditionalFormatting>
  <conditionalFormatting sqref="K1267">
    <cfRule type="containsText" dxfId="1476" priority="1480" operator="containsText" text="Reasignación">
      <formula>NOT(ISERROR(SEARCH("Reasignación",K1267)))</formula>
    </cfRule>
    <cfRule type="containsText" dxfId="1475" priority="1481" operator="containsText" text="RECHAZADA">
      <formula>NOT(ISERROR(SEARCH("RECHAZADA",K1267)))</formula>
    </cfRule>
  </conditionalFormatting>
  <conditionalFormatting sqref="K1268">
    <cfRule type="containsText" dxfId="1474" priority="1477" operator="containsText" text="Reasignación">
      <formula>NOT(ISERROR(SEARCH("Reasignación",K1268)))</formula>
    </cfRule>
    <cfRule type="containsText" dxfId="1473" priority="1478" operator="containsText" text="RECHAZADA">
      <formula>NOT(ISERROR(SEARCH("RECHAZADA",K1268)))</formula>
    </cfRule>
  </conditionalFormatting>
  <conditionalFormatting sqref="K1268">
    <cfRule type="containsText" dxfId="1472" priority="1446" operator="containsText" text="Atendida">
      <formula>NOT(ISERROR(SEARCH("Atendida",K1268)))</formula>
    </cfRule>
    <cfRule type="containsText" dxfId="1471" priority="1447" operator="containsText" text="Reasignación">
      <formula>NOT(ISERROR(SEARCH("Reasignación",K1268)))</formula>
    </cfRule>
    <cfRule type="containsText" dxfId="1470" priority="1448" operator="containsText" text="RECHAZADA">
      <formula>NOT(ISERROR(SEARCH("RECHAZADA",K1268)))</formula>
    </cfRule>
    <cfRule type="containsText" dxfId="1469" priority="1449" operator="containsText" text="Atendida">
      <formula>NOT(ISERROR(SEARCH("Atendida",K1268)))</formula>
    </cfRule>
    <cfRule type="containsText" dxfId="1468" priority="1450" operator="containsText" text="Reasignación">
      <formula>NOT(ISERROR(SEARCH("Reasignación",K1268)))</formula>
    </cfRule>
    <cfRule type="containsText" dxfId="1467" priority="1451" operator="containsText" text="RECHAZADA">
      <formula>NOT(ISERROR(SEARCH("RECHAZADA",K1268)))</formula>
    </cfRule>
    <cfRule type="containsText" dxfId="1466" priority="1452" operator="containsText" text="Atendida">
      <formula>NOT(ISERROR(SEARCH("Atendida",K1268)))</formula>
    </cfRule>
    <cfRule type="containsText" dxfId="1465" priority="1453" operator="containsText" text="Reasignación">
      <formula>NOT(ISERROR(SEARCH("Reasignación",K1268)))</formula>
    </cfRule>
    <cfRule type="containsText" dxfId="1464" priority="1454" operator="containsText" text="RECHAZADA">
      <formula>NOT(ISERROR(SEARCH("RECHAZADA",K1268)))</formula>
    </cfRule>
    <cfRule type="containsText" dxfId="1463" priority="1455" operator="containsText" text="Atendida">
      <formula>NOT(ISERROR(SEARCH("Atendida",K1268)))</formula>
    </cfRule>
    <cfRule type="containsText" dxfId="1462" priority="1456" operator="containsText" text="Reasignación">
      <formula>NOT(ISERROR(SEARCH("Reasignación",K1268)))</formula>
    </cfRule>
    <cfRule type="containsText" dxfId="1461" priority="1457" operator="containsText" text="RECHAZADA">
      <formula>NOT(ISERROR(SEARCH("RECHAZADA",K1268)))</formula>
    </cfRule>
    <cfRule type="containsText" dxfId="1460" priority="1458" operator="containsText" text="Atendida">
      <formula>NOT(ISERROR(SEARCH("Atendida",K1268)))</formula>
    </cfRule>
    <cfRule type="containsText" dxfId="1459" priority="1459" operator="containsText" text="Reasignación">
      <formula>NOT(ISERROR(SEARCH("Reasignación",K1268)))</formula>
    </cfRule>
    <cfRule type="containsText" dxfId="1458" priority="1460" operator="containsText" text="RECHAZADA">
      <formula>NOT(ISERROR(SEARCH("RECHAZADA",K1268)))</formula>
    </cfRule>
    <cfRule type="containsText" dxfId="1457" priority="1461" operator="containsText" text="Atendida">
      <formula>NOT(ISERROR(SEARCH("Atendida",K1268)))</formula>
    </cfRule>
    <cfRule type="containsText" dxfId="1456" priority="1462" operator="containsText" text="Reasignación">
      <formula>NOT(ISERROR(SEARCH("Reasignación",K1268)))</formula>
    </cfRule>
    <cfRule type="containsText" dxfId="1455" priority="1463" operator="containsText" text="RECHAZADA">
      <formula>NOT(ISERROR(SEARCH("RECHAZADA",K1268)))</formula>
    </cfRule>
    <cfRule type="containsText" dxfId="1454" priority="1464" operator="containsText" text="Atendida">
      <formula>NOT(ISERROR(SEARCH("Atendida",K1268)))</formula>
    </cfRule>
    <cfRule type="containsText" dxfId="1453" priority="1465" operator="containsText" text="Reasignación">
      <formula>NOT(ISERROR(SEARCH("Reasignación",K1268)))</formula>
    </cfRule>
    <cfRule type="containsText" dxfId="1452" priority="1466" operator="containsText" text="RECHAZADA">
      <formula>NOT(ISERROR(SEARCH("RECHAZADA",K1268)))</formula>
    </cfRule>
    <cfRule type="containsText" dxfId="1451" priority="1467" operator="containsText" text="Atendida">
      <formula>NOT(ISERROR(SEARCH("Atendida",K1268)))</formula>
    </cfRule>
    <cfRule type="containsText" dxfId="1450" priority="1468" operator="containsText" text="Reasignación">
      <formula>NOT(ISERROR(SEARCH("Reasignación",K1268)))</formula>
    </cfRule>
    <cfRule type="containsText" dxfId="1449" priority="1469" operator="containsText" text="RECHAZADA">
      <formula>NOT(ISERROR(SEARCH("RECHAZADA",K1268)))</formula>
    </cfRule>
    <cfRule type="containsText" dxfId="1448" priority="1470" operator="containsText" text="Atendida">
      <formula>NOT(ISERROR(SEARCH("Atendida",K1268)))</formula>
    </cfRule>
    <cfRule type="containsText" dxfId="1447" priority="1471" operator="containsText" text="Reasignación">
      <formula>NOT(ISERROR(SEARCH("Reasignación",K1268)))</formula>
    </cfRule>
    <cfRule type="containsText" dxfId="1446" priority="1472" operator="containsText" text="RECHAZADA">
      <formula>NOT(ISERROR(SEARCH("RECHAZADA",K1268)))</formula>
    </cfRule>
    <cfRule type="containsText" dxfId="1445" priority="1473" operator="containsText" text="Atendida">
      <formula>NOT(ISERROR(SEARCH("Atendida",K1268)))</formula>
    </cfRule>
    <cfRule type="containsText" dxfId="1444" priority="1474" operator="containsText" text="Reasignación">
      <formula>NOT(ISERROR(SEARCH("Reasignación",K1268)))</formula>
    </cfRule>
    <cfRule type="containsText" dxfId="1443" priority="1475" operator="containsText" text="RECHAZADA">
      <formula>NOT(ISERROR(SEARCH("RECHAZADA",K1268)))</formula>
    </cfRule>
    <cfRule type="containsText" dxfId="1442" priority="1476" operator="containsText" text="Atendida">
      <formula>NOT(ISERROR(SEARCH("Atendida",K1268)))</formula>
    </cfRule>
    <cfRule type="containsText" dxfId="1441" priority="1479" operator="containsText" text="Atendida">
      <formula>NOT(ISERROR(SEARCH("Atendida",K1268)))</formula>
    </cfRule>
  </conditionalFormatting>
  <conditionalFormatting sqref="K1268">
    <cfRule type="containsText" dxfId="1440" priority="1444" operator="containsText" text="Reasignación">
      <formula>NOT(ISERROR(SEARCH("Reasignación",K1268)))</formula>
    </cfRule>
    <cfRule type="containsText" dxfId="1439" priority="1445" operator="containsText" text="RECHAZADA">
      <formula>NOT(ISERROR(SEARCH("RECHAZADA",K1268)))</formula>
    </cfRule>
  </conditionalFormatting>
  <conditionalFormatting sqref="K1269">
    <cfRule type="containsText" dxfId="1438" priority="1441" operator="containsText" text="Reasignación">
      <formula>NOT(ISERROR(SEARCH("Reasignación",K1269)))</formula>
    </cfRule>
    <cfRule type="containsText" dxfId="1437" priority="1442" operator="containsText" text="RECHAZADA">
      <formula>NOT(ISERROR(SEARCH("RECHAZADA",K1269)))</formula>
    </cfRule>
  </conditionalFormatting>
  <conditionalFormatting sqref="K1269">
    <cfRule type="containsText" dxfId="1436" priority="1410" operator="containsText" text="Atendida">
      <formula>NOT(ISERROR(SEARCH("Atendida",K1269)))</formula>
    </cfRule>
    <cfRule type="containsText" dxfId="1435" priority="1411" operator="containsText" text="Reasignación">
      <formula>NOT(ISERROR(SEARCH("Reasignación",K1269)))</formula>
    </cfRule>
    <cfRule type="containsText" dxfId="1434" priority="1412" operator="containsText" text="RECHAZADA">
      <formula>NOT(ISERROR(SEARCH("RECHAZADA",K1269)))</formula>
    </cfRule>
    <cfRule type="containsText" dxfId="1433" priority="1413" operator="containsText" text="Atendida">
      <formula>NOT(ISERROR(SEARCH("Atendida",K1269)))</formula>
    </cfRule>
    <cfRule type="containsText" dxfId="1432" priority="1414" operator="containsText" text="Reasignación">
      <formula>NOT(ISERROR(SEARCH("Reasignación",K1269)))</formula>
    </cfRule>
    <cfRule type="containsText" dxfId="1431" priority="1415" operator="containsText" text="RECHAZADA">
      <formula>NOT(ISERROR(SEARCH("RECHAZADA",K1269)))</formula>
    </cfRule>
    <cfRule type="containsText" dxfId="1430" priority="1416" operator="containsText" text="Atendida">
      <formula>NOT(ISERROR(SEARCH("Atendida",K1269)))</formula>
    </cfRule>
    <cfRule type="containsText" dxfId="1429" priority="1417" operator="containsText" text="Reasignación">
      <formula>NOT(ISERROR(SEARCH("Reasignación",K1269)))</formula>
    </cfRule>
    <cfRule type="containsText" dxfId="1428" priority="1418" operator="containsText" text="RECHAZADA">
      <formula>NOT(ISERROR(SEARCH("RECHAZADA",K1269)))</formula>
    </cfRule>
    <cfRule type="containsText" dxfId="1427" priority="1419" operator="containsText" text="Atendida">
      <formula>NOT(ISERROR(SEARCH("Atendida",K1269)))</formula>
    </cfRule>
    <cfRule type="containsText" dxfId="1426" priority="1420" operator="containsText" text="Reasignación">
      <formula>NOT(ISERROR(SEARCH("Reasignación",K1269)))</formula>
    </cfRule>
    <cfRule type="containsText" dxfId="1425" priority="1421" operator="containsText" text="RECHAZADA">
      <formula>NOT(ISERROR(SEARCH("RECHAZADA",K1269)))</formula>
    </cfRule>
    <cfRule type="containsText" dxfId="1424" priority="1422" operator="containsText" text="Atendida">
      <formula>NOT(ISERROR(SEARCH("Atendida",K1269)))</formula>
    </cfRule>
    <cfRule type="containsText" dxfId="1423" priority="1423" operator="containsText" text="Reasignación">
      <formula>NOT(ISERROR(SEARCH("Reasignación",K1269)))</formula>
    </cfRule>
    <cfRule type="containsText" dxfId="1422" priority="1424" operator="containsText" text="RECHAZADA">
      <formula>NOT(ISERROR(SEARCH("RECHAZADA",K1269)))</formula>
    </cfRule>
    <cfRule type="containsText" dxfId="1421" priority="1425" operator="containsText" text="Atendida">
      <formula>NOT(ISERROR(SEARCH("Atendida",K1269)))</formula>
    </cfRule>
    <cfRule type="containsText" dxfId="1420" priority="1426" operator="containsText" text="Reasignación">
      <formula>NOT(ISERROR(SEARCH("Reasignación",K1269)))</formula>
    </cfRule>
    <cfRule type="containsText" dxfId="1419" priority="1427" operator="containsText" text="RECHAZADA">
      <formula>NOT(ISERROR(SEARCH("RECHAZADA",K1269)))</formula>
    </cfRule>
    <cfRule type="containsText" dxfId="1418" priority="1428" operator="containsText" text="Atendida">
      <formula>NOT(ISERROR(SEARCH("Atendida",K1269)))</formula>
    </cfRule>
    <cfRule type="containsText" dxfId="1417" priority="1429" operator="containsText" text="Reasignación">
      <formula>NOT(ISERROR(SEARCH("Reasignación",K1269)))</formula>
    </cfRule>
    <cfRule type="containsText" dxfId="1416" priority="1430" operator="containsText" text="RECHAZADA">
      <formula>NOT(ISERROR(SEARCH("RECHAZADA",K1269)))</formula>
    </cfRule>
    <cfRule type="containsText" dxfId="1415" priority="1431" operator="containsText" text="Atendida">
      <formula>NOT(ISERROR(SEARCH("Atendida",K1269)))</formula>
    </cfRule>
    <cfRule type="containsText" dxfId="1414" priority="1432" operator="containsText" text="Reasignación">
      <formula>NOT(ISERROR(SEARCH("Reasignación",K1269)))</formula>
    </cfRule>
    <cfRule type="containsText" dxfId="1413" priority="1433" operator="containsText" text="RECHAZADA">
      <formula>NOT(ISERROR(SEARCH("RECHAZADA",K1269)))</formula>
    </cfRule>
    <cfRule type="containsText" dxfId="1412" priority="1434" operator="containsText" text="Atendida">
      <formula>NOT(ISERROR(SEARCH("Atendida",K1269)))</formula>
    </cfRule>
    <cfRule type="containsText" dxfId="1411" priority="1435" operator="containsText" text="Reasignación">
      <formula>NOT(ISERROR(SEARCH("Reasignación",K1269)))</formula>
    </cfRule>
    <cfRule type="containsText" dxfId="1410" priority="1436" operator="containsText" text="RECHAZADA">
      <formula>NOT(ISERROR(SEARCH("RECHAZADA",K1269)))</formula>
    </cfRule>
    <cfRule type="containsText" dxfId="1409" priority="1437" operator="containsText" text="Atendida">
      <formula>NOT(ISERROR(SEARCH("Atendida",K1269)))</formula>
    </cfRule>
    <cfRule type="containsText" dxfId="1408" priority="1438" operator="containsText" text="Reasignación">
      <formula>NOT(ISERROR(SEARCH("Reasignación",K1269)))</formula>
    </cfRule>
    <cfRule type="containsText" dxfId="1407" priority="1439" operator="containsText" text="RECHAZADA">
      <formula>NOT(ISERROR(SEARCH("RECHAZADA",K1269)))</formula>
    </cfRule>
    <cfRule type="containsText" dxfId="1406" priority="1440" operator="containsText" text="Atendida">
      <formula>NOT(ISERROR(SEARCH("Atendida",K1269)))</formula>
    </cfRule>
    <cfRule type="containsText" dxfId="1405" priority="1443" operator="containsText" text="Atendida">
      <formula>NOT(ISERROR(SEARCH("Atendida",K1269)))</formula>
    </cfRule>
  </conditionalFormatting>
  <conditionalFormatting sqref="K1269">
    <cfRule type="containsText" dxfId="1404" priority="1408" operator="containsText" text="Reasignación">
      <formula>NOT(ISERROR(SEARCH("Reasignación",K1269)))</formula>
    </cfRule>
    <cfRule type="containsText" dxfId="1403" priority="1409" operator="containsText" text="RECHAZADA">
      <formula>NOT(ISERROR(SEARCH("RECHAZADA",K1269)))</formula>
    </cfRule>
  </conditionalFormatting>
  <conditionalFormatting sqref="K1270">
    <cfRule type="containsText" dxfId="1402" priority="1405" operator="containsText" text="Reasignación">
      <formula>NOT(ISERROR(SEARCH("Reasignación",K1270)))</formula>
    </cfRule>
    <cfRule type="containsText" dxfId="1401" priority="1406" operator="containsText" text="RECHAZADA">
      <formula>NOT(ISERROR(SEARCH("RECHAZADA",K1270)))</formula>
    </cfRule>
  </conditionalFormatting>
  <conditionalFormatting sqref="K1270">
    <cfRule type="containsText" dxfId="1400" priority="1374" operator="containsText" text="Atendida">
      <formula>NOT(ISERROR(SEARCH("Atendida",K1270)))</formula>
    </cfRule>
    <cfRule type="containsText" dxfId="1399" priority="1375" operator="containsText" text="Reasignación">
      <formula>NOT(ISERROR(SEARCH("Reasignación",K1270)))</formula>
    </cfRule>
    <cfRule type="containsText" dxfId="1398" priority="1376" operator="containsText" text="RECHAZADA">
      <formula>NOT(ISERROR(SEARCH("RECHAZADA",K1270)))</formula>
    </cfRule>
    <cfRule type="containsText" dxfId="1397" priority="1377" operator="containsText" text="Atendida">
      <formula>NOT(ISERROR(SEARCH("Atendida",K1270)))</formula>
    </cfRule>
    <cfRule type="containsText" dxfId="1396" priority="1378" operator="containsText" text="Reasignación">
      <formula>NOT(ISERROR(SEARCH("Reasignación",K1270)))</formula>
    </cfRule>
    <cfRule type="containsText" dxfId="1395" priority="1379" operator="containsText" text="RECHAZADA">
      <formula>NOT(ISERROR(SEARCH("RECHAZADA",K1270)))</formula>
    </cfRule>
    <cfRule type="containsText" dxfId="1394" priority="1380" operator="containsText" text="Atendida">
      <formula>NOT(ISERROR(SEARCH("Atendida",K1270)))</formula>
    </cfRule>
    <cfRule type="containsText" dxfId="1393" priority="1381" operator="containsText" text="Reasignación">
      <formula>NOT(ISERROR(SEARCH("Reasignación",K1270)))</formula>
    </cfRule>
    <cfRule type="containsText" dxfId="1392" priority="1382" operator="containsText" text="RECHAZADA">
      <formula>NOT(ISERROR(SEARCH("RECHAZADA",K1270)))</formula>
    </cfRule>
    <cfRule type="containsText" dxfId="1391" priority="1383" operator="containsText" text="Atendida">
      <formula>NOT(ISERROR(SEARCH("Atendida",K1270)))</formula>
    </cfRule>
    <cfRule type="containsText" dxfId="1390" priority="1384" operator="containsText" text="Reasignación">
      <formula>NOT(ISERROR(SEARCH("Reasignación",K1270)))</formula>
    </cfRule>
    <cfRule type="containsText" dxfId="1389" priority="1385" operator="containsText" text="RECHAZADA">
      <formula>NOT(ISERROR(SEARCH("RECHAZADA",K1270)))</formula>
    </cfRule>
    <cfRule type="containsText" dxfId="1388" priority="1386" operator="containsText" text="Atendida">
      <formula>NOT(ISERROR(SEARCH("Atendida",K1270)))</formula>
    </cfRule>
    <cfRule type="containsText" dxfId="1387" priority="1387" operator="containsText" text="Reasignación">
      <formula>NOT(ISERROR(SEARCH("Reasignación",K1270)))</formula>
    </cfRule>
    <cfRule type="containsText" dxfId="1386" priority="1388" operator="containsText" text="RECHAZADA">
      <formula>NOT(ISERROR(SEARCH("RECHAZADA",K1270)))</formula>
    </cfRule>
    <cfRule type="containsText" dxfId="1385" priority="1389" operator="containsText" text="Atendida">
      <formula>NOT(ISERROR(SEARCH("Atendida",K1270)))</formula>
    </cfRule>
    <cfRule type="containsText" dxfId="1384" priority="1390" operator="containsText" text="Reasignación">
      <formula>NOT(ISERROR(SEARCH("Reasignación",K1270)))</formula>
    </cfRule>
    <cfRule type="containsText" dxfId="1383" priority="1391" operator="containsText" text="RECHAZADA">
      <formula>NOT(ISERROR(SEARCH("RECHAZADA",K1270)))</formula>
    </cfRule>
    <cfRule type="containsText" dxfId="1382" priority="1392" operator="containsText" text="Atendida">
      <formula>NOT(ISERROR(SEARCH("Atendida",K1270)))</formula>
    </cfRule>
    <cfRule type="containsText" dxfId="1381" priority="1393" operator="containsText" text="Reasignación">
      <formula>NOT(ISERROR(SEARCH("Reasignación",K1270)))</formula>
    </cfRule>
    <cfRule type="containsText" dxfId="1380" priority="1394" operator="containsText" text="RECHAZADA">
      <formula>NOT(ISERROR(SEARCH("RECHAZADA",K1270)))</formula>
    </cfRule>
    <cfRule type="containsText" dxfId="1379" priority="1395" operator="containsText" text="Atendida">
      <formula>NOT(ISERROR(SEARCH("Atendida",K1270)))</formula>
    </cfRule>
    <cfRule type="containsText" dxfId="1378" priority="1396" operator="containsText" text="Reasignación">
      <formula>NOT(ISERROR(SEARCH("Reasignación",K1270)))</formula>
    </cfRule>
    <cfRule type="containsText" dxfId="1377" priority="1397" operator="containsText" text="RECHAZADA">
      <formula>NOT(ISERROR(SEARCH("RECHAZADA",K1270)))</formula>
    </cfRule>
    <cfRule type="containsText" dxfId="1376" priority="1398" operator="containsText" text="Atendida">
      <formula>NOT(ISERROR(SEARCH("Atendida",K1270)))</formula>
    </cfRule>
    <cfRule type="containsText" dxfId="1375" priority="1399" operator="containsText" text="Reasignación">
      <formula>NOT(ISERROR(SEARCH("Reasignación",K1270)))</formula>
    </cfRule>
    <cfRule type="containsText" dxfId="1374" priority="1400" operator="containsText" text="RECHAZADA">
      <formula>NOT(ISERROR(SEARCH("RECHAZADA",K1270)))</formula>
    </cfRule>
    <cfRule type="containsText" dxfId="1373" priority="1401" operator="containsText" text="Atendida">
      <formula>NOT(ISERROR(SEARCH("Atendida",K1270)))</formula>
    </cfRule>
    <cfRule type="containsText" dxfId="1372" priority="1402" operator="containsText" text="Reasignación">
      <formula>NOT(ISERROR(SEARCH("Reasignación",K1270)))</formula>
    </cfRule>
    <cfRule type="containsText" dxfId="1371" priority="1403" operator="containsText" text="RECHAZADA">
      <formula>NOT(ISERROR(SEARCH("RECHAZADA",K1270)))</formula>
    </cfRule>
    <cfRule type="containsText" dxfId="1370" priority="1404" operator="containsText" text="Atendida">
      <formula>NOT(ISERROR(SEARCH("Atendida",K1270)))</formula>
    </cfRule>
    <cfRule type="containsText" dxfId="1369" priority="1407" operator="containsText" text="Atendida">
      <formula>NOT(ISERROR(SEARCH("Atendida",K1270)))</formula>
    </cfRule>
  </conditionalFormatting>
  <conditionalFormatting sqref="K1270">
    <cfRule type="containsText" dxfId="1368" priority="1372" operator="containsText" text="Reasignación">
      <formula>NOT(ISERROR(SEARCH("Reasignación",K1270)))</formula>
    </cfRule>
    <cfRule type="containsText" dxfId="1367" priority="1373" operator="containsText" text="RECHAZADA">
      <formula>NOT(ISERROR(SEARCH("RECHAZADA",K1270)))</formula>
    </cfRule>
  </conditionalFormatting>
  <conditionalFormatting sqref="K1271">
    <cfRule type="containsText" dxfId="1366" priority="1369" operator="containsText" text="Reasignación">
      <formula>NOT(ISERROR(SEARCH("Reasignación",K1271)))</formula>
    </cfRule>
    <cfRule type="containsText" dxfId="1365" priority="1370" operator="containsText" text="RECHAZADA">
      <formula>NOT(ISERROR(SEARCH("RECHAZADA",K1271)))</formula>
    </cfRule>
  </conditionalFormatting>
  <conditionalFormatting sqref="K1271">
    <cfRule type="containsText" dxfId="1364" priority="1338" operator="containsText" text="Atendida">
      <formula>NOT(ISERROR(SEARCH("Atendida",K1271)))</formula>
    </cfRule>
    <cfRule type="containsText" dxfId="1363" priority="1339" operator="containsText" text="Reasignación">
      <formula>NOT(ISERROR(SEARCH("Reasignación",K1271)))</formula>
    </cfRule>
    <cfRule type="containsText" dxfId="1362" priority="1340" operator="containsText" text="RECHAZADA">
      <formula>NOT(ISERROR(SEARCH("RECHAZADA",K1271)))</formula>
    </cfRule>
    <cfRule type="containsText" dxfId="1361" priority="1341" operator="containsText" text="Atendida">
      <formula>NOT(ISERROR(SEARCH("Atendida",K1271)))</formula>
    </cfRule>
    <cfRule type="containsText" dxfId="1360" priority="1342" operator="containsText" text="Reasignación">
      <formula>NOT(ISERROR(SEARCH("Reasignación",K1271)))</formula>
    </cfRule>
    <cfRule type="containsText" dxfId="1359" priority="1343" operator="containsText" text="RECHAZADA">
      <formula>NOT(ISERROR(SEARCH("RECHAZADA",K1271)))</formula>
    </cfRule>
    <cfRule type="containsText" dxfId="1358" priority="1344" operator="containsText" text="Atendida">
      <formula>NOT(ISERROR(SEARCH("Atendida",K1271)))</formula>
    </cfRule>
    <cfRule type="containsText" dxfId="1357" priority="1345" operator="containsText" text="Reasignación">
      <formula>NOT(ISERROR(SEARCH("Reasignación",K1271)))</formula>
    </cfRule>
    <cfRule type="containsText" dxfId="1356" priority="1346" operator="containsText" text="RECHAZADA">
      <formula>NOT(ISERROR(SEARCH("RECHAZADA",K1271)))</formula>
    </cfRule>
    <cfRule type="containsText" dxfId="1355" priority="1347" operator="containsText" text="Atendida">
      <formula>NOT(ISERROR(SEARCH("Atendida",K1271)))</formula>
    </cfRule>
    <cfRule type="containsText" dxfId="1354" priority="1348" operator="containsText" text="Reasignación">
      <formula>NOT(ISERROR(SEARCH("Reasignación",K1271)))</formula>
    </cfRule>
    <cfRule type="containsText" dxfId="1353" priority="1349" operator="containsText" text="RECHAZADA">
      <formula>NOT(ISERROR(SEARCH("RECHAZADA",K1271)))</formula>
    </cfRule>
    <cfRule type="containsText" dxfId="1352" priority="1350" operator="containsText" text="Atendida">
      <formula>NOT(ISERROR(SEARCH("Atendida",K1271)))</formula>
    </cfRule>
    <cfRule type="containsText" dxfId="1351" priority="1351" operator="containsText" text="Reasignación">
      <formula>NOT(ISERROR(SEARCH("Reasignación",K1271)))</formula>
    </cfRule>
    <cfRule type="containsText" dxfId="1350" priority="1352" operator="containsText" text="RECHAZADA">
      <formula>NOT(ISERROR(SEARCH("RECHAZADA",K1271)))</formula>
    </cfRule>
    <cfRule type="containsText" dxfId="1349" priority="1353" operator="containsText" text="Atendida">
      <formula>NOT(ISERROR(SEARCH("Atendida",K1271)))</formula>
    </cfRule>
    <cfRule type="containsText" dxfId="1348" priority="1354" operator="containsText" text="Reasignación">
      <formula>NOT(ISERROR(SEARCH("Reasignación",K1271)))</formula>
    </cfRule>
    <cfRule type="containsText" dxfId="1347" priority="1355" operator="containsText" text="RECHAZADA">
      <formula>NOT(ISERROR(SEARCH("RECHAZADA",K1271)))</formula>
    </cfRule>
    <cfRule type="containsText" dxfId="1346" priority="1356" operator="containsText" text="Atendida">
      <formula>NOT(ISERROR(SEARCH("Atendida",K1271)))</formula>
    </cfRule>
    <cfRule type="containsText" dxfId="1345" priority="1357" operator="containsText" text="Reasignación">
      <formula>NOT(ISERROR(SEARCH("Reasignación",K1271)))</formula>
    </cfRule>
    <cfRule type="containsText" dxfId="1344" priority="1358" operator="containsText" text="RECHAZADA">
      <formula>NOT(ISERROR(SEARCH("RECHAZADA",K1271)))</formula>
    </cfRule>
    <cfRule type="containsText" dxfId="1343" priority="1359" operator="containsText" text="Atendida">
      <formula>NOT(ISERROR(SEARCH("Atendida",K1271)))</formula>
    </cfRule>
    <cfRule type="containsText" dxfId="1342" priority="1360" operator="containsText" text="Reasignación">
      <formula>NOT(ISERROR(SEARCH("Reasignación",K1271)))</formula>
    </cfRule>
    <cfRule type="containsText" dxfId="1341" priority="1361" operator="containsText" text="RECHAZADA">
      <formula>NOT(ISERROR(SEARCH("RECHAZADA",K1271)))</formula>
    </cfRule>
    <cfRule type="containsText" dxfId="1340" priority="1362" operator="containsText" text="Atendida">
      <formula>NOT(ISERROR(SEARCH("Atendida",K1271)))</formula>
    </cfRule>
    <cfRule type="containsText" dxfId="1339" priority="1363" operator="containsText" text="Reasignación">
      <formula>NOT(ISERROR(SEARCH("Reasignación",K1271)))</formula>
    </cfRule>
    <cfRule type="containsText" dxfId="1338" priority="1364" operator="containsText" text="RECHAZADA">
      <formula>NOT(ISERROR(SEARCH("RECHAZADA",K1271)))</formula>
    </cfRule>
    <cfRule type="containsText" dxfId="1337" priority="1365" operator="containsText" text="Atendida">
      <formula>NOT(ISERROR(SEARCH("Atendida",K1271)))</formula>
    </cfRule>
    <cfRule type="containsText" dxfId="1336" priority="1366" operator="containsText" text="Reasignación">
      <formula>NOT(ISERROR(SEARCH("Reasignación",K1271)))</formula>
    </cfRule>
    <cfRule type="containsText" dxfId="1335" priority="1367" operator="containsText" text="RECHAZADA">
      <formula>NOT(ISERROR(SEARCH("RECHAZADA",K1271)))</formula>
    </cfRule>
    <cfRule type="containsText" dxfId="1334" priority="1368" operator="containsText" text="Atendida">
      <formula>NOT(ISERROR(SEARCH("Atendida",K1271)))</formula>
    </cfRule>
    <cfRule type="containsText" dxfId="1333" priority="1371" operator="containsText" text="Atendida">
      <formula>NOT(ISERROR(SEARCH("Atendida",K1271)))</formula>
    </cfRule>
  </conditionalFormatting>
  <conditionalFormatting sqref="K1271">
    <cfRule type="containsText" dxfId="1332" priority="1336" operator="containsText" text="Reasignación">
      <formula>NOT(ISERROR(SEARCH("Reasignación",K1271)))</formula>
    </cfRule>
    <cfRule type="containsText" dxfId="1331" priority="1337" operator="containsText" text="RECHAZADA">
      <formula>NOT(ISERROR(SEARCH("RECHAZADA",K1271)))</formula>
    </cfRule>
  </conditionalFormatting>
  <conditionalFormatting sqref="K1272">
    <cfRule type="containsText" dxfId="1330" priority="1333" operator="containsText" text="Reasignación">
      <formula>NOT(ISERROR(SEARCH("Reasignación",K1272)))</formula>
    </cfRule>
    <cfRule type="containsText" dxfId="1329" priority="1334" operator="containsText" text="RECHAZADA">
      <formula>NOT(ISERROR(SEARCH("RECHAZADA",K1272)))</formula>
    </cfRule>
  </conditionalFormatting>
  <conditionalFormatting sqref="K1272">
    <cfRule type="containsText" dxfId="1328" priority="1302" operator="containsText" text="Atendida">
      <formula>NOT(ISERROR(SEARCH("Atendida",K1272)))</formula>
    </cfRule>
    <cfRule type="containsText" dxfId="1327" priority="1303" operator="containsText" text="Reasignación">
      <formula>NOT(ISERROR(SEARCH("Reasignación",K1272)))</formula>
    </cfRule>
    <cfRule type="containsText" dxfId="1326" priority="1304" operator="containsText" text="RECHAZADA">
      <formula>NOT(ISERROR(SEARCH("RECHAZADA",K1272)))</formula>
    </cfRule>
    <cfRule type="containsText" dxfId="1325" priority="1305" operator="containsText" text="Atendida">
      <formula>NOT(ISERROR(SEARCH("Atendida",K1272)))</formula>
    </cfRule>
    <cfRule type="containsText" dxfId="1324" priority="1306" operator="containsText" text="Reasignación">
      <formula>NOT(ISERROR(SEARCH("Reasignación",K1272)))</formula>
    </cfRule>
    <cfRule type="containsText" dxfId="1323" priority="1307" operator="containsText" text="RECHAZADA">
      <formula>NOT(ISERROR(SEARCH("RECHAZADA",K1272)))</formula>
    </cfRule>
    <cfRule type="containsText" dxfId="1322" priority="1308" operator="containsText" text="Atendida">
      <formula>NOT(ISERROR(SEARCH("Atendida",K1272)))</formula>
    </cfRule>
    <cfRule type="containsText" dxfId="1321" priority="1309" operator="containsText" text="Reasignación">
      <formula>NOT(ISERROR(SEARCH("Reasignación",K1272)))</formula>
    </cfRule>
    <cfRule type="containsText" dxfId="1320" priority="1310" operator="containsText" text="RECHAZADA">
      <formula>NOT(ISERROR(SEARCH("RECHAZADA",K1272)))</formula>
    </cfRule>
    <cfRule type="containsText" dxfId="1319" priority="1311" operator="containsText" text="Atendida">
      <formula>NOT(ISERROR(SEARCH("Atendida",K1272)))</formula>
    </cfRule>
    <cfRule type="containsText" dxfId="1318" priority="1312" operator="containsText" text="Reasignación">
      <formula>NOT(ISERROR(SEARCH("Reasignación",K1272)))</formula>
    </cfRule>
    <cfRule type="containsText" dxfId="1317" priority="1313" operator="containsText" text="RECHAZADA">
      <formula>NOT(ISERROR(SEARCH("RECHAZADA",K1272)))</formula>
    </cfRule>
    <cfRule type="containsText" dxfId="1316" priority="1314" operator="containsText" text="Atendida">
      <formula>NOT(ISERROR(SEARCH("Atendida",K1272)))</formula>
    </cfRule>
    <cfRule type="containsText" dxfId="1315" priority="1315" operator="containsText" text="Reasignación">
      <formula>NOT(ISERROR(SEARCH("Reasignación",K1272)))</formula>
    </cfRule>
    <cfRule type="containsText" dxfId="1314" priority="1316" operator="containsText" text="RECHAZADA">
      <formula>NOT(ISERROR(SEARCH("RECHAZADA",K1272)))</formula>
    </cfRule>
    <cfRule type="containsText" dxfId="1313" priority="1317" operator="containsText" text="Atendida">
      <formula>NOT(ISERROR(SEARCH("Atendida",K1272)))</formula>
    </cfRule>
    <cfRule type="containsText" dxfId="1312" priority="1318" operator="containsText" text="Reasignación">
      <formula>NOT(ISERROR(SEARCH("Reasignación",K1272)))</formula>
    </cfRule>
    <cfRule type="containsText" dxfId="1311" priority="1319" operator="containsText" text="RECHAZADA">
      <formula>NOT(ISERROR(SEARCH("RECHAZADA",K1272)))</formula>
    </cfRule>
    <cfRule type="containsText" dxfId="1310" priority="1320" operator="containsText" text="Atendida">
      <formula>NOT(ISERROR(SEARCH("Atendida",K1272)))</formula>
    </cfRule>
    <cfRule type="containsText" dxfId="1309" priority="1321" operator="containsText" text="Reasignación">
      <formula>NOT(ISERROR(SEARCH("Reasignación",K1272)))</formula>
    </cfRule>
    <cfRule type="containsText" dxfId="1308" priority="1322" operator="containsText" text="RECHAZADA">
      <formula>NOT(ISERROR(SEARCH("RECHAZADA",K1272)))</formula>
    </cfRule>
    <cfRule type="containsText" dxfId="1307" priority="1323" operator="containsText" text="Atendida">
      <formula>NOT(ISERROR(SEARCH("Atendida",K1272)))</formula>
    </cfRule>
    <cfRule type="containsText" dxfId="1306" priority="1324" operator="containsText" text="Reasignación">
      <formula>NOT(ISERROR(SEARCH("Reasignación",K1272)))</formula>
    </cfRule>
    <cfRule type="containsText" dxfId="1305" priority="1325" operator="containsText" text="RECHAZADA">
      <formula>NOT(ISERROR(SEARCH("RECHAZADA",K1272)))</formula>
    </cfRule>
    <cfRule type="containsText" dxfId="1304" priority="1326" operator="containsText" text="Atendida">
      <formula>NOT(ISERROR(SEARCH("Atendida",K1272)))</formula>
    </cfRule>
    <cfRule type="containsText" dxfId="1303" priority="1327" operator="containsText" text="Reasignación">
      <formula>NOT(ISERROR(SEARCH("Reasignación",K1272)))</formula>
    </cfRule>
    <cfRule type="containsText" dxfId="1302" priority="1328" operator="containsText" text="RECHAZADA">
      <formula>NOT(ISERROR(SEARCH("RECHAZADA",K1272)))</formula>
    </cfRule>
    <cfRule type="containsText" dxfId="1301" priority="1329" operator="containsText" text="Atendida">
      <formula>NOT(ISERROR(SEARCH("Atendida",K1272)))</formula>
    </cfRule>
    <cfRule type="containsText" dxfId="1300" priority="1330" operator="containsText" text="Reasignación">
      <formula>NOT(ISERROR(SEARCH("Reasignación",K1272)))</formula>
    </cfRule>
    <cfRule type="containsText" dxfId="1299" priority="1331" operator="containsText" text="RECHAZADA">
      <formula>NOT(ISERROR(SEARCH("RECHAZADA",K1272)))</formula>
    </cfRule>
    <cfRule type="containsText" dxfId="1298" priority="1332" operator="containsText" text="Atendida">
      <formula>NOT(ISERROR(SEARCH("Atendida",K1272)))</formula>
    </cfRule>
    <cfRule type="containsText" dxfId="1297" priority="1335" operator="containsText" text="Atendida">
      <formula>NOT(ISERROR(SEARCH("Atendida",K1272)))</formula>
    </cfRule>
  </conditionalFormatting>
  <conditionalFormatting sqref="K1272">
    <cfRule type="containsText" dxfId="1296" priority="1300" operator="containsText" text="Reasignación">
      <formula>NOT(ISERROR(SEARCH("Reasignación",K1272)))</formula>
    </cfRule>
    <cfRule type="containsText" dxfId="1295" priority="1301" operator="containsText" text="RECHAZADA">
      <formula>NOT(ISERROR(SEARCH("RECHAZADA",K1272)))</formula>
    </cfRule>
  </conditionalFormatting>
  <conditionalFormatting sqref="K1273">
    <cfRule type="containsText" dxfId="1294" priority="1297" operator="containsText" text="Reasignación">
      <formula>NOT(ISERROR(SEARCH("Reasignación",K1273)))</formula>
    </cfRule>
    <cfRule type="containsText" dxfId="1293" priority="1298" operator="containsText" text="RECHAZADA">
      <formula>NOT(ISERROR(SEARCH("RECHAZADA",K1273)))</formula>
    </cfRule>
  </conditionalFormatting>
  <conditionalFormatting sqref="K1273">
    <cfRule type="containsText" dxfId="1292" priority="1266" operator="containsText" text="Atendida">
      <formula>NOT(ISERROR(SEARCH("Atendida",K1273)))</formula>
    </cfRule>
    <cfRule type="containsText" dxfId="1291" priority="1267" operator="containsText" text="Reasignación">
      <formula>NOT(ISERROR(SEARCH("Reasignación",K1273)))</formula>
    </cfRule>
    <cfRule type="containsText" dxfId="1290" priority="1268" operator="containsText" text="RECHAZADA">
      <formula>NOT(ISERROR(SEARCH("RECHAZADA",K1273)))</formula>
    </cfRule>
    <cfRule type="containsText" dxfId="1289" priority="1269" operator="containsText" text="Atendida">
      <formula>NOT(ISERROR(SEARCH("Atendida",K1273)))</formula>
    </cfRule>
    <cfRule type="containsText" dxfId="1288" priority="1270" operator="containsText" text="Reasignación">
      <formula>NOT(ISERROR(SEARCH("Reasignación",K1273)))</formula>
    </cfRule>
    <cfRule type="containsText" dxfId="1287" priority="1271" operator="containsText" text="RECHAZADA">
      <formula>NOT(ISERROR(SEARCH("RECHAZADA",K1273)))</formula>
    </cfRule>
    <cfRule type="containsText" dxfId="1286" priority="1272" operator="containsText" text="Atendida">
      <formula>NOT(ISERROR(SEARCH("Atendida",K1273)))</formula>
    </cfRule>
    <cfRule type="containsText" dxfId="1285" priority="1273" operator="containsText" text="Reasignación">
      <formula>NOT(ISERROR(SEARCH("Reasignación",K1273)))</formula>
    </cfRule>
    <cfRule type="containsText" dxfId="1284" priority="1274" operator="containsText" text="RECHAZADA">
      <formula>NOT(ISERROR(SEARCH("RECHAZADA",K1273)))</formula>
    </cfRule>
    <cfRule type="containsText" dxfId="1283" priority="1275" operator="containsText" text="Atendida">
      <formula>NOT(ISERROR(SEARCH("Atendida",K1273)))</formula>
    </cfRule>
    <cfRule type="containsText" dxfId="1282" priority="1276" operator="containsText" text="Reasignación">
      <formula>NOT(ISERROR(SEARCH("Reasignación",K1273)))</formula>
    </cfRule>
    <cfRule type="containsText" dxfId="1281" priority="1277" operator="containsText" text="RECHAZADA">
      <formula>NOT(ISERROR(SEARCH("RECHAZADA",K1273)))</formula>
    </cfRule>
    <cfRule type="containsText" dxfId="1280" priority="1278" operator="containsText" text="Atendida">
      <formula>NOT(ISERROR(SEARCH("Atendida",K1273)))</formula>
    </cfRule>
    <cfRule type="containsText" dxfId="1279" priority="1279" operator="containsText" text="Reasignación">
      <formula>NOT(ISERROR(SEARCH("Reasignación",K1273)))</formula>
    </cfRule>
    <cfRule type="containsText" dxfId="1278" priority="1280" operator="containsText" text="RECHAZADA">
      <formula>NOT(ISERROR(SEARCH("RECHAZADA",K1273)))</formula>
    </cfRule>
    <cfRule type="containsText" dxfId="1277" priority="1281" operator="containsText" text="Atendida">
      <formula>NOT(ISERROR(SEARCH("Atendida",K1273)))</formula>
    </cfRule>
    <cfRule type="containsText" dxfId="1276" priority="1282" operator="containsText" text="Reasignación">
      <formula>NOT(ISERROR(SEARCH("Reasignación",K1273)))</formula>
    </cfRule>
    <cfRule type="containsText" dxfId="1275" priority="1283" operator="containsText" text="RECHAZADA">
      <formula>NOT(ISERROR(SEARCH("RECHAZADA",K1273)))</formula>
    </cfRule>
    <cfRule type="containsText" dxfId="1274" priority="1284" operator="containsText" text="Atendida">
      <formula>NOT(ISERROR(SEARCH("Atendida",K1273)))</formula>
    </cfRule>
    <cfRule type="containsText" dxfId="1273" priority="1285" operator="containsText" text="Reasignación">
      <formula>NOT(ISERROR(SEARCH("Reasignación",K1273)))</formula>
    </cfRule>
    <cfRule type="containsText" dxfId="1272" priority="1286" operator="containsText" text="RECHAZADA">
      <formula>NOT(ISERROR(SEARCH("RECHAZADA",K1273)))</formula>
    </cfRule>
    <cfRule type="containsText" dxfId="1271" priority="1287" operator="containsText" text="Atendida">
      <formula>NOT(ISERROR(SEARCH("Atendida",K1273)))</formula>
    </cfRule>
    <cfRule type="containsText" dxfId="1270" priority="1288" operator="containsText" text="Reasignación">
      <formula>NOT(ISERROR(SEARCH("Reasignación",K1273)))</formula>
    </cfRule>
    <cfRule type="containsText" dxfId="1269" priority="1289" operator="containsText" text="RECHAZADA">
      <formula>NOT(ISERROR(SEARCH("RECHAZADA",K1273)))</formula>
    </cfRule>
    <cfRule type="containsText" dxfId="1268" priority="1290" operator="containsText" text="Atendida">
      <formula>NOT(ISERROR(SEARCH("Atendida",K1273)))</formula>
    </cfRule>
    <cfRule type="containsText" dxfId="1267" priority="1291" operator="containsText" text="Reasignación">
      <formula>NOT(ISERROR(SEARCH("Reasignación",K1273)))</formula>
    </cfRule>
    <cfRule type="containsText" dxfId="1266" priority="1292" operator="containsText" text="RECHAZADA">
      <formula>NOT(ISERROR(SEARCH("RECHAZADA",K1273)))</formula>
    </cfRule>
    <cfRule type="containsText" dxfId="1265" priority="1293" operator="containsText" text="Atendida">
      <formula>NOT(ISERROR(SEARCH("Atendida",K1273)))</formula>
    </cfRule>
    <cfRule type="containsText" dxfId="1264" priority="1294" operator="containsText" text="Reasignación">
      <formula>NOT(ISERROR(SEARCH("Reasignación",K1273)))</formula>
    </cfRule>
    <cfRule type="containsText" dxfId="1263" priority="1295" operator="containsText" text="RECHAZADA">
      <formula>NOT(ISERROR(SEARCH("RECHAZADA",K1273)))</formula>
    </cfRule>
    <cfRule type="containsText" dxfId="1262" priority="1296" operator="containsText" text="Atendida">
      <formula>NOT(ISERROR(SEARCH("Atendida",K1273)))</formula>
    </cfRule>
    <cfRule type="containsText" dxfId="1261" priority="1299" operator="containsText" text="Atendida">
      <formula>NOT(ISERROR(SEARCH("Atendida",K1273)))</formula>
    </cfRule>
  </conditionalFormatting>
  <conditionalFormatting sqref="K1273">
    <cfRule type="containsText" dxfId="1260" priority="1264" operator="containsText" text="Reasignación">
      <formula>NOT(ISERROR(SEARCH("Reasignación",K1273)))</formula>
    </cfRule>
    <cfRule type="containsText" dxfId="1259" priority="1265" operator="containsText" text="RECHAZADA">
      <formula>NOT(ISERROR(SEARCH("RECHAZADA",K1273)))</formula>
    </cfRule>
  </conditionalFormatting>
  <conditionalFormatting sqref="K1274">
    <cfRule type="containsText" dxfId="1258" priority="1261" operator="containsText" text="Reasignación">
      <formula>NOT(ISERROR(SEARCH("Reasignación",K1274)))</formula>
    </cfRule>
    <cfRule type="containsText" dxfId="1257" priority="1262" operator="containsText" text="RECHAZADA">
      <formula>NOT(ISERROR(SEARCH("RECHAZADA",K1274)))</formula>
    </cfRule>
  </conditionalFormatting>
  <conditionalFormatting sqref="K1274">
    <cfRule type="containsText" dxfId="1256" priority="1230" operator="containsText" text="Atendida">
      <formula>NOT(ISERROR(SEARCH("Atendida",K1274)))</formula>
    </cfRule>
    <cfRule type="containsText" dxfId="1255" priority="1231" operator="containsText" text="Reasignación">
      <formula>NOT(ISERROR(SEARCH("Reasignación",K1274)))</formula>
    </cfRule>
    <cfRule type="containsText" dxfId="1254" priority="1232" operator="containsText" text="RECHAZADA">
      <formula>NOT(ISERROR(SEARCH("RECHAZADA",K1274)))</formula>
    </cfRule>
    <cfRule type="containsText" dxfId="1253" priority="1233" operator="containsText" text="Atendida">
      <formula>NOT(ISERROR(SEARCH("Atendida",K1274)))</formula>
    </cfRule>
    <cfRule type="containsText" dxfId="1252" priority="1234" operator="containsText" text="Reasignación">
      <formula>NOT(ISERROR(SEARCH("Reasignación",K1274)))</formula>
    </cfRule>
    <cfRule type="containsText" dxfId="1251" priority="1235" operator="containsText" text="RECHAZADA">
      <formula>NOT(ISERROR(SEARCH("RECHAZADA",K1274)))</formula>
    </cfRule>
    <cfRule type="containsText" dxfId="1250" priority="1236" operator="containsText" text="Atendida">
      <formula>NOT(ISERROR(SEARCH("Atendida",K1274)))</formula>
    </cfRule>
    <cfRule type="containsText" dxfId="1249" priority="1237" operator="containsText" text="Reasignación">
      <formula>NOT(ISERROR(SEARCH("Reasignación",K1274)))</formula>
    </cfRule>
    <cfRule type="containsText" dxfId="1248" priority="1238" operator="containsText" text="RECHAZADA">
      <formula>NOT(ISERROR(SEARCH("RECHAZADA",K1274)))</formula>
    </cfRule>
    <cfRule type="containsText" dxfId="1247" priority="1239" operator="containsText" text="Atendida">
      <formula>NOT(ISERROR(SEARCH("Atendida",K1274)))</formula>
    </cfRule>
    <cfRule type="containsText" dxfId="1246" priority="1240" operator="containsText" text="Reasignación">
      <formula>NOT(ISERROR(SEARCH("Reasignación",K1274)))</formula>
    </cfRule>
    <cfRule type="containsText" dxfId="1245" priority="1241" operator="containsText" text="RECHAZADA">
      <formula>NOT(ISERROR(SEARCH("RECHAZADA",K1274)))</formula>
    </cfRule>
    <cfRule type="containsText" dxfId="1244" priority="1242" operator="containsText" text="Atendida">
      <formula>NOT(ISERROR(SEARCH("Atendida",K1274)))</formula>
    </cfRule>
    <cfRule type="containsText" dxfId="1243" priority="1243" operator="containsText" text="Reasignación">
      <formula>NOT(ISERROR(SEARCH("Reasignación",K1274)))</formula>
    </cfRule>
    <cfRule type="containsText" dxfId="1242" priority="1244" operator="containsText" text="RECHAZADA">
      <formula>NOT(ISERROR(SEARCH("RECHAZADA",K1274)))</formula>
    </cfRule>
    <cfRule type="containsText" dxfId="1241" priority="1245" operator="containsText" text="Atendida">
      <formula>NOT(ISERROR(SEARCH("Atendida",K1274)))</formula>
    </cfRule>
    <cfRule type="containsText" dxfId="1240" priority="1246" operator="containsText" text="Reasignación">
      <formula>NOT(ISERROR(SEARCH("Reasignación",K1274)))</formula>
    </cfRule>
    <cfRule type="containsText" dxfId="1239" priority="1247" operator="containsText" text="RECHAZADA">
      <formula>NOT(ISERROR(SEARCH("RECHAZADA",K1274)))</formula>
    </cfRule>
    <cfRule type="containsText" dxfId="1238" priority="1248" operator="containsText" text="Atendida">
      <formula>NOT(ISERROR(SEARCH("Atendida",K1274)))</formula>
    </cfRule>
    <cfRule type="containsText" dxfId="1237" priority="1249" operator="containsText" text="Reasignación">
      <formula>NOT(ISERROR(SEARCH("Reasignación",K1274)))</formula>
    </cfRule>
    <cfRule type="containsText" dxfId="1236" priority="1250" operator="containsText" text="RECHAZADA">
      <formula>NOT(ISERROR(SEARCH("RECHAZADA",K1274)))</formula>
    </cfRule>
    <cfRule type="containsText" dxfId="1235" priority="1251" operator="containsText" text="Atendida">
      <formula>NOT(ISERROR(SEARCH("Atendida",K1274)))</formula>
    </cfRule>
    <cfRule type="containsText" dxfId="1234" priority="1252" operator="containsText" text="Reasignación">
      <formula>NOT(ISERROR(SEARCH("Reasignación",K1274)))</formula>
    </cfRule>
    <cfRule type="containsText" dxfId="1233" priority="1253" operator="containsText" text="RECHAZADA">
      <formula>NOT(ISERROR(SEARCH("RECHAZADA",K1274)))</formula>
    </cfRule>
    <cfRule type="containsText" dxfId="1232" priority="1254" operator="containsText" text="Atendida">
      <formula>NOT(ISERROR(SEARCH("Atendida",K1274)))</formula>
    </cfRule>
    <cfRule type="containsText" dxfId="1231" priority="1255" operator="containsText" text="Reasignación">
      <formula>NOT(ISERROR(SEARCH("Reasignación",K1274)))</formula>
    </cfRule>
    <cfRule type="containsText" dxfId="1230" priority="1256" operator="containsText" text="RECHAZADA">
      <formula>NOT(ISERROR(SEARCH("RECHAZADA",K1274)))</formula>
    </cfRule>
    <cfRule type="containsText" dxfId="1229" priority="1257" operator="containsText" text="Atendida">
      <formula>NOT(ISERROR(SEARCH("Atendida",K1274)))</formula>
    </cfRule>
    <cfRule type="containsText" dxfId="1228" priority="1258" operator="containsText" text="Reasignación">
      <formula>NOT(ISERROR(SEARCH("Reasignación",K1274)))</formula>
    </cfRule>
    <cfRule type="containsText" dxfId="1227" priority="1259" operator="containsText" text="RECHAZADA">
      <formula>NOT(ISERROR(SEARCH("RECHAZADA",K1274)))</formula>
    </cfRule>
    <cfRule type="containsText" dxfId="1226" priority="1260" operator="containsText" text="Atendida">
      <formula>NOT(ISERROR(SEARCH("Atendida",K1274)))</formula>
    </cfRule>
    <cfRule type="containsText" dxfId="1225" priority="1263" operator="containsText" text="Atendida">
      <formula>NOT(ISERROR(SEARCH("Atendida",K1274)))</formula>
    </cfRule>
  </conditionalFormatting>
  <conditionalFormatting sqref="K1274">
    <cfRule type="containsText" dxfId="1224" priority="1228" operator="containsText" text="Reasignación">
      <formula>NOT(ISERROR(SEARCH("Reasignación",K1274)))</formula>
    </cfRule>
    <cfRule type="containsText" dxfId="1223" priority="1229" operator="containsText" text="RECHAZADA">
      <formula>NOT(ISERROR(SEARCH("RECHAZADA",K1274)))</formula>
    </cfRule>
  </conditionalFormatting>
  <conditionalFormatting sqref="K1275">
    <cfRule type="containsText" dxfId="1222" priority="1225" operator="containsText" text="Reasignación">
      <formula>NOT(ISERROR(SEARCH("Reasignación",K1275)))</formula>
    </cfRule>
    <cfRule type="containsText" dxfId="1221" priority="1226" operator="containsText" text="RECHAZADA">
      <formula>NOT(ISERROR(SEARCH("RECHAZADA",K1275)))</formula>
    </cfRule>
  </conditionalFormatting>
  <conditionalFormatting sqref="K1275">
    <cfRule type="containsText" dxfId="1220" priority="1194" operator="containsText" text="Atendida">
      <formula>NOT(ISERROR(SEARCH("Atendida",K1275)))</formula>
    </cfRule>
    <cfRule type="containsText" dxfId="1219" priority="1195" operator="containsText" text="Reasignación">
      <formula>NOT(ISERROR(SEARCH("Reasignación",K1275)))</formula>
    </cfRule>
    <cfRule type="containsText" dxfId="1218" priority="1196" operator="containsText" text="RECHAZADA">
      <formula>NOT(ISERROR(SEARCH("RECHAZADA",K1275)))</formula>
    </cfRule>
    <cfRule type="containsText" dxfId="1217" priority="1197" operator="containsText" text="Atendida">
      <formula>NOT(ISERROR(SEARCH("Atendida",K1275)))</formula>
    </cfRule>
    <cfRule type="containsText" dxfId="1216" priority="1198" operator="containsText" text="Reasignación">
      <formula>NOT(ISERROR(SEARCH("Reasignación",K1275)))</formula>
    </cfRule>
    <cfRule type="containsText" dxfId="1215" priority="1199" operator="containsText" text="RECHAZADA">
      <formula>NOT(ISERROR(SEARCH("RECHAZADA",K1275)))</formula>
    </cfRule>
    <cfRule type="containsText" dxfId="1214" priority="1200" operator="containsText" text="Atendida">
      <formula>NOT(ISERROR(SEARCH("Atendida",K1275)))</formula>
    </cfRule>
    <cfRule type="containsText" dxfId="1213" priority="1201" operator="containsText" text="Reasignación">
      <formula>NOT(ISERROR(SEARCH("Reasignación",K1275)))</formula>
    </cfRule>
    <cfRule type="containsText" dxfId="1212" priority="1202" operator="containsText" text="RECHAZADA">
      <formula>NOT(ISERROR(SEARCH("RECHAZADA",K1275)))</formula>
    </cfRule>
    <cfRule type="containsText" dxfId="1211" priority="1203" operator="containsText" text="Atendida">
      <formula>NOT(ISERROR(SEARCH("Atendida",K1275)))</formula>
    </cfRule>
    <cfRule type="containsText" dxfId="1210" priority="1204" operator="containsText" text="Reasignación">
      <formula>NOT(ISERROR(SEARCH("Reasignación",K1275)))</formula>
    </cfRule>
    <cfRule type="containsText" dxfId="1209" priority="1205" operator="containsText" text="RECHAZADA">
      <formula>NOT(ISERROR(SEARCH("RECHAZADA",K1275)))</formula>
    </cfRule>
    <cfRule type="containsText" dxfId="1208" priority="1206" operator="containsText" text="Atendida">
      <formula>NOT(ISERROR(SEARCH("Atendida",K1275)))</formula>
    </cfRule>
    <cfRule type="containsText" dxfId="1207" priority="1207" operator="containsText" text="Reasignación">
      <formula>NOT(ISERROR(SEARCH("Reasignación",K1275)))</formula>
    </cfRule>
    <cfRule type="containsText" dxfId="1206" priority="1208" operator="containsText" text="RECHAZADA">
      <formula>NOT(ISERROR(SEARCH("RECHAZADA",K1275)))</formula>
    </cfRule>
    <cfRule type="containsText" dxfId="1205" priority="1209" operator="containsText" text="Atendida">
      <formula>NOT(ISERROR(SEARCH("Atendida",K1275)))</formula>
    </cfRule>
    <cfRule type="containsText" dxfId="1204" priority="1210" operator="containsText" text="Reasignación">
      <formula>NOT(ISERROR(SEARCH("Reasignación",K1275)))</formula>
    </cfRule>
    <cfRule type="containsText" dxfId="1203" priority="1211" operator="containsText" text="RECHAZADA">
      <formula>NOT(ISERROR(SEARCH("RECHAZADA",K1275)))</formula>
    </cfRule>
    <cfRule type="containsText" dxfId="1202" priority="1212" operator="containsText" text="Atendida">
      <formula>NOT(ISERROR(SEARCH("Atendida",K1275)))</formula>
    </cfRule>
    <cfRule type="containsText" dxfId="1201" priority="1213" operator="containsText" text="Reasignación">
      <formula>NOT(ISERROR(SEARCH("Reasignación",K1275)))</formula>
    </cfRule>
    <cfRule type="containsText" dxfId="1200" priority="1214" operator="containsText" text="RECHAZADA">
      <formula>NOT(ISERROR(SEARCH("RECHAZADA",K1275)))</formula>
    </cfRule>
    <cfRule type="containsText" dxfId="1199" priority="1215" operator="containsText" text="Atendida">
      <formula>NOT(ISERROR(SEARCH("Atendida",K1275)))</formula>
    </cfRule>
    <cfRule type="containsText" dxfId="1198" priority="1216" operator="containsText" text="Reasignación">
      <formula>NOT(ISERROR(SEARCH("Reasignación",K1275)))</formula>
    </cfRule>
    <cfRule type="containsText" dxfId="1197" priority="1217" operator="containsText" text="RECHAZADA">
      <formula>NOT(ISERROR(SEARCH("RECHAZADA",K1275)))</formula>
    </cfRule>
    <cfRule type="containsText" dxfId="1196" priority="1218" operator="containsText" text="Atendida">
      <formula>NOT(ISERROR(SEARCH("Atendida",K1275)))</formula>
    </cfRule>
    <cfRule type="containsText" dxfId="1195" priority="1219" operator="containsText" text="Reasignación">
      <formula>NOT(ISERROR(SEARCH("Reasignación",K1275)))</formula>
    </cfRule>
    <cfRule type="containsText" dxfId="1194" priority="1220" operator="containsText" text="RECHAZADA">
      <formula>NOT(ISERROR(SEARCH("RECHAZADA",K1275)))</formula>
    </cfRule>
    <cfRule type="containsText" dxfId="1193" priority="1221" operator="containsText" text="Atendida">
      <formula>NOT(ISERROR(SEARCH("Atendida",K1275)))</formula>
    </cfRule>
    <cfRule type="containsText" dxfId="1192" priority="1222" operator="containsText" text="Reasignación">
      <formula>NOT(ISERROR(SEARCH("Reasignación",K1275)))</formula>
    </cfRule>
    <cfRule type="containsText" dxfId="1191" priority="1223" operator="containsText" text="RECHAZADA">
      <formula>NOT(ISERROR(SEARCH("RECHAZADA",K1275)))</formula>
    </cfRule>
    <cfRule type="containsText" dxfId="1190" priority="1224" operator="containsText" text="Atendida">
      <formula>NOT(ISERROR(SEARCH("Atendida",K1275)))</formula>
    </cfRule>
    <cfRule type="containsText" dxfId="1189" priority="1227" operator="containsText" text="Atendida">
      <formula>NOT(ISERROR(SEARCH("Atendida",K1275)))</formula>
    </cfRule>
  </conditionalFormatting>
  <conditionalFormatting sqref="K1275">
    <cfRule type="containsText" dxfId="1188" priority="1192" operator="containsText" text="Reasignación">
      <formula>NOT(ISERROR(SEARCH("Reasignación",K1275)))</formula>
    </cfRule>
    <cfRule type="containsText" dxfId="1187" priority="1193" operator="containsText" text="RECHAZADA">
      <formula>NOT(ISERROR(SEARCH("RECHAZADA",K1275)))</formula>
    </cfRule>
  </conditionalFormatting>
  <conditionalFormatting sqref="K1276">
    <cfRule type="containsText" dxfId="1186" priority="1189" operator="containsText" text="Reasignación">
      <formula>NOT(ISERROR(SEARCH("Reasignación",K1276)))</formula>
    </cfRule>
    <cfRule type="containsText" dxfId="1185" priority="1190" operator="containsText" text="RECHAZADA">
      <formula>NOT(ISERROR(SEARCH("RECHAZADA",K1276)))</formula>
    </cfRule>
  </conditionalFormatting>
  <conditionalFormatting sqref="K1276">
    <cfRule type="containsText" dxfId="1184" priority="1158" operator="containsText" text="Atendida">
      <formula>NOT(ISERROR(SEARCH("Atendida",K1276)))</formula>
    </cfRule>
    <cfRule type="containsText" dxfId="1183" priority="1159" operator="containsText" text="Reasignación">
      <formula>NOT(ISERROR(SEARCH("Reasignación",K1276)))</formula>
    </cfRule>
    <cfRule type="containsText" dxfId="1182" priority="1160" operator="containsText" text="RECHAZADA">
      <formula>NOT(ISERROR(SEARCH("RECHAZADA",K1276)))</formula>
    </cfRule>
    <cfRule type="containsText" dxfId="1181" priority="1161" operator="containsText" text="Atendida">
      <formula>NOT(ISERROR(SEARCH("Atendida",K1276)))</formula>
    </cfRule>
    <cfRule type="containsText" dxfId="1180" priority="1162" operator="containsText" text="Reasignación">
      <formula>NOT(ISERROR(SEARCH("Reasignación",K1276)))</formula>
    </cfRule>
    <cfRule type="containsText" dxfId="1179" priority="1163" operator="containsText" text="RECHAZADA">
      <formula>NOT(ISERROR(SEARCH("RECHAZADA",K1276)))</formula>
    </cfRule>
    <cfRule type="containsText" dxfId="1178" priority="1164" operator="containsText" text="Atendida">
      <formula>NOT(ISERROR(SEARCH("Atendida",K1276)))</formula>
    </cfRule>
    <cfRule type="containsText" dxfId="1177" priority="1165" operator="containsText" text="Reasignación">
      <formula>NOT(ISERROR(SEARCH("Reasignación",K1276)))</formula>
    </cfRule>
    <cfRule type="containsText" dxfId="1176" priority="1166" operator="containsText" text="RECHAZADA">
      <formula>NOT(ISERROR(SEARCH("RECHAZADA",K1276)))</formula>
    </cfRule>
    <cfRule type="containsText" dxfId="1175" priority="1167" operator="containsText" text="Atendida">
      <formula>NOT(ISERROR(SEARCH("Atendida",K1276)))</formula>
    </cfRule>
    <cfRule type="containsText" dxfId="1174" priority="1168" operator="containsText" text="Reasignación">
      <formula>NOT(ISERROR(SEARCH("Reasignación",K1276)))</formula>
    </cfRule>
    <cfRule type="containsText" dxfId="1173" priority="1169" operator="containsText" text="RECHAZADA">
      <formula>NOT(ISERROR(SEARCH("RECHAZADA",K1276)))</formula>
    </cfRule>
    <cfRule type="containsText" dxfId="1172" priority="1170" operator="containsText" text="Atendida">
      <formula>NOT(ISERROR(SEARCH("Atendida",K1276)))</formula>
    </cfRule>
    <cfRule type="containsText" dxfId="1171" priority="1171" operator="containsText" text="Reasignación">
      <formula>NOT(ISERROR(SEARCH("Reasignación",K1276)))</formula>
    </cfRule>
    <cfRule type="containsText" dxfId="1170" priority="1172" operator="containsText" text="RECHAZADA">
      <formula>NOT(ISERROR(SEARCH("RECHAZADA",K1276)))</formula>
    </cfRule>
    <cfRule type="containsText" dxfId="1169" priority="1173" operator="containsText" text="Atendida">
      <formula>NOT(ISERROR(SEARCH("Atendida",K1276)))</formula>
    </cfRule>
    <cfRule type="containsText" dxfId="1168" priority="1174" operator="containsText" text="Reasignación">
      <formula>NOT(ISERROR(SEARCH("Reasignación",K1276)))</formula>
    </cfRule>
    <cfRule type="containsText" dxfId="1167" priority="1175" operator="containsText" text="RECHAZADA">
      <formula>NOT(ISERROR(SEARCH("RECHAZADA",K1276)))</formula>
    </cfRule>
    <cfRule type="containsText" dxfId="1166" priority="1176" operator="containsText" text="Atendida">
      <formula>NOT(ISERROR(SEARCH("Atendida",K1276)))</formula>
    </cfRule>
    <cfRule type="containsText" dxfId="1165" priority="1177" operator="containsText" text="Reasignación">
      <formula>NOT(ISERROR(SEARCH("Reasignación",K1276)))</formula>
    </cfRule>
    <cfRule type="containsText" dxfId="1164" priority="1178" operator="containsText" text="RECHAZADA">
      <formula>NOT(ISERROR(SEARCH("RECHAZADA",K1276)))</formula>
    </cfRule>
    <cfRule type="containsText" dxfId="1163" priority="1179" operator="containsText" text="Atendida">
      <formula>NOT(ISERROR(SEARCH("Atendida",K1276)))</formula>
    </cfRule>
    <cfRule type="containsText" dxfId="1162" priority="1180" operator="containsText" text="Reasignación">
      <formula>NOT(ISERROR(SEARCH("Reasignación",K1276)))</formula>
    </cfRule>
    <cfRule type="containsText" dxfId="1161" priority="1181" operator="containsText" text="RECHAZADA">
      <formula>NOT(ISERROR(SEARCH("RECHAZADA",K1276)))</formula>
    </cfRule>
    <cfRule type="containsText" dxfId="1160" priority="1182" operator="containsText" text="Atendida">
      <formula>NOT(ISERROR(SEARCH("Atendida",K1276)))</formula>
    </cfRule>
    <cfRule type="containsText" dxfId="1159" priority="1183" operator="containsText" text="Reasignación">
      <formula>NOT(ISERROR(SEARCH("Reasignación",K1276)))</formula>
    </cfRule>
    <cfRule type="containsText" dxfId="1158" priority="1184" operator="containsText" text="RECHAZADA">
      <formula>NOT(ISERROR(SEARCH("RECHAZADA",K1276)))</formula>
    </cfRule>
    <cfRule type="containsText" dxfId="1157" priority="1185" operator="containsText" text="Atendida">
      <formula>NOT(ISERROR(SEARCH("Atendida",K1276)))</formula>
    </cfRule>
    <cfRule type="containsText" dxfId="1156" priority="1186" operator="containsText" text="Reasignación">
      <formula>NOT(ISERROR(SEARCH("Reasignación",K1276)))</formula>
    </cfRule>
    <cfRule type="containsText" dxfId="1155" priority="1187" operator="containsText" text="RECHAZADA">
      <formula>NOT(ISERROR(SEARCH("RECHAZADA",K1276)))</formula>
    </cfRule>
    <cfRule type="containsText" dxfId="1154" priority="1188" operator="containsText" text="Atendida">
      <formula>NOT(ISERROR(SEARCH("Atendida",K1276)))</formula>
    </cfRule>
    <cfRule type="containsText" dxfId="1153" priority="1191" operator="containsText" text="Atendida">
      <formula>NOT(ISERROR(SEARCH("Atendida",K1276)))</formula>
    </cfRule>
  </conditionalFormatting>
  <conditionalFormatting sqref="K1276">
    <cfRule type="containsText" dxfId="1152" priority="1156" operator="containsText" text="Reasignación">
      <formula>NOT(ISERROR(SEARCH("Reasignación",K1276)))</formula>
    </cfRule>
    <cfRule type="containsText" dxfId="1151" priority="1157" operator="containsText" text="RECHAZADA">
      <formula>NOT(ISERROR(SEARCH("RECHAZADA",K1276)))</formula>
    </cfRule>
  </conditionalFormatting>
  <conditionalFormatting sqref="K1277">
    <cfRule type="containsText" dxfId="1150" priority="1153" operator="containsText" text="Reasignación">
      <formula>NOT(ISERROR(SEARCH("Reasignación",K1277)))</formula>
    </cfRule>
    <cfRule type="containsText" dxfId="1149" priority="1154" operator="containsText" text="RECHAZADA">
      <formula>NOT(ISERROR(SEARCH("RECHAZADA",K1277)))</formula>
    </cfRule>
  </conditionalFormatting>
  <conditionalFormatting sqref="K1277">
    <cfRule type="containsText" dxfId="1148" priority="1122" operator="containsText" text="Atendida">
      <formula>NOT(ISERROR(SEARCH("Atendida",K1277)))</formula>
    </cfRule>
    <cfRule type="containsText" dxfId="1147" priority="1123" operator="containsText" text="Reasignación">
      <formula>NOT(ISERROR(SEARCH("Reasignación",K1277)))</formula>
    </cfRule>
    <cfRule type="containsText" dxfId="1146" priority="1124" operator="containsText" text="RECHAZADA">
      <formula>NOT(ISERROR(SEARCH("RECHAZADA",K1277)))</formula>
    </cfRule>
    <cfRule type="containsText" dxfId="1145" priority="1125" operator="containsText" text="Atendida">
      <formula>NOT(ISERROR(SEARCH("Atendida",K1277)))</formula>
    </cfRule>
    <cfRule type="containsText" dxfId="1144" priority="1126" operator="containsText" text="Reasignación">
      <formula>NOT(ISERROR(SEARCH("Reasignación",K1277)))</formula>
    </cfRule>
    <cfRule type="containsText" dxfId="1143" priority="1127" operator="containsText" text="RECHAZADA">
      <formula>NOT(ISERROR(SEARCH("RECHAZADA",K1277)))</formula>
    </cfRule>
    <cfRule type="containsText" dxfId="1142" priority="1128" operator="containsText" text="Atendida">
      <formula>NOT(ISERROR(SEARCH("Atendida",K1277)))</formula>
    </cfRule>
    <cfRule type="containsText" dxfId="1141" priority="1129" operator="containsText" text="Reasignación">
      <formula>NOT(ISERROR(SEARCH("Reasignación",K1277)))</formula>
    </cfRule>
    <cfRule type="containsText" dxfId="1140" priority="1130" operator="containsText" text="RECHAZADA">
      <formula>NOT(ISERROR(SEARCH("RECHAZADA",K1277)))</formula>
    </cfRule>
    <cfRule type="containsText" dxfId="1139" priority="1131" operator="containsText" text="Atendida">
      <formula>NOT(ISERROR(SEARCH("Atendida",K1277)))</formula>
    </cfRule>
    <cfRule type="containsText" dxfId="1138" priority="1132" operator="containsText" text="Reasignación">
      <formula>NOT(ISERROR(SEARCH("Reasignación",K1277)))</formula>
    </cfRule>
    <cfRule type="containsText" dxfId="1137" priority="1133" operator="containsText" text="RECHAZADA">
      <formula>NOT(ISERROR(SEARCH("RECHAZADA",K1277)))</formula>
    </cfRule>
    <cfRule type="containsText" dxfId="1136" priority="1134" operator="containsText" text="Atendida">
      <formula>NOT(ISERROR(SEARCH("Atendida",K1277)))</formula>
    </cfRule>
    <cfRule type="containsText" dxfId="1135" priority="1135" operator="containsText" text="Reasignación">
      <formula>NOT(ISERROR(SEARCH("Reasignación",K1277)))</formula>
    </cfRule>
    <cfRule type="containsText" dxfId="1134" priority="1136" operator="containsText" text="RECHAZADA">
      <formula>NOT(ISERROR(SEARCH("RECHAZADA",K1277)))</formula>
    </cfRule>
    <cfRule type="containsText" dxfId="1133" priority="1137" operator="containsText" text="Atendida">
      <formula>NOT(ISERROR(SEARCH("Atendida",K1277)))</formula>
    </cfRule>
    <cfRule type="containsText" dxfId="1132" priority="1138" operator="containsText" text="Reasignación">
      <formula>NOT(ISERROR(SEARCH("Reasignación",K1277)))</formula>
    </cfRule>
    <cfRule type="containsText" dxfId="1131" priority="1139" operator="containsText" text="RECHAZADA">
      <formula>NOT(ISERROR(SEARCH("RECHAZADA",K1277)))</formula>
    </cfRule>
    <cfRule type="containsText" dxfId="1130" priority="1140" operator="containsText" text="Atendida">
      <formula>NOT(ISERROR(SEARCH("Atendida",K1277)))</formula>
    </cfRule>
    <cfRule type="containsText" dxfId="1129" priority="1141" operator="containsText" text="Reasignación">
      <formula>NOT(ISERROR(SEARCH("Reasignación",K1277)))</formula>
    </cfRule>
    <cfRule type="containsText" dxfId="1128" priority="1142" operator="containsText" text="RECHAZADA">
      <formula>NOT(ISERROR(SEARCH("RECHAZADA",K1277)))</formula>
    </cfRule>
    <cfRule type="containsText" dxfId="1127" priority="1143" operator="containsText" text="Atendida">
      <formula>NOT(ISERROR(SEARCH("Atendida",K1277)))</formula>
    </cfRule>
    <cfRule type="containsText" dxfId="1126" priority="1144" operator="containsText" text="Reasignación">
      <formula>NOT(ISERROR(SEARCH("Reasignación",K1277)))</formula>
    </cfRule>
    <cfRule type="containsText" dxfId="1125" priority="1145" operator="containsText" text="RECHAZADA">
      <formula>NOT(ISERROR(SEARCH("RECHAZADA",K1277)))</formula>
    </cfRule>
    <cfRule type="containsText" dxfId="1124" priority="1146" operator="containsText" text="Atendida">
      <formula>NOT(ISERROR(SEARCH("Atendida",K1277)))</formula>
    </cfRule>
    <cfRule type="containsText" dxfId="1123" priority="1147" operator="containsText" text="Reasignación">
      <formula>NOT(ISERROR(SEARCH("Reasignación",K1277)))</formula>
    </cfRule>
    <cfRule type="containsText" dxfId="1122" priority="1148" operator="containsText" text="RECHAZADA">
      <formula>NOT(ISERROR(SEARCH("RECHAZADA",K1277)))</formula>
    </cfRule>
    <cfRule type="containsText" dxfId="1121" priority="1149" operator="containsText" text="Atendida">
      <formula>NOT(ISERROR(SEARCH("Atendida",K1277)))</formula>
    </cfRule>
    <cfRule type="containsText" dxfId="1120" priority="1150" operator="containsText" text="Reasignación">
      <formula>NOT(ISERROR(SEARCH("Reasignación",K1277)))</formula>
    </cfRule>
    <cfRule type="containsText" dxfId="1119" priority="1151" operator="containsText" text="RECHAZADA">
      <formula>NOT(ISERROR(SEARCH("RECHAZADA",K1277)))</formula>
    </cfRule>
    <cfRule type="containsText" dxfId="1118" priority="1152" operator="containsText" text="Atendida">
      <formula>NOT(ISERROR(SEARCH("Atendida",K1277)))</formula>
    </cfRule>
    <cfRule type="containsText" dxfId="1117" priority="1155" operator="containsText" text="Atendida">
      <formula>NOT(ISERROR(SEARCH("Atendida",K1277)))</formula>
    </cfRule>
  </conditionalFormatting>
  <conditionalFormatting sqref="K1277">
    <cfRule type="containsText" dxfId="1116" priority="1120" operator="containsText" text="Reasignación">
      <formula>NOT(ISERROR(SEARCH("Reasignación",K1277)))</formula>
    </cfRule>
    <cfRule type="containsText" dxfId="1115" priority="1121" operator="containsText" text="RECHAZADA">
      <formula>NOT(ISERROR(SEARCH("RECHAZADA",K1277)))</formula>
    </cfRule>
  </conditionalFormatting>
  <conditionalFormatting sqref="M1276:M1277 M1267:M1274 M1265 M1260:M1263">
    <cfRule type="containsText" dxfId="1114" priority="1115" operator="containsText" text="RECHAZADA">
      <formula>NOT(ISERROR(SEARCH("RECHAZADA",M1260)))</formula>
    </cfRule>
  </conditionalFormatting>
  <conditionalFormatting sqref="M1276:M1277 M1267:M1274 M1265 M1260:M1263">
    <cfRule type="containsText" dxfId="1113" priority="1116" operator="containsText" text="Atendida">
      <formula>NOT(ISERROR(SEARCH("Atendida",M1260)))</formula>
    </cfRule>
  </conditionalFormatting>
  <conditionalFormatting sqref="M1276:M1277 M1267:M1274 M1265 M1260:M1263">
    <cfRule type="containsText" dxfId="1112" priority="1113" operator="containsText" text="OBSERVADO">
      <formula>NOT(ISERROR(SEARCH("OBSERVADO",M1260)))</formula>
    </cfRule>
  </conditionalFormatting>
  <conditionalFormatting sqref="M1276:M1277 M1267:M1274 M1265 M1260:M1263">
    <cfRule type="containsText" dxfId="1111" priority="1114" operator="containsText" text="CONFORME">
      <formula>NOT(ISERROR(SEARCH("CONFORME",M1260)))</formula>
    </cfRule>
  </conditionalFormatting>
  <conditionalFormatting sqref="M1264">
    <cfRule type="containsText" dxfId="1110" priority="1111" operator="containsText" text="RECHAZADA">
      <formula>NOT(ISERROR(SEARCH("RECHAZADA",M1264)))</formula>
    </cfRule>
  </conditionalFormatting>
  <conditionalFormatting sqref="M1264">
    <cfRule type="containsText" dxfId="1109" priority="1112" operator="containsText" text="Atendida">
      <formula>NOT(ISERROR(SEARCH("Atendida",M1264)))</formula>
    </cfRule>
  </conditionalFormatting>
  <conditionalFormatting sqref="M1264">
    <cfRule type="containsText" dxfId="1108" priority="1109" operator="containsText" text="OBSERVADO">
      <formula>NOT(ISERROR(SEARCH("OBSERVADO",M1264)))</formula>
    </cfRule>
  </conditionalFormatting>
  <conditionalFormatting sqref="M1264">
    <cfRule type="containsText" dxfId="1107" priority="1110" operator="containsText" text="CONFORME">
      <formula>NOT(ISERROR(SEARCH("CONFORME",M1264)))</formula>
    </cfRule>
  </conditionalFormatting>
  <conditionalFormatting sqref="M1266">
    <cfRule type="containsText" dxfId="1106" priority="1107" operator="containsText" text="RECHAZADA">
      <formula>NOT(ISERROR(SEARCH("RECHAZADA",M1266)))</formula>
    </cfRule>
  </conditionalFormatting>
  <conditionalFormatting sqref="M1266">
    <cfRule type="containsText" dxfId="1105" priority="1108" operator="containsText" text="Atendida">
      <formula>NOT(ISERROR(SEARCH("Atendida",M1266)))</formula>
    </cfRule>
  </conditionalFormatting>
  <conditionalFormatting sqref="M1266">
    <cfRule type="containsText" dxfId="1104" priority="1105" operator="containsText" text="OBSERVADO">
      <formula>NOT(ISERROR(SEARCH("OBSERVADO",M1266)))</formula>
    </cfRule>
  </conditionalFormatting>
  <conditionalFormatting sqref="M1266">
    <cfRule type="containsText" dxfId="1103" priority="1106" operator="containsText" text="CONFORME">
      <formula>NOT(ISERROR(SEARCH("CONFORME",M1266)))</formula>
    </cfRule>
  </conditionalFormatting>
  <conditionalFormatting sqref="M1275">
    <cfRule type="containsText" dxfId="1102" priority="1103" operator="containsText" text="RECHAZADA">
      <formula>NOT(ISERROR(SEARCH("RECHAZADA",M1275)))</formula>
    </cfRule>
  </conditionalFormatting>
  <conditionalFormatting sqref="M1275">
    <cfRule type="containsText" dxfId="1101" priority="1104" operator="containsText" text="Atendida">
      <formula>NOT(ISERROR(SEARCH("Atendida",M1275)))</formula>
    </cfRule>
  </conditionalFormatting>
  <conditionalFormatting sqref="M1275">
    <cfRule type="containsText" dxfId="1100" priority="1101" operator="containsText" text="OBSERVADO">
      <formula>NOT(ISERROR(SEARCH("OBSERVADO",M1275)))</formula>
    </cfRule>
  </conditionalFormatting>
  <conditionalFormatting sqref="M1275">
    <cfRule type="containsText" dxfId="1099" priority="1102" operator="containsText" text="CONFORME">
      <formula>NOT(ISERROR(SEARCH("CONFORME",M1275)))</formula>
    </cfRule>
  </conditionalFormatting>
  <conditionalFormatting sqref="B1285:B1290 B1278">
    <cfRule type="duplicateValues" dxfId="1098" priority="1096"/>
  </conditionalFormatting>
  <conditionalFormatting sqref="E1278:E1290">
    <cfRule type="duplicateValues" dxfId="1097" priority="1097"/>
  </conditionalFormatting>
  <conditionalFormatting sqref="B1284 B1280:B1282">
    <cfRule type="duplicateValues" dxfId="1096" priority="1095"/>
  </conditionalFormatting>
  <conditionalFormatting sqref="M1285:M1290 M1278:M1280">
    <cfRule type="containsText" dxfId="1095" priority="1093" operator="containsText" text="RECHAZADA">
      <formula>NOT(ISERROR(SEARCH("RECHAZADA",M1278)))</formula>
    </cfRule>
  </conditionalFormatting>
  <conditionalFormatting sqref="M1285:M1290 M1278:M1280">
    <cfRule type="containsText" dxfId="1094" priority="1094" operator="containsText" text="Atendida">
      <formula>NOT(ISERROR(SEARCH("Atendida",M1278)))</formula>
    </cfRule>
  </conditionalFormatting>
  <conditionalFormatting sqref="K1278">
    <cfRule type="containsText" dxfId="1093" priority="1088" operator="containsText" text="Reasignación">
      <formula>NOT(ISERROR(SEARCH("Reasignación",K1278)))</formula>
    </cfRule>
  </conditionalFormatting>
  <conditionalFormatting sqref="K1278">
    <cfRule type="containsText" dxfId="1092" priority="1056" operator="containsText" text="RECHAZADA">
      <formula>NOT(ISERROR(SEARCH("RECHAZADA",K1278)))</formula>
    </cfRule>
    <cfRule type="containsText" dxfId="1091" priority="1057" operator="containsText" text="Atendida">
      <formula>NOT(ISERROR(SEARCH("Atendida",K1278)))</formula>
    </cfRule>
    <cfRule type="containsText" dxfId="1090" priority="1058" operator="containsText" text="Reasignación">
      <formula>NOT(ISERROR(SEARCH("Reasignación",K1278)))</formula>
    </cfRule>
    <cfRule type="containsText" dxfId="1089" priority="1059" operator="containsText" text="RECHAZADA">
      <formula>NOT(ISERROR(SEARCH("RECHAZADA",K1278)))</formula>
    </cfRule>
    <cfRule type="containsText" dxfId="1088" priority="1060" operator="containsText" text="Atendida">
      <formula>NOT(ISERROR(SEARCH("Atendida",K1278)))</formula>
    </cfRule>
    <cfRule type="containsText" dxfId="1087" priority="1061" operator="containsText" text="Reasignación">
      <formula>NOT(ISERROR(SEARCH("Reasignación",K1278)))</formula>
    </cfRule>
    <cfRule type="containsText" dxfId="1086" priority="1062" operator="containsText" text="RECHAZADA">
      <formula>NOT(ISERROR(SEARCH("RECHAZADA",K1278)))</formula>
    </cfRule>
    <cfRule type="containsText" dxfId="1085" priority="1063" operator="containsText" text="Atendida">
      <formula>NOT(ISERROR(SEARCH("Atendida",K1278)))</formula>
    </cfRule>
    <cfRule type="containsText" dxfId="1084" priority="1064" operator="containsText" text="Reasignación">
      <formula>NOT(ISERROR(SEARCH("Reasignación",K1278)))</formula>
    </cfRule>
    <cfRule type="containsText" dxfId="1083" priority="1065" operator="containsText" text="RECHAZADA">
      <formula>NOT(ISERROR(SEARCH("RECHAZADA",K1278)))</formula>
    </cfRule>
    <cfRule type="containsText" dxfId="1082" priority="1066" operator="containsText" text="Atendida">
      <formula>NOT(ISERROR(SEARCH("Atendida",K1278)))</formula>
    </cfRule>
    <cfRule type="containsText" dxfId="1081" priority="1067" operator="containsText" text="Reasignación">
      <formula>NOT(ISERROR(SEARCH("Reasignación",K1278)))</formula>
    </cfRule>
    <cfRule type="containsText" dxfId="1080" priority="1068" operator="containsText" text="RECHAZADA">
      <formula>NOT(ISERROR(SEARCH("RECHAZADA",K1278)))</formula>
    </cfRule>
    <cfRule type="containsText" dxfId="1079" priority="1069" operator="containsText" text="Atendida">
      <formula>NOT(ISERROR(SEARCH("Atendida",K1278)))</formula>
    </cfRule>
    <cfRule type="containsText" dxfId="1078" priority="1070" operator="containsText" text="Reasignación">
      <formula>NOT(ISERROR(SEARCH("Reasignación",K1278)))</formula>
    </cfRule>
    <cfRule type="containsText" dxfId="1077" priority="1071" operator="containsText" text="RECHAZADA">
      <formula>NOT(ISERROR(SEARCH("RECHAZADA",K1278)))</formula>
    </cfRule>
    <cfRule type="containsText" dxfId="1076" priority="1072" operator="containsText" text="Atendida">
      <formula>NOT(ISERROR(SEARCH("Atendida",K1278)))</formula>
    </cfRule>
    <cfRule type="containsText" dxfId="1075" priority="1073" operator="containsText" text="Reasignación">
      <formula>NOT(ISERROR(SEARCH("Reasignación",K1278)))</formula>
    </cfRule>
    <cfRule type="containsText" dxfId="1074" priority="1074" operator="containsText" text="RECHAZADA">
      <formula>NOT(ISERROR(SEARCH("RECHAZADA",K1278)))</formula>
    </cfRule>
    <cfRule type="containsText" dxfId="1073" priority="1075" operator="containsText" text="Atendida">
      <formula>NOT(ISERROR(SEARCH("Atendida",K1278)))</formula>
    </cfRule>
    <cfRule type="containsText" dxfId="1072" priority="1076" operator="containsText" text="Reasignación">
      <formula>NOT(ISERROR(SEARCH("Reasignación",K1278)))</formula>
    </cfRule>
    <cfRule type="containsText" dxfId="1071" priority="1077" operator="containsText" text="RECHAZADA">
      <formula>NOT(ISERROR(SEARCH("RECHAZADA",K1278)))</formula>
    </cfRule>
    <cfRule type="containsText" dxfId="1070" priority="1078" operator="containsText" text="Atendida">
      <formula>NOT(ISERROR(SEARCH("Atendida",K1278)))</formula>
    </cfRule>
    <cfRule type="containsText" dxfId="1069" priority="1079" operator="containsText" text="Reasignación">
      <formula>NOT(ISERROR(SEARCH("Reasignación",K1278)))</formula>
    </cfRule>
    <cfRule type="containsText" dxfId="1068" priority="1080" operator="containsText" text="RECHAZADA">
      <formula>NOT(ISERROR(SEARCH("RECHAZADA",K1278)))</formula>
    </cfRule>
    <cfRule type="containsText" dxfId="1067" priority="1081" operator="containsText" text="Atendida">
      <formula>NOT(ISERROR(SEARCH("Atendida",K1278)))</formula>
    </cfRule>
    <cfRule type="containsText" dxfId="1066" priority="1082" operator="containsText" text="Reasignación">
      <formula>NOT(ISERROR(SEARCH("Reasignación",K1278)))</formula>
    </cfRule>
    <cfRule type="containsText" dxfId="1065" priority="1083" operator="containsText" text="RECHAZADA">
      <formula>NOT(ISERROR(SEARCH("RECHAZADA",K1278)))</formula>
    </cfRule>
    <cfRule type="containsText" dxfId="1064" priority="1084" operator="containsText" text="Atendida">
      <formula>NOT(ISERROR(SEARCH("Atendida",K1278)))</formula>
    </cfRule>
    <cfRule type="containsText" dxfId="1063" priority="1085" operator="containsText" text="Reasignación">
      <formula>NOT(ISERROR(SEARCH("Reasignación",K1278)))</formula>
    </cfRule>
    <cfRule type="containsText" dxfId="1062" priority="1086" operator="containsText" text="RECHAZADA">
      <formula>NOT(ISERROR(SEARCH("RECHAZADA",K1278)))</formula>
    </cfRule>
    <cfRule type="containsText" dxfId="1061" priority="1087" operator="containsText" text="Atendida">
      <formula>NOT(ISERROR(SEARCH("Atendida",K1278)))</formula>
    </cfRule>
    <cfRule type="containsText" dxfId="1060" priority="1089" operator="containsText" text="RECHAZADA">
      <formula>NOT(ISERROR(SEARCH("RECHAZADA",K1278)))</formula>
    </cfRule>
    <cfRule type="containsText" dxfId="1059" priority="1090" operator="containsText" text="Atendida">
      <formula>NOT(ISERROR(SEARCH("Atendida",K1278)))</formula>
    </cfRule>
  </conditionalFormatting>
  <conditionalFormatting sqref="K1278">
    <cfRule type="containsText" dxfId="1058" priority="1055" operator="containsText" text="Reasignación">
      <formula>NOT(ISERROR(SEARCH("Reasignación",K1278)))</formula>
    </cfRule>
  </conditionalFormatting>
  <conditionalFormatting sqref="M1285:M1290 M1278:M1280">
    <cfRule type="containsText" dxfId="1057" priority="1091" operator="containsText" text="OBSERVADO">
      <formula>NOT(ISERROR(SEARCH("OBSERVADO",M1278)))</formula>
    </cfRule>
  </conditionalFormatting>
  <conditionalFormatting sqref="M1285:M1290 M1278:M1280">
    <cfRule type="containsText" dxfId="1056" priority="1092" operator="containsText" text="CONFORME">
      <formula>NOT(ISERROR(SEARCH("CONFORME",M1278)))</formula>
    </cfRule>
  </conditionalFormatting>
  <conditionalFormatting sqref="K1279">
    <cfRule type="containsText" dxfId="1055" priority="1019" operator="containsText" text="Reasignación">
      <formula>NOT(ISERROR(SEARCH("Reasignación",K1279)))</formula>
    </cfRule>
    <cfRule type="containsText" dxfId="1054" priority="1020" operator="containsText" text="RECHAZADA">
      <formula>NOT(ISERROR(SEARCH("RECHAZADA",K1279)))</formula>
    </cfRule>
    <cfRule type="containsText" dxfId="1053" priority="1021" operator="containsText" text="Atendida">
      <formula>NOT(ISERROR(SEARCH("Atendida",K1279)))</formula>
    </cfRule>
    <cfRule type="containsText" dxfId="1052" priority="1022" operator="containsText" text="Reasignación">
      <formula>NOT(ISERROR(SEARCH("Reasignación",K1279)))</formula>
    </cfRule>
    <cfRule type="containsText" dxfId="1051" priority="1023" operator="containsText" text="RECHAZADA">
      <formula>NOT(ISERROR(SEARCH("RECHAZADA",K1279)))</formula>
    </cfRule>
    <cfRule type="containsText" dxfId="1050" priority="1024" operator="containsText" text="Atendida">
      <formula>NOT(ISERROR(SEARCH("Atendida",K1279)))</formula>
    </cfRule>
    <cfRule type="containsText" dxfId="1049" priority="1025" operator="containsText" text="Reasignación">
      <formula>NOT(ISERROR(SEARCH("Reasignación",K1279)))</formula>
    </cfRule>
    <cfRule type="containsText" dxfId="1048" priority="1026" operator="containsText" text="RECHAZADA">
      <formula>NOT(ISERROR(SEARCH("RECHAZADA",K1279)))</formula>
    </cfRule>
    <cfRule type="containsText" dxfId="1047" priority="1027" operator="containsText" text="Atendida">
      <formula>NOT(ISERROR(SEARCH("Atendida",K1279)))</formula>
    </cfRule>
    <cfRule type="containsText" dxfId="1046" priority="1028" operator="containsText" text="Reasignación">
      <formula>NOT(ISERROR(SEARCH("Reasignación",K1279)))</formula>
    </cfRule>
    <cfRule type="containsText" dxfId="1045" priority="1029" operator="containsText" text="RECHAZADA">
      <formula>NOT(ISERROR(SEARCH("RECHAZADA",K1279)))</formula>
    </cfRule>
    <cfRule type="containsText" dxfId="1044" priority="1030" operator="containsText" text="Atendida">
      <formula>NOT(ISERROR(SEARCH("Atendida",K1279)))</formula>
    </cfRule>
    <cfRule type="containsText" dxfId="1043" priority="1031" operator="containsText" text="Reasignación">
      <formula>NOT(ISERROR(SEARCH("Reasignación",K1279)))</formula>
    </cfRule>
    <cfRule type="containsText" dxfId="1042" priority="1032" operator="containsText" text="RECHAZADA">
      <formula>NOT(ISERROR(SEARCH("RECHAZADA",K1279)))</formula>
    </cfRule>
    <cfRule type="containsText" dxfId="1041" priority="1033" operator="containsText" text="Atendida">
      <formula>NOT(ISERROR(SEARCH("Atendida",K1279)))</formula>
    </cfRule>
    <cfRule type="containsText" dxfId="1040" priority="1034" operator="containsText" text="Reasignación">
      <formula>NOT(ISERROR(SEARCH("Reasignación",K1279)))</formula>
    </cfRule>
    <cfRule type="containsText" dxfId="1039" priority="1035" operator="containsText" text="RECHAZADA">
      <formula>NOT(ISERROR(SEARCH("RECHAZADA",K1279)))</formula>
    </cfRule>
    <cfRule type="containsText" dxfId="1038" priority="1036" operator="containsText" text="Atendida">
      <formula>NOT(ISERROR(SEARCH("Atendida",K1279)))</formula>
    </cfRule>
    <cfRule type="containsText" dxfId="1037" priority="1037" operator="containsText" text="Reasignación">
      <formula>NOT(ISERROR(SEARCH("Reasignación",K1279)))</formula>
    </cfRule>
    <cfRule type="containsText" dxfId="1036" priority="1038" operator="containsText" text="RECHAZADA">
      <formula>NOT(ISERROR(SEARCH("RECHAZADA",K1279)))</formula>
    </cfRule>
    <cfRule type="containsText" dxfId="1035" priority="1039" operator="containsText" text="Atendida">
      <formula>NOT(ISERROR(SEARCH("Atendida",K1279)))</formula>
    </cfRule>
    <cfRule type="containsText" dxfId="1034" priority="1040" operator="containsText" text="Reasignación">
      <formula>NOT(ISERROR(SEARCH("Reasignación",K1279)))</formula>
    </cfRule>
    <cfRule type="containsText" dxfId="1033" priority="1041" operator="containsText" text="RECHAZADA">
      <formula>NOT(ISERROR(SEARCH("RECHAZADA",K1279)))</formula>
    </cfRule>
    <cfRule type="containsText" dxfId="1032" priority="1042" operator="containsText" text="Atendida">
      <formula>NOT(ISERROR(SEARCH("Atendida",K1279)))</formula>
    </cfRule>
    <cfRule type="containsText" dxfId="1031" priority="1043" operator="containsText" text="Reasignación">
      <formula>NOT(ISERROR(SEARCH("Reasignación",K1279)))</formula>
    </cfRule>
    <cfRule type="containsText" dxfId="1030" priority="1044" operator="containsText" text="RECHAZADA">
      <formula>NOT(ISERROR(SEARCH("RECHAZADA",K1279)))</formula>
    </cfRule>
    <cfRule type="containsText" dxfId="1029" priority="1045" operator="containsText" text="Atendida">
      <formula>NOT(ISERROR(SEARCH("Atendida",K1279)))</formula>
    </cfRule>
    <cfRule type="containsText" dxfId="1028" priority="1046" operator="containsText" text="Reasignación">
      <formula>NOT(ISERROR(SEARCH("Reasignación",K1279)))</formula>
    </cfRule>
    <cfRule type="containsText" dxfId="1027" priority="1047" operator="containsText" text="RECHAZADA">
      <formula>NOT(ISERROR(SEARCH("RECHAZADA",K1279)))</formula>
    </cfRule>
    <cfRule type="containsText" dxfId="1026" priority="1048" operator="containsText" text="Atendida">
      <formula>NOT(ISERROR(SEARCH("Atendida",K1279)))</formula>
    </cfRule>
    <cfRule type="containsText" dxfId="1025" priority="1049" operator="containsText" text="Reasignación">
      <formula>NOT(ISERROR(SEARCH("Reasignación",K1279)))</formula>
    </cfRule>
    <cfRule type="containsText" dxfId="1024" priority="1050" operator="containsText" text="RECHAZADA">
      <formula>NOT(ISERROR(SEARCH("RECHAZADA",K1279)))</formula>
    </cfRule>
    <cfRule type="containsText" dxfId="1023" priority="1051" operator="containsText" text="Atendida">
      <formula>NOT(ISERROR(SEARCH("Atendida",K1279)))</formula>
    </cfRule>
    <cfRule type="containsText" dxfId="1022" priority="1052" operator="containsText" text="Reasignación">
      <formula>NOT(ISERROR(SEARCH("Reasignación",K1279)))</formula>
    </cfRule>
    <cfRule type="containsText" dxfId="1021" priority="1053" operator="containsText" text="RECHAZADA">
      <formula>NOT(ISERROR(SEARCH("RECHAZADA",K1279)))</formula>
    </cfRule>
    <cfRule type="containsText" dxfId="1020" priority="1054" operator="containsText" text="Atendida">
      <formula>NOT(ISERROR(SEARCH("Atendida",K1279)))</formula>
    </cfRule>
  </conditionalFormatting>
  <conditionalFormatting sqref="K1280">
    <cfRule type="containsText" dxfId="1019" priority="983" operator="containsText" text="Reasignación">
      <formula>NOT(ISERROR(SEARCH("Reasignación",K1280)))</formula>
    </cfRule>
    <cfRule type="containsText" dxfId="1018" priority="984" operator="containsText" text="RECHAZADA">
      <formula>NOT(ISERROR(SEARCH("RECHAZADA",K1280)))</formula>
    </cfRule>
    <cfRule type="containsText" dxfId="1017" priority="985" operator="containsText" text="Atendida">
      <formula>NOT(ISERROR(SEARCH("Atendida",K1280)))</formula>
    </cfRule>
    <cfRule type="containsText" dxfId="1016" priority="986" operator="containsText" text="Reasignación">
      <formula>NOT(ISERROR(SEARCH("Reasignación",K1280)))</formula>
    </cfRule>
    <cfRule type="containsText" dxfId="1015" priority="987" operator="containsText" text="RECHAZADA">
      <formula>NOT(ISERROR(SEARCH("RECHAZADA",K1280)))</formula>
    </cfRule>
    <cfRule type="containsText" dxfId="1014" priority="988" operator="containsText" text="Atendida">
      <formula>NOT(ISERROR(SEARCH("Atendida",K1280)))</formula>
    </cfRule>
    <cfRule type="containsText" dxfId="1013" priority="989" operator="containsText" text="Reasignación">
      <formula>NOT(ISERROR(SEARCH("Reasignación",K1280)))</formula>
    </cfRule>
    <cfRule type="containsText" dxfId="1012" priority="990" operator="containsText" text="RECHAZADA">
      <formula>NOT(ISERROR(SEARCH("RECHAZADA",K1280)))</formula>
    </cfRule>
    <cfRule type="containsText" dxfId="1011" priority="991" operator="containsText" text="Atendida">
      <formula>NOT(ISERROR(SEARCH("Atendida",K1280)))</formula>
    </cfRule>
    <cfRule type="containsText" dxfId="1010" priority="992" operator="containsText" text="Reasignación">
      <formula>NOT(ISERROR(SEARCH("Reasignación",K1280)))</formula>
    </cfRule>
    <cfRule type="containsText" dxfId="1009" priority="993" operator="containsText" text="RECHAZADA">
      <formula>NOT(ISERROR(SEARCH("RECHAZADA",K1280)))</formula>
    </cfRule>
    <cfRule type="containsText" dxfId="1008" priority="994" operator="containsText" text="Atendida">
      <formula>NOT(ISERROR(SEARCH("Atendida",K1280)))</formula>
    </cfRule>
    <cfRule type="containsText" dxfId="1007" priority="995" operator="containsText" text="Reasignación">
      <formula>NOT(ISERROR(SEARCH("Reasignación",K1280)))</formula>
    </cfRule>
    <cfRule type="containsText" dxfId="1006" priority="996" operator="containsText" text="RECHAZADA">
      <formula>NOT(ISERROR(SEARCH("RECHAZADA",K1280)))</formula>
    </cfRule>
    <cfRule type="containsText" dxfId="1005" priority="997" operator="containsText" text="Atendida">
      <formula>NOT(ISERROR(SEARCH("Atendida",K1280)))</formula>
    </cfRule>
    <cfRule type="containsText" dxfId="1004" priority="998" operator="containsText" text="Reasignación">
      <formula>NOT(ISERROR(SEARCH("Reasignación",K1280)))</formula>
    </cfRule>
    <cfRule type="containsText" dxfId="1003" priority="999" operator="containsText" text="RECHAZADA">
      <formula>NOT(ISERROR(SEARCH("RECHAZADA",K1280)))</formula>
    </cfRule>
    <cfRule type="containsText" dxfId="1002" priority="1000" operator="containsText" text="Atendida">
      <formula>NOT(ISERROR(SEARCH("Atendida",K1280)))</formula>
    </cfRule>
    <cfRule type="containsText" dxfId="1001" priority="1001" operator="containsText" text="Reasignación">
      <formula>NOT(ISERROR(SEARCH("Reasignación",K1280)))</formula>
    </cfRule>
    <cfRule type="containsText" dxfId="1000" priority="1002" operator="containsText" text="RECHAZADA">
      <formula>NOT(ISERROR(SEARCH("RECHAZADA",K1280)))</formula>
    </cfRule>
    <cfRule type="containsText" dxfId="999" priority="1003" operator="containsText" text="Atendida">
      <formula>NOT(ISERROR(SEARCH("Atendida",K1280)))</formula>
    </cfRule>
    <cfRule type="containsText" dxfId="998" priority="1004" operator="containsText" text="Reasignación">
      <formula>NOT(ISERROR(SEARCH("Reasignación",K1280)))</formula>
    </cfRule>
    <cfRule type="containsText" dxfId="997" priority="1005" operator="containsText" text="RECHAZADA">
      <formula>NOT(ISERROR(SEARCH("RECHAZADA",K1280)))</formula>
    </cfRule>
    <cfRule type="containsText" dxfId="996" priority="1006" operator="containsText" text="Atendida">
      <formula>NOT(ISERROR(SEARCH("Atendida",K1280)))</formula>
    </cfRule>
    <cfRule type="containsText" dxfId="995" priority="1007" operator="containsText" text="Reasignación">
      <formula>NOT(ISERROR(SEARCH("Reasignación",K1280)))</formula>
    </cfRule>
    <cfRule type="containsText" dxfId="994" priority="1008" operator="containsText" text="RECHAZADA">
      <formula>NOT(ISERROR(SEARCH("RECHAZADA",K1280)))</formula>
    </cfRule>
    <cfRule type="containsText" dxfId="993" priority="1009" operator="containsText" text="Atendida">
      <formula>NOT(ISERROR(SEARCH("Atendida",K1280)))</formula>
    </cfRule>
    <cfRule type="containsText" dxfId="992" priority="1010" operator="containsText" text="Reasignación">
      <formula>NOT(ISERROR(SEARCH("Reasignación",K1280)))</formula>
    </cfRule>
    <cfRule type="containsText" dxfId="991" priority="1011" operator="containsText" text="RECHAZADA">
      <formula>NOT(ISERROR(SEARCH("RECHAZADA",K1280)))</formula>
    </cfRule>
    <cfRule type="containsText" dxfId="990" priority="1012" operator="containsText" text="Atendida">
      <formula>NOT(ISERROR(SEARCH("Atendida",K1280)))</formula>
    </cfRule>
    <cfRule type="containsText" dxfId="989" priority="1013" operator="containsText" text="Reasignación">
      <formula>NOT(ISERROR(SEARCH("Reasignación",K1280)))</formula>
    </cfRule>
    <cfRule type="containsText" dxfId="988" priority="1014" operator="containsText" text="RECHAZADA">
      <formula>NOT(ISERROR(SEARCH("RECHAZADA",K1280)))</formula>
    </cfRule>
    <cfRule type="containsText" dxfId="987" priority="1015" operator="containsText" text="Atendida">
      <formula>NOT(ISERROR(SEARCH("Atendida",K1280)))</formula>
    </cfRule>
    <cfRule type="containsText" dxfId="986" priority="1016" operator="containsText" text="Reasignación">
      <formula>NOT(ISERROR(SEARCH("Reasignación",K1280)))</formula>
    </cfRule>
    <cfRule type="containsText" dxfId="985" priority="1017" operator="containsText" text="RECHAZADA">
      <formula>NOT(ISERROR(SEARCH("RECHAZADA",K1280)))</formula>
    </cfRule>
    <cfRule type="containsText" dxfId="984" priority="1018" operator="containsText" text="Atendida">
      <formula>NOT(ISERROR(SEARCH("Atendida",K1280)))</formula>
    </cfRule>
  </conditionalFormatting>
  <conditionalFormatting sqref="K1281">
    <cfRule type="containsText" dxfId="983" priority="943" operator="containsText" text="Reasignación">
      <formula>NOT(ISERROR(SEARCH("Reasignación",K1281)))</formula>
    </cfRule>
    <cfRule type="containsText" dxfId="982" priority="944" operator="containsText" text="RECHAZADA">
      <formula>NOT(ISERROR(SEARCH("RECHAZADA",K1281)))</formula>
    </cfRule>
    <cfRule type="containsText" dxfId="981" priority="945" operator="containsText" text="Atendida">
      <formula>NOT(ISERROR(SEARCH("Atendida",K1281)))</formula>
    </cfRule>
    <cfRule type="containsText" dxfId="980" priority="946" operator="containsText" text="Reasignación">
      <formula>NOT(ISERROR(SEARCH("Reasignación",K1281)))</formula>
    </cfRule>
    <cfRule type="containsText" dxfId="979" priority="947" operator="containsText" text="RECHAZADA">
      <formula>NOT(ISERROR(SEARCH("RECHAZADA",K1281)))</formula>
    </cfRule>
    <cfRule type="containsText" dxfId="978" priority="948" operator="containsText" text="Atendida">
      <formula>NOT(ISERROR(SEARCH("Atendida",K1281)))</formula>
    </cfRule>
    <cfRule type="containsText" dxfId="977" priority="949" operator="containsText" text="Reasignación">
      <formula>NOT(ISERROR(SEARCH("Reasignación",K1281)))</formula>
    </cfRule>
    <cfRule type="containsText" dxfId="976" priority="950" operator="containsText" text="RECHAZADA">
      <formula>NOT(ISERROR(SEARCH("RECHAZADA",K1281)))</formula>
    </cfRule>
    <cfRule type="containsText" dxfId="975" priority="951" operator="containsText" text="Atendida">
      <formula>NOT(ISERROR(SEARCH("Atendida",K1281)))</formula>
    </cfRule>
    <cfRule type="containsText" dxfId="974" priority="952" operator="containsText" text="Reasignación">
      <formula>NOT(ISERROR(SEARCH("Reasignación",K1281)))</formula>
    </cfRule>
    <cfRule type="containsText" dxfId="973" priority="953" operator="containsText" text="RECHAZADA">
      <formula>NOT(ISERROR(SEARCH("RECHAZADA",K1281)))</formula>
    </cfRule>
    <cfRule type="containsText" dxfId="972" priority="954" operator="containsText" text="Atendida">
      <formula>NOT(ISERROR(SEARCH("Atendida",K1281)))</formula>
    </cfRule>
    <cfRule type="containsText" dxfId="971" priority="955" operator="containsText" text="Reasignación">
      <formula>NOT(ISERROR(SEARCH("Reasignación",K1281)))</formula>
    </cfRule>
    <cfRule type="containsText" dxfId="970" priority="956" operator="containsText" text="RECHAZADA">
      <formula>NOT(ISERROR(SEARCH("RECHAZADA",K1281)))</formula>
    </cfRule>
    <cfRule type="containsText" dxfId="969" priority="957" operator="containsText" text="Atendida">
      <formula>NOT(ISERROR(SEARCH("Atendida",K1281)))</formula>
    </cfRule>
    <cfRule type="containsText" dxfId="968" priority="958" operator="containsText" text="Reasignación">
      <formula>NOT(ISERROR(SEARCH("Reasignación",K1281)))</formula>
    </cfRule>
    <cfRule type="containsText" dxfId="967" priority="959" operator="containsText" text="RECHAZADA">
      <formula>NOT(ISERROR(SEARCH("RECHAZADA",K1281)))</formula>
    </cfRule>
    <cfRule type="containsText" dxfId="966" priority="960" operator="containsText" text="Atendida">
      <formula>NOT(ISERROR(SEARCH("Atendida",K1281)))</formula>
    </cfRule>
    <cfRule type="containsText" dxfId="965" priority="961" operator="containsText" text="Reasignación">
      <formula>NOT(ISERROR(SEARCH("Reasignación",K1281)))</formula>
    </cfRule>
    <cfRule type="containsText" dxfId="964" priority="962" operator="containsText" text="RECHAZADA">
      <formula>NOT(ISERROR(SEARCH("RECHAZADA",K1281)))</formula>
    </cfRule>
    <cfRule type="containsText" dxfId="963" priority="963" operator="containsText" text="Atendida">
      <formula>NOT(ISERROR(SEARCH("Atendida",K1281)))</formula>
    </cfRule>
    <cfRule type="containsText" dxfId="962" priority="964" operator="containsText" text="Reasignación">
      <formula>NOT(ISERROR(SEARCH("Reasignación",K1281)))</formula>
    </cfRule>
    <cfRule type="containsText" dxfId="961" priority="965" operator="containsText" text="RECHAZADA">
      <formula>NOT(ISERROR(SEARCH("RECHAZADA",K1281)))</formula>
    </cfRule>
    <cfRule type="containsText" dxfId="960" priority="966" operator="containsText" text="Atendida">
      <formula>NOT(ISERROR(SEARCH("Atendida",K1281)))</formula>
    </cfRule>
    <cfRule type="containsText" dxfId="959" priority="967" operator="containsText" text="Reasignación">
      <formula>NOT(ISERROR(SEARCH("Reasignación",K1281)))</formula>
    </cfRule>
    <cfRule type="containsText" dxfId="958" priority="968" operator="containsText" text="RECHAZADA">
      <formula>NOT(ISERROR(SEARCH("RECHAZADA",K1281)))</formula>
    </cfRule>
    <cfRule type="containsText" dxfId="957" priority="969" operator="containsText" text="Atendida">
      <formula>NOT(ISERROR(SEARCH("Atendida",K1281)))</formula>
    </cfRule>
    <cfRule type="containsText" dxfId="956" priority="970" operator="containsText" text="Reasignación">
      <formula>NOT(ISERROR(SEARCH("Reasignación",K1281)))</formula>
    </cfRule>
    <cfRule type="containsText" dxfId="955" priority="971" operator="containsText" text="RECHAZADA">
      <formula>NOT(ISERROR(SEARCH("RECHAZADA",K1281)))</formula>
    </cfRule>
    <cfRule type="containsText" dxfId="954" priority="972" operator="containsText" text="Atendida">
      <formula>NOT(ISERROR(SEARCH("Atendida",K1281)))</formula>
    </cfRule>
    <cfRule type="containsText" dxfId="953" priority="973" operator="containsText" text="Reasignación">
      <formula>NOT(ISERROR(SEARCH("Reasignación",K1281)))</formula>
    </cfRule>
    <cfRule type="containsText" dxfId="952" priority="974" operator="containsText" text="RECHAZADA">
      <formula>NOT(ISERROR(SEARCH("RECHAZADA",K1281)))</formula>
    </cfRule>
    <cfRule type="containsText" dxfId="951" priority="975" operator="containsText" text="Atendida">
      <formula>NOT(ISERROR(SEARCH("Atendida",K1281)))</formula>
    </cfRule>
    <cfRule type="containsText" dxfId="950" priority="976" operator="containsText" text="Reasignación">
      <formula>NOT(ISERROR(SEARCH("Reasignación",K1281)))</formula>
    </cfRule>
    <cfRule type="containsText" dxfId="949" priority="977" operator="containsText" text="RECHAZADA">
      <formula>NOT(ISERROR(SEARCH("RECHAZADA",K1281)))</formula>
    </cfRule>
    <cfRule type="containsText" dxfId="948" priority="978" operator="containsText" text="Atendida">
      <formula>NOT(ISERROR(SEARCH("Atendida",K1281)))</formula>
    </cfRule>
  </conditionalFormatting>
  <conditionalFormatting sqref="M1281">
    <cfRule type="containsText" dxfId="947" priority="979" operator="containsText" text="OBSERVADO">
      <formula>NOT(ISERROR(SEARCH("OBSERVADO",M1281)))</formula>
    </cfRule>
    <cfRule type="containsText" dxfId="946" priority="980" operator="containsText" text="CONFORME">
      <formula>NOT(ISERROR(SEARCH("CONFORME",M1281)))</formula>
    </cfRule>
    <cfRule type="containsText" dxfId="945" priority="981" operator="containsText" text="RECHAZADA">
      <formula>NOT(ISERROR(SEARCH("RECHAZADA",M1281)))</formula>
    </cfRule>
    <cfRule type="containsText" dxfId="944" priority="982" operator="containsText" text="Atendida">
      <formula>NOT(ISERROR(SEARCH("Atendida",M1281)))</formula>
    </cfRule>
  </conditionalFormatting>
  <conditionalFormatting sqref="K1282">
    <cfRule type="containsText" dxfId="943" priority="907" operator="containsText" text="Reasignación">
      <formula>NOT(ISERROR(SEARCH("Reasignación",K1282)))</formula>
    </cfRule>
    <cfRule type="containsText" dxfId="942" priority="908" operator="containsText" text="RECHAZADA">
      <formula>NOT(ISERROR(SEARCH("RECHAZADA",K1282)))</formula>
    </cfRule>
    <cfRule type="containsText" dxfId="941" priority="909" operator="containsText" text="Atendida">
      <formula>NOT(ISERROR(SEARCH("Atendida",K1282)))</formula>
    </cfRule>
    <cfRule type="containsText" dxfId="940" priority="910" operator="containsText" text="Reasignación">
      <formula>NOT(ISERROR(SEARCH("Reasignación",K1282)))</formula>
    </cfRule>
    <cfRule type="containsText" dxfId="939" priority="911" operator="containsText" text="RECHAZADA">
      <formula>NOT(ISERROR(SEARCH("RECHAZADA",K1282)))</formula>
    </cfRule>
    <cfRule type="containsText" dxfId="938" priority="912" operator="containsText" text="Atendida">
      <formula>NOT(ISERROR(SEARCH("Atendida",K1282)))</formula>
    </cfRule>
    <cfRule type="containsText" dxfId="937" priority="913" operator="containsText" text="Reasignación">
      <formula>NOT(ISERROR(SEARCH("Reasignación",K1282)))</formula>
    </cfRule>
    <cfRule type="containsText" dxfId="936" priority="914" operator="containsText" text="RECHAZADA">
      <formula>NOT(ISERROR(SEARCH("RECHAZADA",K1282)))</formula>
    </cfRule>
    <cfRule type="containsText" dxfId="935" priority="915" operator="containsText" text="Atendida">
      <formula>NOT(ISERROR(SEARCH("Atendida",K1282)))</formula>
    </cfRule>
    <cfRule type="containsText" dxfId="934" priority="916" operator="containsText" text="Reasignación">
      <formula>NOT(ISERROR(SEARCH("Reasignación",K1282)))</formula>
    </cfRule>
    <cfRule type="containsText" dxfId="933" priority="917" operator="containsText" text="RECHAZADA">
      <formula>NOT(ISERROR(SEARCH("RECHAZADA",K1282)))</formula>
    </cfRule>
    <cfRule type="containsText" dxfId="932" priority="918" operator="containsText" text="Atendida">
      <formula>NOT(ISERROR(SEARCH("Atendida",K1282)))</formula>
    </cfRule>
    <cfRule type="containsText" dxfId="931" priority="919" operator="containsText" text="Reasignación">
      <formula>NOT(ISERROR(SEARCH("Reasignación",K1282)))</formula>
    </cfRule>
    <cfRule type="containsText" dxfId="930" priority="920" operator="containsText" text="RECHAZADA">
      <formula>NOT(ISERROR(SEARCH("RECHAZADA",K1282)))</formula>
    </cfRule>
    <cfRule type="containsText" dxfId="929" priority="921" operator="containsText" text="Atendida">
      <formula>NOT(ISERROR(SEARCH("Atendida",K1282)))</formula>
    </cfRule>
    <cfRule type="containsText" dxfId="928" priority="922" operator="containsText" text="Reasignación">
      <formula>NOT(ISERROR(SEARCH("Reasignación",K1282)))</formula>
    </cfRule>
    <cfRule type="containsText" dxfId="927" priority="923" operator="containsText" text="RECHAZADA">
      <formula>NOT(ISERROR(SEARCH("RECHAZADA",K1282)))</formula>
    </cfRule>
    <cfRule type="containsText" dxfId="926" priority="924" operator="containsText" text="Atendida">
      <formula>NOT(ISERROR(SEARCH("Atendida",K1282)))</formula>
    </cfRule>
    <cfRule type="containsText" dxfId="925" priority="925" operator="containsText" text="Reasignación">
      <formula>NOT(ISERROR(SEARCH("Reasignación",K1282)))</formula>
    </cfRule>
    <cfRule type="containsText" dxfId="924" priority="926" operator="containsText" text="RECHAZADA">
      <formula>NOT(ISERROR(SEARCH("RECHAZADA",K1282)))</formula>
    </cfRule>
    <cfRule type="containsText" dxfId="923" priority="927" operator="containsText" text="Atendida">
      <formula>NOT(ISERROR(SEARCH("Atendida",K1282)))</formula>
    </cfRule>
    <cfRule type="containsText" dxfId="922" priority="928" operator="containsText" text="Reasignación">
      <formula>NOT(ISERROR(SEARCH("Reasignación",K1282)))</formula>
    </cfRule>
    <cfRule type="containsText" dxfId="921" priority="929" operator="containsText" text="RECHAZADA">
      <formula>NOT(ISERROR(SEARCH("RECHAZADA",K1282)))</formula>
    </cfRule>
    <cfRule type="containsText" dxfId="920" priority="930" operator="containsText" text="Atendida">
      <formula>NOT(ISERROR(SEARCH("Atendida",K1282)))</formula>
    </cfRule>
    <cfRule type="containsText" dxfId="919" priority="931" operator="containsText" text="Reasignación">
      <formula>NOT(ISERROR(SEARCH("Reasignación",K1282)))</formula>
    </cfRule>
    <cfRule type="containsText" dxfId="918" priority="932" operator="containsText" text="RECHAZADA">
      <formula>NOT(ISERROR(SEARCH("RECHAZADA",K1282)))</formula>
    </cfRule>
    <cfRule type="containsText" dxfId="917" priority="933" operator="containsText" text="Atendida">
      <formula>NOT(ISERROR(SEARCH("Atendida",K1282)))</formula>
    </cfRule>
    <cfRule type="containsText" dxfId="916" priority="934" operator="containsText" text="Reasignación">
      <formula>NOT(ISERROR(SEARCH("Reasignación",K1282)))</formula>
    </cfRule>
    <cfRule type="containsText" dxfId="915" priority="935" operator="containsText" text="RECHAZADA">
      <formula>NOT(ISERROR(SEARCH("RECHAZADA",K1282)))</formula>
    </cfRule>
    <cfRule type="containsText" dxfId="914" priority="936" operator="containsText" text="Atendida">
      <formula>NOT(ISERROR(SEARCH("Atendida",K1282)))</formula>
    </cfRule>
    <cfRule type="containsText" dxfId="913" priority="937" operator="containsText" text="Reasignación">
      <formula>NOT(ISERROR(SEARCH("Reasignación",K1282)))</formula>
    </cfRule>
    <cfRule type="containsText" dxfId="912" priority="938" operator="containsText" text="RECHAZADA">
      <formula>NOT(ISERROR(SEARCH("RECHAZADA",K1282)))</formula>
    </cfRule>
    <cfRule type="containsText" dxfId="911" priority="939" operator="containsText" text="Atendida">
      <formula>NOT(ISERROR(SEARCH("Atendida",K1282)))</formula>
    </cfRule>
    <cfRule type="containsText" dxfId="910" priority="940" operator="containsText" text="Reasignación">
      <formula>NOT(ISERROR(SEARCH("Reasignación",K1282)))</formula>
    </cfRule>
    <cfRule type="containsText" dxfId="909" priority="941" operator="containsText" text="RECHAZADA">
      <formula>NOT(ISERROR(SEARCH("RECHAZADA",K1282)))</formula>
    </cfRule>
    <cfRule type="containsText" dxfId="908" priority="942" operator="containsText" text="Atendida">
      <formula>NOT(ISERROR(SEARCH("Atendida",K1282)))</formula>
    </cfRule>
  </conditionalFormatting>
  <conditionalFormatting sqref="K1284">
    <cfRule type="containsText" dxfId="907" priority="871" operator="containsText" text="Reasignación">
      <formula>NOT(ISERROR(SEARCH("Reasignación",K1284)))</formula>
    </cfRule>
    <cfRule type="containsText" dxfId="906" priority="872" operator="containsText" text="RECHAZADA">
      <formula>NOT(ISERROR(SEARCH("RECHAZADA",K1284)))</formula>
    </cfRule>
    <cfRule type="containsText" dxfId="905" priority="873" operator="containsText" text="Atendida">
      <formula>NOT(ISERROR(SEARCH("Atendida",K1284)))</formula>
    </cfRule>
    <cfRule type="containsText" dxfId="904" priority="874" operator="containsText" text="Reasignación">
      <formula>NOT(ISERROR(SEARCH("Reasignación",K1284)))</formula>
    </cfRule>
    <cfRule type="containsText" dxfId="903" priority="875" operator="containsText" text="RECHAZADA">
      <formula>NOT(ISERROR(SEARCH("RECHAZADA",K1284)))</formula>
    </cfRule>
    <cfRule type="containsText" dxfId="902" priority="876" operator="containsText" text="Atendida">
      <formula>NOT(ISERROR(SEARCH("Atendida",K1284)))</formula>
    </cfRule>
    <cfRule type="containsText" dxfId="901" priority="877" operator="containsText" text="Reasignación">
      <formula>NOT(ISERROR(SEARCH("Reasignación",K1284)))</formula>
    </cfRule>
    <cfRule type="containsText" dxfId="900" priority="878" operator="containsText" text="RECHAZADA">
      <formula>NOT(ISERROR(SEARCH("RECHAZADA",K1284)))</formula>
    </cfRule>
    <cfRule type="containsText" dxfId="899" priority="879" operator="containsText" text="Atendida">
      <formula>NOT(ISERROR(SEARCH("Atendida",K1284)))</formula>
    </cfRule>
    <cfRule type="containsText" dxfId="898" priority="880" operator="containsText" text="Reasignación">
      <formula>NOT(ISERROR(SEARCH("Reasignación",K1284)))</formula>
    </cfRule>
    <cfRule type="containsText" dxfId="897" priority="881" operator="containsText" text="RECHAZADA">
      <formula>NOT(ISERROR(SEARCH("RECHAZADA",K1284)))</formula>
    </cfRule>
    <cfRule type="containsText" dxfId="896" priority="882" operator="containsText" text="Atendida">
      <formula>NOT(ISERROR(SEARCH("Atendida",K1284)))</formula>
    </cfRule>
    <cfRule type="containsText" dxfId="895" priority="883" operator="containsText" text="Reasignación">
      <formula>NOT(ISERROR(SEARCH("Reasignación",K1284)))</formula>
    </cfRule>
    <cfRule type="containsText" dxfId="894" priority="884" operator="containsText" text="RECHAZADA">
      <formula>NOT(ISERROR(SEARCH("RECHAZADA",K1284)))</formula>
    </cfRule>
    <cfRule type="containsText" dxfId="893" priority="885" operator="containsText" text="Atendida">
      <formula>NOT(ISERROR(SEARCH("Atendida",K1284)))</formula>
    </cfRule>
    <cfRule type="containsText" dxfId="892" priority="886" operator="containsText" text="Reasignación">
      <formula>NOT(ISERROR(SEARCH("Reasignación",K1284)))</formula>
    </cfRule>
    <cfRule type="containsText" dxfId="891" priority="887" operator="containsText" text="RECHAZADA">
      <formula>NOT(ISERROR(SEARCH("RECHAZADA",K1284)))</formula>
    </cfRule>
    <cfRule type="containsText" dxfId="890" priority="888" operator="containsText" text="Atendida">
      <formula>NOT(ISERROR(SEARCH("Atendida",K1284)))</formula>
    </cfRule>
    <cfRule type="containsText" dxfId="889" priority="889" operator="containsText" text="Reasignación">
      <formula>NOT(ISERROR(SEARCH("Reasignación",K1284)))</formula>
    </cfRule>
    <cfRule type="containsText" dxfId="888" priority="890" operator="containsText" text="RECHAZADA">
      <formula>NOT(ISERROR(SEARCH("RECHAZADA",K1284)))</formula>
    </cfRule>
    <cfRule type="containsText" dxfId="887" priority="891" operator="containsText" text="Atendida">
      <formula>NOT(ISERROR(SEARCH("Atendida",K1284)))</formula>
    </cfRule>
    <cfRule type="containsText" dxfId="886" priority="892" operator="containsText" text="Reasignación">
      <formula>NOT(ISERROR(SEARCH("Reasignación",K1284)))</formula>
    </cfRule>
    <cfRule type="containsText" dxfId="885" priority="893" operator="containsText" text="RECHAZADA">
      <formula>NOT(ISERROR(SEARCH("RECHAZADA",K1284)))</formula>
    </cfRule>
    <cfRule type="containsText" dxfId="884" priority="894" operator="containsText" text="Atendida">
      <formula>NOT(ISERROR(SEARCH("Atendida",K1284)))</formula>
    </cfRule>
    <cfRule type="containsText" dxfId="883" priority="895" operator="containsText" text="Reasignación">
      <formula>NOT(ISERROR(SEARCH("Reasignación",K1284)))</formula>
    </cfRule>
    <cfRule type="containsText" dxfId="882" priority="896" operator="containsText" text="RECHAZADA">
      <formula>NOT(ISERROR(SEARCH("RECHAZADA",K1284)))</formula>
    </cfRule>
    <cfRule type="containsText" dxfId="881" priority="897" operator="containsText" text="Atendida">
      <formula>NOT(ISERROR(SEARCH("Atendida",K1284)))</formula>
    </cfRule>
    <cfRule type="containsText" dxfId="880" priority="898" operator="containsText" text="Reasignación">
      <formula>NOT(ISERROR(SEARCH("Reasignación",K1284)))</formula>
    </cfRule>
    <cfRule type="containsText" dxfId="879" priority="899" operator="containsText" text="RECHAZADA">
      <formula>NOT(ISERROR(SEARCH("RECHAZADA",K1284)))</formula>
    </cfRule>
    <cfRule type="containsText" dxfId="878" priority="900" operator="containsText" text="Atendida">
      <formula>NOT(ISERROR(SEARCH("Atendida",K1284)))</formula>
    </cfRule>
    <cfRule type="containsText" dxfId="877" priority="901" operator="containsText" text="Reasignación">
      <formula>NOT(ISERROR(SEARCH("Reasignación",K1284)))</formula>
    </cfRule>
    <cfRule type="containsText" dxfId="876" priority="902" operator="containsText" text="RECHAZADA">
      <formula>NOT(ISERROR(SEARCH("RECHAZADA",K1284)))</formula>
    </cfRule>
    <cfRule type="containsText" dxfId="875" priority="903" operator="containsText" text="Atendida">
      <formula>NOT(ISERROR(SEARCH("Atendida",K1284)))</formula>
    </cfRule>
    <cfRule type="containsText" dxfId="874" priority="904" operator="containsText" text="Reasignación">
      <formula>NOT(ISERROR(SEARCH("Reasignación",K1284)))</formula>
    </cfRule>
    <cfRule type="containsText" dxfId="873" priority="905" operator="containsText" text="RECHAZADA">
      <formula>NOT(ISERROR(SEARCH("RECHAZADA",K1284)))</formula>
    </cfRule>
    <cfRule type="containsText" dxfId="872" priority="906" operator="containsText" text="Atendida">
      <formula>NOT(ISERROR(SEARCH("Atendida",K1284)))</formula>
    </cfRule>
  </conditionalFormatting>
  <conditionalFormatting sqref="M1282">
    <cfRule type="containsText" dxfId="871" priority="863" operator="containsText" text="OBSERVADO">
      <formula>NOT(ISERROR(SEARCH("OBSERVADO",M1282)))</formula>
    </cfRule>
    <cfRule type="containsText" dxfId="870" priority="864" operator="containsText" text="CONFORME">
      <formula>NOT(ISERROR(SEARCH("CONFORME",M1282)))</formula>
    </cfRule>
    <cfRule type="containsText" dxfId="869" priority="865" operator="containsText" text="RECHAZADA">
      <formula>NOT(ISERROR(SEARCH("RECHAZADA",M1282)))</formula>
    </cfRule>
    <cfRule type="containsText" dxfId="868" priority="866" operator="containsText" text="Atendida">
      <formula>NOT(ISERROR(SEARCH("Atendida",M1282)))</formula>
    </cfRule>
  </conditionalFormatting>
  <conditionalFormatting sqref="M1283:M1284">
    <cfRule type="containsText" dxfId="867" priority="867" operator="containsText" text="OBSERVADO">
      <formula>NOT(ISERROR(SEARCH("OBSERVADO",M1283)))</formula>
    </cfRule>
    <cfRule type="containsText" dxfId="866" priority="868" operator="containsText" text="CONFORME">
      <formula>NOT(ISERROR(SEARCH("CONFORME",M1283)))</formula>
    </cfRule>
    <cfRule type="containsText" dxfId="865" priority="869" operator="containsText" text="RECHAZADA">
      <formula>NOT(ISERROR(SEARCH("RECHAZADA",M1283)))</formula>
    </cfRule>
    <cfRule type="containsText" dxfId="864" priority="870" operator="containsText" text="Atendida">
      <formula>NOT(ISERROR(SEARCH("Atendida",M1283)))</formula>
    </cfRule>
  </conditionalFormatting>
  <conditionalFormatting sqref="K1283">
    <cfRule type="containsText" dxfId="863" priority="827" operator="containsText" text="Reasignación">
      <formula>NOT(ISERROR(SEARCH("Reasignación",K1283)))</formula>
    </cfRule>
    <cfRule type="containsText" dxfId="862" priority="828" operator="containsText" text="RECHAZADA">
      <formula>NOT(ISERROR(SEARCH("RECHAZADA",K1283)))</formula>
    </cfRule>
    <cfRule type="containsText" dxfId="861" priority="829" operator="containsText" text="Atendida">
      <formula>NOT(ISERROR(SEARCH("Atendida",K1283)))</formula>
    </cfRule>
    <cfRule type="containsText" dxfId="860" priority="830" operator="containsText" text="Reasignación">
      <formula>NOT(ISERROR(SEARCH("Reasignación",K1283)))</formula>
    </cfRule>
    <cfRule type="containsText" dxfId="859" priority="831" operator="containsText" text="RECHAZADA">
      <formula>NOT(ISERROR(SEARCH("RECHAZADA",K1283)))</formula>
    </cfRule>
    <cfRule type="containsText" dxfId="858" priority="832" operator="containsText" text="Atendida">
      <formula>NOT(ISERROR(SEARCH("Atendida",K1283)))</formula>
    </cfRule>
    <cfRule type="containsText" dxfId="857" priority="833" operator="containsText" text="Reasignación">
      <formula>NOT(ISERROR(SEARCH("Reasignación",K1283)))</formula>
    </cfRule>
    <cfRule type="containsText" dxfId="856" priority="834" operator="containsText" text="RECHAZADA">
      <formula>NOT(ISERROR(SEARCH("RECHAZADA",K1283)))</formula>
    </cfRule>
    <cfRule type="containsText" dxfId="855" priority="835" operator="containsText" text="Atendida">
      <formula>NOT(ISERROR(SEARCH("Atendida",K1283)))</formula>
    </cfRule>
    <cfRule type="containsText" dxfId="854" priority="836" operator="containsText" text="Reasignación">
      <formula>NOT(ISERROR(SEARCH("Reasignación",K1283)))</formula>
    </cfRule>
    <cfRule type="containsText" dxfId="853" priority="837" operator="containsText" text="RECHAZADA">
      <formula>NOT(ISERROR(SEARCH("RECHAZADA",K1283)))</formula>
    </cfRule>
    <cfRule type="containsText" dxfId="852" priority="838" operator="containsText" text="Atendida">
      <formula>NOT(ISERROR(SEARCH("Atendida",K1283)))</formula>
    </cfRule>
    <cfRule type="containsText" dxfId="851" priority="839" operator="containsText" text="Reasignación">
      <formula>NOT(ISERROR(SEARCH("Reasignación",K1283)))</formula>
    </cfRule>
    <cfRule type="containsText" dxfId="850" priority="840" operator="containsText" text="RECHAZADA">
      <formula>NOT(ISERROR(SEARCH("RECHAZADA",K1283)))</formula>
    </cfRule>
    <cfRule type="containsText" dxfId="849" priority="841" operator="containsText" text="Atendida">
      <formula>NOT(ISERROR(SEARCH("Atendida",K1283)))</formula>
    </cfRule>
    <cfRule type="containsText" dxfId="848" priority="842" operator="containsText" text="Reasignación">
      <formula>NOT(ISERROR(SEARCH("Reasignación",K1283)))</formula>
    </cfRule>
    <cfRule type="containsText" dxfId="847" priority="843" operator="containsText" text="RECHAZADA">
      <formula>NOT(ISERROR(SEARCH("RECHAZADA",K1283)))</formula>
    </cfRule>
    <cfRule type="containsText" dxfId="846" priority="844" operator="containsText" text="Atendida">
      <formula>NOT(ISERROR(SEARCH("Atendida",K1283)))</formula>
    </cfRule>
    <cfRule type="containsText" dxfId="845" priority="845" operator="containsText" text="Reasignación">
      <formula>NOT(ISERROR(SEARCH("Reasignación",K1283)))</formula>
    </cfRule>
    <cfRule type="containsText" dxfId="844" priority="846" operator="containsText" text="RECHAZADA">
      <formula>NOT(ISERROR(SEARCH("RECHAZADA",K1283)))</formula>
    </cfRule>
    <cfRule type="containsText" dxfId="843" priority="847" operator="containsText" text="Atendida">
      <formula>NOT(ISERROR(SEARCH("Atendida",K1283)))</formula>
    </cfRule>
    <cfRule type="containsText" dxfId="842" priority="848" operator="containsText" text="Reasignación">
      <formula>NOT(ISERROR(SEARCH("Reasignación",K1283)))</formula>
    </cfRule>
    <cfRule type="containsText" dxfId="841" priority="849" operator="containsText" text="RECHAZADA">
      <formula>NOT(ISERROR(SEARCH("RECHAZADA",K1283)))</formula>
    </cfRule>
    <cfRule type="containsText" dxfId="840" priority="850" operator="containsText" text="Atendida">
      <formula>NOT(ISERROR(SEARCH("Atendida",K1283)))</formula>
    </cfRule>
    <cfRule type="containsText" dxfId="839" priority="851" operator="containsText" text="Reasignación">
      <formula>NOT(ISERROR(SEARCH("Reasignación",K1283)))</formula>
    </cfRule>
    <cfRule type="containsText" dxfId="838" priority="852" operator="containsText" text="RECHAZADA">
      <formula>NOT(ISERROR(SEARCH("RECHAZADA",K1283)))</formula>
    </cfRule>
    <cfRule type="containsText" dxfId="837" priority="853" operator="containsText" text="Atendida">
      <formula>NOT(ISERROR(SEARCH("Atendida",K1283)))</formula>
    </cfRule>
    <cfRule type="containsText" dxfId="836" priority="854" operator="containsText" text="Reasignación">
      <formula>NOT(ISERROR(SEARCH("Reasignación",K1283)))</formula>
    </cfRule>
    <cfRule type="containsText" dxfId="835" priority="855" operator="containsText" text="RECHAZADA">
      <formula>NOT(ISERROR(SEARCH("RECHAZADA",K1283)))</formula>
    </cfRule>
    <cfRule type="containsText" dxfId="834" priority="856" operator="containsText" text="Atendida">
      <formula>NOT(ISERROR(SEARCH("Atendida",K1283)))</formula>
    </cfRule>
    <cfRule type="containsText" dxfId="833" priority="857" operator="containsText" text="Reasignación">
      <formula>NOT(ISERROR(SEARCH("Reasignación",K1283)))</formula>
    </cfRule>
    <cfRule type="containsText" dxfId="832" priority="858" operator="containsText" text="RECHAZADA">
      <formula>NOT(ISERROR(SEARCH("RECHAZADA",K1283)))</formula>
    </cfRule>
    <cfRule type="containsText" dxfId="831" priority="859" operator="containsText" text="Atendida">
      <formula>NOT(ISERROR(SEARCH("Atendida",K1283)))</formula>
    </cfRule>
    <cfRule type="containsText" dxfId="830" priority="860" operator="containsText" text="Reasignación">
      <formula>NOT(ISERROR(SEARCH("Reasignación",K1283)))</formula>
    </cfRule>
    <cfRule type="containsText" dxfId="829" priority="861" operator="containsText" text="RECHAZADA">
      <formula>NOT(ISERROR(SEARCH("RECHAZADA",K1283)))</formula>
    </cfRule>
    <cfRule type="containsText" dxfId="828" priority="862" operator="containsText" text="Atendida">
      <formula>NOT(ISERROR(SEARCH("Atendida",K1283)))</formula>
    </cfRule>
  </conditionalFormatting>
  <conditionalFormatting sqref="K1285">
    <cfRule type="containsText" dxfId="827" priority="791" operator="containsText" text="Reasignación">
      <formula>NOT(ISERROR(SEARCH("Reasignación",K1285)))</formula>
    </cfRule>
    <cfRule type="containsText" dxfId="826" priority="792" operator="containsText" text="RECHAZADA">
      <formula>NOT(ISERROR(SEARCH("RECHAZADA",K1285)))</formula>
    </cfRule>
    <cfRule type="containsText" dxfId="825" priority="793" operator="containsText" text="Atendida">
      <formula>NOT(ISERROR(SEARCH("Atendida",K1285)))</formula>
    </cfRule>
    <cfRule type="containsText" dxfId="824" priority="794" operator="containsText" text="Reasignación">
      <formula>NOT(ISERROR(SEARCH("Reasignación",K1285)))</formula>
    </cfRule>
    <cfRule type="containsText" dxfId="823" priority="795" operator="containsText" text="RECHAZADA">
      <formula>NOT(ISERROR(SEARCH("RECHAZADA",K1285)))</formula>
    </cfRule>
    <cfRule type="containsText" dxfId="822" priority="796" operator="containsText" text="Atendida">
      <formula>NOT(ISERROR(SEARCH("Atendida",K1285)))</formula>
    </cfRule>
    <cfRule type="containsText" dxfId="821" priority="797" operator="containsText" text="Reasignación">
      <formula>NOT(ISERROR(SEARCH("Reasignación",K1285)))</formula>
    </cfRule>
    <cfRule type="containsText" dxfId="820" priority="798" operator="containsText" text="RECHAZADA">
      <formula>NOT(ISERROR(SEARCH("RECHAZADA",K1285)))</formula>
    </cfRule>
    <cfRule type="containsText" dxfId="819" priority="799" operator="containsText" text="Atendida">
      <formula>NOT(ISERROR(SEARCH("Atendida",K1285)))</formula>
    </cfRule>
    <cfRule type="containsText" dxfId="818" priority="800" operator="containsText" text="Reasignación">
      <formula>NOT(ISERROR(SEARCH("Reasignación",K1285)))</formula>
    </cfRule>
    <cfRule type="containsText" dxfId="817" priority="801" operator="containsText" text="RECHAZADA">
      <formula>NOT(ISERROR(SEARCH("RECHAZADA",K1285)))</formula>
    </cfRule>
    <cfRule type="containsText" dxfId="816" priority="802" operator="containsText" text="Atendida">
      <formula>NOT(ISERROR(SEARCH("Atendida",K1285)))</formula>
    </cfRule>
    <cfRule type="containsText" dxfId="815" priority="803" operator="containsText" text="Reasignación">
      <formula>NOT(ISERROR(SEARCH("Reasignación",K1285)))</formula>
    </cfRule>
    <cfRule type="containsText" dxfId="814" priority="804" operator="containsText" text="RECHAZADA">
      <formula>NOT(ISERROR(SEARCH("RECHAZADA",K1285)))</formula>
    </cfRule>
    <cfRule type="containsText" dxfId="813" priority="805" operator="containsText" text="Atendida">
      <formula>NOT(ISERROR(SEARCH("Atendida",K1285)))</formula>
    </cfRule>
    <cfRule type="containsText" dxfId="812" priority="806" operator="containsText" text="Reasignación">
      <formula>NOT(ISERROR(SEARCH("Reasignación",K1285)))</formula>
    </cfRule>
    <cfRule type="containsText" dxfId="811" priority="807" operator="containsText" text="RECHAZADA">
      <formula>NOT(ISERROR(SEARCH("RECHAZADA",K1285)))</formula>
    </cfRule>
    <cfRule type="containsText" dxfId="810" priority="808" operator="containsText" text="Atendida">
      <formula>NOT(ISERROR(SEARCH("Atendida",K1285)))</formula>
    </cfRule>
    <cfRule type="containsText" dxfId="809" priority="809" operator="containsText" text="Reasignación">
      <formula>NOT(ISERROR(SEARCH("Reasignación",K1285)))</formula>
    </cfRule>
    <cfRule type="containsText" dxfId="808" priority="810" operator="containsText" text="RECHAZADA">
      <formula>NOT(ISERROR(SEARCH("RECHAZADA",K1285)))</formula>
    </cfRule>
    <cfRule type="containsText" dxfId="807" priority="811" operator="containsText" text="Atendida">
      <formula>NOT(ISERROR(SEARCH("Atendida",K1285)))</formula>
    </cfRule>
    <cfRule type="containsText" dxfId="806" priority="812" operator="containsText" text="Reasignación">
      <formula>NOT(ISERROR(SEARCH("Reasignación",K1285)))</formula>
    </cfRule>
    <cfRule type="containsText" dxfId="805" priority="813" operator="containsText" text="RECHAZADA">
      <formula>NOT(ISERROR(SEARCH("RECHAZADA",K1285)))</formula>
    </cfRule>
    <cfRule type="containsText" dxfId="804" priority="814" operator="containsText" text="Atendida">
      <formula>NOT(ISERROR(SEARCH("Atendida",K1285)))</formula>
    </cfRule>
    <cfRule type="containsText" dxfId="803" priority="815" operator="containsText" text="Reasignación">
      <formula>NOT(ISERROR(SEARCH("Reasignación",K1285)))</formula>
    </cfRule>
    <cfRule type="containsText" dxfId="802" priority="816" operator="containsText" text="RECHAZADA">
      <formula>NOT(ISERROR(SEARCH("RECHAZADA",K1285)))</formula>
    </cfRule>
    <cfRule type="containsText" dxfId="801" priority="817" operator="containsText" text="Atendida">
      <formula>NOT(ISERROR(SEARCH("Atendida",K1285)))</formula>
    </cfRule>
    <cfRule type="containsText" dxfId="800" priority="818" operator="containsText" text="Reasignación">
      <formula>NOT(ISERROR(SEARCH("Reasignación",K1285)))</formula>
    </cfRule>
    <cfRule type="containsText" dxfId="799" priority="819" operator="containsText" text="RECHAZADA">
      <formula>NOT(ISERROR(SEARCH("RECHAZADA",K1285)))</formula>
    </cfRule>
    <cfRule type="containsText" dxfId="798" priority="820" operator="containsText" text="Atendida">
      <formula>NOT(ISERROR(SEARCH("Atendida",K1285)))</formula>
    </cfRule>
    <cfRule type="containsText" dxfId="797" priority="821" operator="containsText" text="Reasignación">
      <formula>NOT(ISERROR(SEARCH("Reasignación",K1285)))</formula>
    </cfRule>
    <cfRule type="containsText" dxfId="796" priority="822" operator="containsText" text="RECHAZADA">
      <formula>NOT(ISERROR(SEARCH("RECHAZADA",K1285)))</formula>
    </cfRule>
    <cfRule type="containsText" dxfId="795" priority="823" operator="containsText" text="Atendida">
      <formula>NOT(ISERROR(SEARCH("Atendida",K1285)))</formula>
    </cfRule>
    <cfRule type="containsText" dxfId="794" priority="824" operator="containsText" text="Reasignación">
      <formula>NOT(ISERROR(SEARCH("Reasignación",K1285)))</formula>
    </cfRule>
    <cfRule type="containsText" dxfId="793" priority="825" operator="containsText" text="RECHAZADA">
      <formula>NOT(ISERROR(SEARCH("RECHAZADA",K1285)))</formula>
    </cfRule>
    <cfRule type="containsText" dxfId="792" priority="826" operator="containsText" text="Atendida">
      <formula>NOT(ISERROR(SEARCH("Atendida",K1285)))</formula>
    </cfRule>
  </conditionalFormatting>
  <conditionalFormatting sqref="K1286">
    <cfRule type="containsText" dxfId="791" priority="755" operator="containsText" text="Reasignación">
      <formula>NOT(ISERROR(SEARCH("Reasignación",K1286)))</formula>
    </cfRule>
    <cfRule type="containsText" dxfId="790" priority="756" operator="containsText" text="RECHAZADA">
      <formula>NOT(ISERROR(SEARCH("RECHAZADA",K1286)))</formula>
    </cfRule>
    <cfRule type="containsText" dxfId="789" priority="757" operator="containsText" text="Atendida">
      <formula>NOT(ISERROR(SEARCH("Atendida",K1286)))</formula>
    </cfRule>
    <cfRule type="containsText" dxfId="788" priority="758" operator="containsText" text="Reasignación">
      <formula>NOT(ISERROR(SEARCH("Reasignación",K1286)))</formula>
    </cfRule>
    <cfRule type="containsText" dxfId="787" priority="759" operator="containsText" text="RECHAZADA">
      <formula>NOT(ISERROR(SEARCH("RECHAZADA",K1286)))</formula>
    </cfRule>
    <cfRule type="containsText" dxfId="786" priority="760" operator="containsText" text="Atendida">
      <formula>NOT(ISERROR(SEARCH("Atendida",K1286)))</formula>
    </cfRule>
    <cfRule type="containsText" dxfId="785" priority="761" operator="containsText" text="Reasignación">
      <formula>NOT(ISERROR(SEARCH("Reasignación",K1286)))</formula>
    </cfRule>
    <cfRule type="containsText" dxfId="784" priority="762" operator="containsText" text="RECHAZADA">
      <formula>NOT(ISERROR(SEARCH("RECHAZADA",K1286)))</formula>
    </cfRule>
    <cfRule type="containsText" dxfId="783" priority="763" operator="containsText" text="Atendida">
      <formula>NOT(ISERROR(SEARCH("Atendida",K1286)))</formula>
    </cfRule>
    <cfRule type="containsText" dxfId="782" priority="764" operator="containsText" text="Reasignación">
      <formula>NOT(ISERROR(SEARCH("Reasignación",K1286)))</formula>
    </cfRule>
    <cfRule type="containsText" dxfId="781" priority="765" operator="containsText" text="RECHAZADA">
      <formula>NOT(ISERROR(SEARCH("RECHAZADA",K1286)))</formula>
    </cfRule>
    <cfRule type="containsText" dxfId="780" priority="766" operator="containsText" text="Atendida">
      <formula>NOT(ISERROR(SEARCH("Atendida",K1286)))</formula>
    </cfRule>
    <cfRule type="containsText" dxfId="779" priority="767" operator="containsText" text="Reasignación">
      <formula>NOT(ISERROR(SEARCH("Reasignación",K1286)))</formula>
    </cfRule>
    <cfRule type="containsText" dxfId="778" priority="768" operator="containsText" text="RECHAZADA">
      <formula>NOT(ISERROR(SEARCH("RECHAZADA",K1286)))</formula>
    </cfRule>
    <cfRule type="containsText" dxfId="777" priority="769" operator="containsText" text="Atendida">
      <formula>NOT(ISERROR(SEARCH("Atendida",K1286)))</formula>
    </cfRule>
    <cfRule type="containsText" dxfId="776" priority="770" operator="containsText" text="Reasignación">
      <formula>NOT(ISERROR(SEARCH("Reasignación",K1286)))</formula>
    </cfRule>
    <cfRule type="containsText" dxfId="775" priority="771" operator="containsText" text="RECHAZADA">
      <formula>NOT(ISERROR(SEARCH("RECHAZADA",K1286)))</formula>
    </cfRule>
    <cfRule type="containsText" dxfId="774" priority="772" operator="containsText" text="Atendida">
      <formula>NOT(ISERROR(SEARCH("Atendida",K1286)))</formula>
    </cfRule>
    <cfRule type="containsText" dxfId="773" priority="773" operator="containsText" text="Reasignación">
      <formula>NOT(ISERROR(SEARCH("Reasignación",K1286)))</formula>
    </cfRule>
    <cfRule type="containsText" dxfId="772" priority="774" operator="containsText" text="RECHAZADA">
      <formula>NOT(ISERROR(SEARCH("RECHAZADA",K1286)))</formula>
    </cfRule>
    <cfRule type="containsText" dxfId="771" priority="775" operator="containsText" text="Atendida">
      <formula>NOT(ISERROR(SEARCH("Atendida",K1286)))</formula>
    </cfRule>
    <cfRule type="containsText" dxfId="770" priority="776" operator="containsText" text="Reasignación">
      <formula>NOT(ISERROR(SEARCH("Reasignación",K1286)))</formula>
    </cfRule>
    <cfRule type="containsText" dxfId="769" priority="777" operator="containsText" text="RECHAZADA">
      <formula>NOT(ISERROR(SEARCH("RECHAZADA",K1286)))</formula>
    </cfRule>
    <cfRule type="containsText" dxfId="768" priority="778" operator="containsText" text="Atendida">
      <formula>NOT(ISERROR(SEARCH("Atendida",K1286)))</formula>
    </cfRule>
    <cfRule type="containsText" dxfId="767" priority="779" operator="containsText" text="Reasignación">
      <formula>NOT(ISERROR(SEARCH("Reasignación",K1286)))</formula>
    </cfRule>
    <cfRule type="containsText" dxfId="766" priority="780" operator="containsText" text="RECHAZADA">
      <formula>NOT(ISERROR(SEARCH("RECHAZADA",K1286)))</formula>
    </cfRule>
    <cfRule type="containsText" dxfId="765" priority="781" operator="containsText" text="Atendida">
      <formula>NOT(ISERROR(SEARCH("Atendida",K1286)))</formula>
    </cfRule>
    <cfRule type="containsText" dxfId="764" priority="782" operator="containsText" text="Reasignación">
      <formula>NOT(ISERROR(SEARCH("Reasignación",K1286)))</formula>
    </cfRule>
    <cfRule type="containsText" dxfId="763" priority="783" operator="containsText" text="RECHAZADA">
      <formula>NOT(ISERROR(SEARCH("RECHAZADA",K1286)))</formula>
    </cfRule>
    <cfRule type="containsText" dxfId="762" priority="784" operator="containsText" text="Atendida">
      <formula>NOT(ISERROR(SEARCH("Atendida",K1286)))</formula>
    </cfRule>
    <cfRule type="containsText" dxfId="761" priority="785" operator="containsText" text="Reasignación">
      <formula>NOT(ISERROR(SEARCH("Reasignación",K1286)))</formula>
    </cfRule>
    <cfRule type="containsText" dxfId="760" priority="786" operator="containsText" text="RECHAZADA">
      <formula>NOT(ISERROR(SEARCH("RECHAZADA",K1286)))</formula>
    </cfRule>
    <cfRule type="containsText" dxfId="759" priority="787" operator="containsText" text="Atendida">
      <formula>NOT(ISERROR(SEARCH("Atendida",K1286)))</formula>
    </cfRule>
    <cfRule type="containsText" dxfId="758" priority="788" operator="containsText" text="Reasignación">
      <formula>NOT(ISERROR(SEARCH("Reasignación",K1286)))</formula>
    </cfRule>
    <cfRule type="containsText" dxfId="757" priority="789" operator="containsText" text="RECHAZADA">
      <formula>NOT(ISERROR(SEARCH("RECHAZADA",K1286)))</formula>
    </cfRule>
    <cfRule type="containsText" dxfId="756" priority="790" operator="containsText" text="Atendida">
      <formula>NOT(ISERROR(SEARCH("Atendida",K1286)))</formula>
    </cfRule>
  </conditionalFormatting>
  <conditionalFormatting sqref="K1287">
    <cfRule type="containsText" dxfId="755" priority="719" operator="containsText" text="Reasignación">
      <formula>NOT(ISERROR(SEARCH("Reasignación",K1287)))</formula>
    </cfRule>
    <cfRule type="containsText" dxfId="754" priority="720" operator="containsText" text="RECHAZADA">
      <formula>NOT(ISERROR(SEARCH("RECHAZADA",K1287)))</formula>
    </cfRule>
    <cfRule type="containsText" dxfId="753" priority="721" operator="containsText" text="Atendida">
      <formula>NOT(ISERROR(SEARCH("Atendida",K1287)))</formula>
    </cfRule>
    <cfRule type="containsText" dxfId="752" priority="722" operator="containsText" text="Reasignación">
      <formula>NOT(ISERROR(SEARCH("Reasignación",K1287)))</formula>
    </cfRule>
    <cfRule type="containsText" dxfId="751" priority="723" operator="containsText" text="RECHAZADA">
      <formula>NOT(ISERROR(SEARCH("RECHAZADA",K1287)))</formula>
    </cfRule>
    <cfRule type="containsText" dxfId="750" priority="724" operator="containsText" text="Atendida">
      <formula>NOT(ISERROR(SEARCH("Atendida",K1287)))</formula>
    </cfRule>
    <cfRule type="containsText" dxfId="749" priority="725" operator="containsText" text="Reasignación">
      <formula>NOT(ISERROR(SEARCH("Reasignación",K1287)))</formula>
    </cfRule>
    <cfRule type="containsText" dxfId="748" priority="726" operator="containsText" text="RECHAZADA">
      <formula>NOT(ISERROR(SEARCH("RECHAZADA",K1287)))</formula>
    </cfRule>
    <cfRule type="containsText" dxfId="747" priority="727" operator="containsText" text="Atendida">
      <formula>NOT(ISERROR(SEARCH("Atendida",K1287)))</formula>
    </cfRule>
    <cfRule type="containsText" dxfId="746" priority="728" operator="containsText" text="Reasignación">
      <formula>NOT(ISERROR(SEARCH("Reasignación",K1287)))</formula>
    </cfRule>
    <cfRule type="containsText" dxfId="745" priority="729" operator="containsText" text="RECHAZADA">
      <formula>NOT(ISERROR(SEARCH("RECHAZADA",K1287)))</formula>
    </cfRule>
    <cfRule type="containsText" dxfId="744" priority="730" operator="containsText" text="Atendida">
      <formula>NOT(ISERROR(SEARCH("Atendida",K1287)))</formula>
    </cfRule>
    <cfRule type="containsText" dxfId="743" priority="731" operator="containsText" text="Reasignación">
      <formula>NOT(ISERROR(SEARCH("Reasignación",K1287)))</formula>
    </cfRule>
    <cfRule type="containsText" dxfId="742" priority="732" operator="containsText" text="RECHAZADA">
      <formula>NOT(ISERROR(SEARCH("RECHAZADA",K1287)))</formula>
    </cfRule>
    <cfRule type="containsText" dxfId="741" priority="733" operator="containsText" text="Atendida">
      <formula>NOT(ISERROR(SEARCH("Atendida",K1287)))</formula>
    </cfRule>
    <cfRule type="containsText" dxfId="740" priority="734" operator="containsText" text="Reasignación">
      <formula>NOT(ISERROR(SEARCH("Reasignación",K1287)))</formula>
    </cfRule>
    <cfRule type="containsText" dxfId="739" priority="735" operator="containsText" text="RECHAZADA">
      <formula>NOT(ISERROR(SEARCH("RECHAZADA",K1287)))</formula>
    </cfRule>
    <cfRule type="containsText" dxfId="738" priority="736" operator="containsText" text="Atendida">
      <formula>NOT(ISERROR(SEARCH("Atendida",K1287)))</formula>
    </cfRule>
    <cfRule type="containsText" dxfId="737" priority="737" operator="containsText" text="Reasignación">
      <formula>NOT(ISERROR(SEARCH("Reasignación",K1287)))</formula>
    </cfRule>
    <cfRule type="containsText" dxfId="736" priority="738" operator="containsText" text="RECHAZADA">
      <formula>NOT(ISERROR(SEARCH("RECHAZADA",K1287)))</formula>
    </cfRule>
    <cfRule type="containsText" dxfId="735" priority="739" operator="containsText" text="Atendida">
      <formula>NOT(ISERROR(SEARCH("Atendida",K1287)))</formula>
    </cfRule>
    <cfRule type="containsText" dxfId="734" priority="740" operator="containsText" text="Reasignación">
      <formula>NOT(ISERROR(SEARCH("Reasignación",K1287)))</formula>
    </cfRule>
    <cfRule type="containsText" dxfId="733" priority="741" operator="containsText" text="RECHAZADA">
      <formula>NOT(ISERROR(SEARCH("RECHAZADA",K1287)))</formula>
    </cfRule>
    <cfRule type="containsText" dxfId="732" priority="742" operator="containsText" text="Atendida">
      <formula>NOT(ISERROR(SEARCH("Atendida",K1287)))</formula>
    </cfRule>
    <cfRule type="containsText" dxfId="731" priority="743" operator="containsText" text="Reasignación">
      <formula>NOT(ISERROR(SEARCH("Reasignación",K1287)))</formula>
    </cfRule>
    <cfRule type="containsText" dxfId="730" priority="744" operator="containsText" text="RECHAZADA">
      <formula>NOT(ISERROR(SEARCH("RECHAZADA",K1287)))</formula>
    </cfRule>
    <cfRule type="containsText" dxfId="729" priority="745" operator="containsText" text="Atendida">
      <formula>NOT(ISERROR(SEARCH("Atendida",K1287)))</formula>
    </cfRule>
    <cfRule type="containsText" dxfId="728" priority="746" operator="containsText" text="Reasignación">
      <formula>NOT(ISERROR(SEARCH("Reasignación",K1287)))</formula>
    </cfRule>
    <cfRule type="containsText" dxfId="727" priority="747" operator="containsText" text="RECHAZADA">
      <formula>NOT(ISERROR(SEARCH("RECHAZADA",K1287)))</formula>
    </cfRule>
    <cfRule type="containsText" dxfId="726" priority="748" operator="containsText" text="Atendida">
      <formula>NOT(ISERROR(SEARCH("Atendida",K1287)))</formula>
    </cfRule>
    <cfRule type="containsText" dxfId="725" priority="749" operator="containsText" text="Reasignación">
      <formula>NOT(ISERROR(SEARCH("Reasignación",K1287)))</formula>
    </cfRule>
    <cfRule type="containsText" dxfId="724" priority="750" operator="containsText" text="RECHAZADA">
      <formula>NOT(ISERROR(SEARCH("RECHAZADA",K1287)))</formula>
    </cfRule>
    <cfRule type="containsText" dxfId="723" priority="751" operator="containsText" text="Atendida">
      <formula>NOT(ISERROR(SEARCH("Atendida",K1287)))</formula>
    </cfRule>
    <cfRule type="containsText" dxfId="722" priority="752" operator="containsText" text="Reasignación">
      <formula>NOT(ISERROR(SEARCH("Reasignación",K1287)))</formula>
    </cfRule>
    <cfRule type="containsText" dxfId="721" priority="753" operator="containsText" text="RECHAZADA">
      <formula>NOT(ISERROR(SEARCH("RECHAZADA",K1287)))</formula>
    </cfRule>
    <cfRule type="containsText" dxfId="720" priority="754" operator="containsText" text="Atendida">
      <formula>NOT(ISERROR(SEARCH("Atendida",K1287)))</formula>
    </cfRule>
  </conditionalFormatting>
  <conditionalFormatting sqref="K1288">
    <cfRule type="containsText" dxfId="719" priority="683" operator="containsText" text="Reasignación">
      <formula>NOT(ISERROR(SEARCH("Reasignación",K1288)))</formula>
    </cfRule>
    <cfRule type="containsText" dxfId="718" priority="684" operator="containsText" text="RECHAZADA">
      <formula>NOT(ISERROR(SEARCH("RECHAZADA",K1288)))</formula>
    </cfRule>
    <cfRule type="containsText" dxfId="717" priority="685" operator="containsText" text="Atendida">
      <formula>NOT(ISERROR(SEARCH("Atendida",K1288)))</formula>
    </cfRule>
    <cfRule type="containsText" dxfId="716" priority="686" operator="containsText" text="Reasignación">
      <formula>NOT(ISERROR(SEARCH("Reasignación",K1288)))</formula>
    </cfRule>
    <cfRule type="containsText" dxfId="715" priority="687" operator="containsText" text="RECHAZADA">
      <formula>NOT(ISERROR(SEARCH("RECHAZADA",K1288)))</formula>
    </cfRule>
    <cfRule type="containsText" dxfId="714" priority="688" operator="containsText" text="Atendida">
      <formula>NOT(ISERROR(SEARCH("Atendida",K1288)))</formula>
    </cfRule>
    <cfRule type="containsText" dxfId="713" priority="689" operator="containsText" text="Reasignación">
      <formula>NOT(ISERROR(SEARCH("Reasignación",K1288)))</formula>
    </cfRule>
    <cfRule type="containsText" dxfId="712" priority="690" operator="containsText" text="RECHAZADA">
      <formula>NOT(ISERROR(SEARCH("RECHAZADA",K1288)))</formula>
    </cfRule>
    <cfRule type="containsText" dxfId="711" priority="691" operator="containsText" text="Atendida">
      <formula>NOT(ISERROR(SEARCH("Atendida",K1288)))</formula>
    </cfRule>
    <cfRule type="containsText" dxfId="710" priority="692" operator="containsText" text="Reasignación">
      <formula>NOT(ISERROR(SEARCH("Reasignación",K1288)))</formula>
    </cfRule>
    <cfRule type="containsText" dxfId="709" priority="693" operator="containsText" text="RECHAZADA">
      <formula>NOT(ISERROR(SEARCH("RECHAZADA",K1288)))</formula>
    </cfRule>
    <cfRule type="containsText" dxfId="708" priority="694" operator="containsText" text="Atendida">
      <formula>NOT(ISERROR(SEARCH("Atendida",K1288)))</formula>
    </cfRule>
    <cfRule type="containsText" dxfId="707" priority="695" operator="containsText" text="Reasignación">
      <formula>NOT(ISERROR(SEARCH("Reasignación",K1288)))</formula>
    </cfRule>
    <cfRule type="containsText" dxfId="706" priority="696" operator="containsText" text="RECHAZADA">
      <formula>NOT(ISERROR(SEARCH("RECHAZADA",K1288)))</formula>
    </cfRule>
    <cfRule type="containsText" dxfId="705" priority="697" operator="containsText" text="Atendida">
      <formula>NOT(ISERROR(SEARCH("Atendida",K1288)))</formula>
    </cfRule>
    <cfRule type="containsText" dxfId="704" priority="698" operator="containsText" text="Reasignación">
      <formula>NOT(ISERROR(SEARCH("Reasignación",K1288)))</formula>
    </cfRule>
    <cfRule type="containsText" dxfId="703" priority="699" operator="containsText" text="RECHAZADA">
      <formula>NOT(ISERROR(SEARCH("RECHAZADA",K1288)))</formula>
    </cfRule>
    <cfRule type="containsText" dxfId="702" priority="700" operator="containsText" text="Atendida">
      <formula>NOT(ISERROR(SEARCH("Atendida",K1288)))</formula>
    </cfRule>
    <cfRule type="containsText" dxfId="701" priority="701" operator="containsText" text="Reasignación">
      <formula>NOT(ISERROR(SEARCH("Reasignación",K1288)))</formula>
    </cfRule>
    <cfRule type="containsText" dxfId="700" priority="702" operator="containsText" text="RECHAZADA">
      <formula>NOT(ISERROR(SEARCH("RECHAZADA",K1288)))</formula>
    </cfRule>
    <cfRule type="containsText" dxfId="699" priority="703" operator="containsText" text="Atendida">
      <formula>NOT(ISERROR(SEARCH("Atendida",K1288)))</formula>
    </cfRule>
    <cfRule type="containsText" dxfId="698" priority="704" operator="containsText" text="Reasignación">
      <formula>NOT(ISERROR(SEARCH("Reasignación",K1288)))</formula>
    </cfRule>
    <cfRule type="containsText" dxfId="697" priority="705" operator="containsText" text="RECHAZADA">
      <formula>NOT(ISERROR(SEARCH("RECHAZADA",K1288)))</formula>
    </cfRule>
    <cfRule type="containsText" dxfId="696" priority="706" operator="containsText" text="Atendida">
      <formula>NOT(ISERROR(SEARCH("Atendida",K1288)))</formula>
    </cfRule>
    <cfRule type="containsText" dxfId="695" priority="707" operator="containsText" text="Reasignación">
      <formula>NOT(ISERROR(SEARCH("Reasignación",K1288)))</formula>
    </cfRule>
    <cfRule type="containsText" dxfId="694" priority="708" operator="containsText" text="RECHAZADA">
      <formula>NOT(ISERROR(SEARCH("RECHAZADA",K1288)))</formula>
    </cfRule>
    <cfRule type="containsText" dxfId="693" priority="709" operator="containsText" text="Atendida">
      <formula>NOT(ISERROR(SEARCH("Atendida",K1288)))</formula>
    </cfRule>
    <cfRule type="containsText" dxfId="692" priority="710" operator="containsText" text="Reasignación">
      <formula>NOT(ISERROR(SEARCH("Reasignación",K1288)))</formula>
    </cfRule>
    <cfRule type="containsText" dxfId="691" priority="711" operator="containsText" text="RECHAZADA">
      <formula>NOT(ISERROR(SEARCH("RECHAZADA",K1288)))</formula>
    </cfRule>
    <cfRule type="containsText" dxfId="690" priority="712" operator="containsText" text="Atendida">
      <formula>NOT(ISERROR(SEARCH("Atendida",K1288)))</formula>
    </cfRule>
    <cfRule type="containsText" dxfId="689" priority="713" operator="containsText" text="Reasignación">
      <formula>NOT(ISERROR(SEARCH("Reasignación",K1288)))</formula>
    </cfRule>
    <cfRule type="containsText" dxfId="688" priority="714" operator="containsText" text="RECHAZADA">
      <formula>NOT(ISERROR(SEARCH("RECHAZADA",K1288)))</formula>
    </cfRule>
    <cfRule type="containsText" dxfId="687" priority="715" operator="containsText" text="Atendida">
      <formula>NOT(ISERROR(SEARCH("Atendida",K1288)))</formula>
    </cfRule>
    <cfRule type="containsText" dxfId="686" priority="716" operator="containsText" text="Reasignación">
      <formula>NOT(ISERROR(SEARCH("Reasignación",K1288)))</formula>
    </cfRule>
    <cfRule type="containsText" dxfId="685" priority="717" operator="containsText" text="RECHAZADA">
      <formula>NOT(ISERROR(SEARCH("RECHAZADA",K1288)))</formula>
    </cfRule>
    <cfRule type="containsText" dxfId="684" priority="718" operator="containsText" text="Atendida">
      <formula>NOT(ISERROR(SEARCH("Atendida",K1288)))</formula>
    </cfRule>
  </conditionalFormatting>
  <conditionalFormatting sqref="K1289">
    <cfRule type="containsText" dxfId="683" priority="647" operator="containsText" text="Reasignación">
      <formula>NOT(ISERROR(SEARCH("Reasignación",K1289)))</formula>
    </cfRule>
    <cfRule type="containsText" dxfId="682" priority="648" operator="containsText" text="RECHAZADA">
      <formula>NOT(ISERROR(SEARCH("RECHAZADA",K1289)))</formula>
    </cfRule>
    <cfRule type="containsText" dxfId="681" priority="649" operator="containsText" text="Atendida">
      <formula>NOT(ISERROR(SEARCH("Atendida",K1289)))</formula>
    </cfRule>
    <cfRule type="containsText" dxfId="680" priority="650" operator="containsText" text="Reasignación">
      <formula>NOT(ISERROR(SEARCH("Reasignación",K1289)))</formula>
    </cfRule>
    <cfRule type="containsText" dxfId="679" priority="651" operator="containsText" text="RECHAZADA">
      <formula>NOT(ISERROR(SEARCH("RECHAZADA",K1289)))</formula>
    </cfRule>
    <cfRule type="containsText" dxfId="678" priority="652" operator="containsText" text="Atendida">
      <formula>NOT(ISERROR(SEARCH("Atendida",K1289)))</formula>
    </cfRule>
    <cfRule type="containsText" dxfId="677" priority="653" operator="containsText" text="Reasignación">
      <formula>NOT(ISERROR(SEARCH("Reasignación",K1289)))</formula>
    </cfRule>
    <cfRule type="containsText" dxfId="676" priority="654" operator="containsText" text="RECHAZADA">
      <formula>NOT(ISERROR(SEARCH("RECHAZADA",K1289)))</formula>
    </cfRule>
    <cfRule type="containsText" dxfId="675" priority="655" operator="containsText" text="Atendida">
      <formula>NOT(ISERROR(SEARCH("Atendida",K1289)))</formula>
    </cfRule>
    <cfRule type="containsText" dxfId="674" priority="656" operator="containsText" text="Reasignación">
      <formula>NOT(ISERROR(SEARCH("Reasignación",K1289)))</formula>
    </cfRule>
    <cfRule type="containsText" dxfId="673" priority="657" operator="containsText" text="RECHAZADA">
      <formula>NOT(ISERROR(SEARCH("RECHAZADA",K1289)))</formula>
    </cfRule>
    <cfRule type="containsText" dxfId="672" priority="658" operator="containsText" text="Atendida">
      <formula>NOT(ISERROR(SEARCH("Atendida",K1289)))</formula>
    </cfRule>
    <cfRule type="containsText" dxfId="671" priority="659" operator="containsText" text="Reasignación">
      <formula>NOT(ISERROR(SEARCH("Reasignación",K1289)))</formula>
    </cfRule>
    <cfRule type="containsText" dxfId="670" priority="660" operator="containsText" text="RECHAZADA">
      <formula>NOT(ISERROR(SEARCH("RECHAZADA",K1289)))</formula>
    </cfRule>
    <cfRule type="containsText" dxfId="669" priority="661" operator="containsText" text="Atendida">
      <formula>NOT(ISERROR(SEARCH("Atendida",K1289)))</formula>
    </cfRule>
    <cfRule type="containsText" dxfId="668" priority="662" operator="containsText" text="Reasignación">
      <formula>NOT(ISERROR(SEARCH("Reasignación",K1289)))</formula>
    </cfRule>
    <cfRule type="containsText" dxfId="667" priority="663" operator="containsText" text="RECHAZADA">
      <formula>NOT(ISERROR(SEARCH("RECHAZADA",K1289)))</formula>
    </cfRule>
    <cfRule type="containsText" dxfId="666" priority="664" operator="containsText" text="Atendida">
      <formula>NOT(ISERROR(SEARCH("Atendida",K1289)))</formula>
    </cfRule>
    <cfRule type="containsText" dxfId="665" priority="665" operator="containsText" text="Reasignación">
      <formula>NOT(ISERROR(SEARCH("Reasignación",K1289)))</formula>
    </cfRule>
    <cfRule type="containsText" dxfId="664" priority="666" operator="containsText" text="RECHAZADA">
      <formula>NOT(ISERROR(SEARCH("RECHAZADA",K1289)))</formula>
    </cfRule>
    <cfRule type="containsText" dxfId="663" priority="667" operator="containsText" text="Atendida">
      <formula>NOT(ISERROR(SEARCH("Atendida",K1289)))</formula>
    </cfRule>
    <cfRule type="containsText" dxfId="662" priority="668" operator="containsText" text="Reasignación">
      <formula>NOT(ISERROR(SEARCH("Reasignación",K1289)))</formula>
    </cfRule>
    <cfRule type="containsText" dxfId="661" priority="669" operator="containsText" text="RECHAZADA">
      <formula>NOT(ISERROR(SEARCH("RECHAZADA",K1289)))</formula>
    </cfRule>
    <cfRule type="containsText" dxfId="660" priority="670" operator="containsText" text="Atendida">
      <formula>NOT(ISERROR(SEARCH("Atendida",K1289)))</formula>
    </cfRule>
    <cfRule type="containsText" dxfId="659" priority="671" operator="containsText" text="Reasignación">
      <formula>NOT(ISERROR(SEARCH("Reasignación",K1289)))</formula>
    </cfRule>
    <cfRule type="containsText" dxfId="658" priority="672" operator="containsText" text="RECHAZADA">
      <formula>NOT(ISERROR(SEARCH("RECHAZADA",K1289)))</formula>
    </cfRule>
    <cfRule type="containsText" dxfId="657" priority="673" operator="containsText" text="Atendida">
      <formula>NOT(ISERROR(SEARCH("Atendida",K1289)))</formula>
    </cfRule>
    <cfRule type="containsText" dxfId="656" priority="674" operator="containsText" text="Reasignación">
      <formula>NOT(ISERROR(SEARCH("Reasignación",K1289)))</formula>
    </cfRule>
    <cfRule type="containsText" dxfId="655" priority="675" operator="containsText" text="RECHAZADA">
      <formula>NOT(ISERROR(SEARCH("RECHAZADA",K1289)))</formula>
    </cfRule>
    <cfRule type="containsText" dxfId="654" priority="676" operator="containsText" text="Atendida">
      <formula>NOT(ISERROR(SEARCH("Atendida",K1289)))</formula>
    </cfRule>
    <cfRule type="containsText" dxfId="653" priority="677" operator="containsText" text="Reasignación">
      <formula>NOT(ISERROR(SEARCH("Reasignación",K1289)))</formula>
    </cfRule>
    <cfRule type="containsText" dxfId="652" priority="678" operator="containsText" text="RECHAZADA">
      <formula>NOT(ISERROR(SEARCH("RECHAZADA",K1289)))</formula>
    </cfRule>
    <cfRule type="containsText" dxfId="651" priority="679" operator="containsText" text="Atendida">
      <formula>NOT(ISERROR(SEARCH("Atendida",K1289)))</formula>
    </cfRule>
    <cfRule type="containsText" dxfId="650" priority="680" operator="containsText" text="Reasignación">
      <formula>NOT(ISERROR(SEARCH("Reasignación",K1289)))</formula>
    </cfRule>
    <cfRule type="containsText" dxfId="649" priority="681" operator="containsText" text="RECHAZADA">
      <formula>NOT(ISERROR(SEARCH("RECHAZADA",K1289)))</formula>
    </cfRule>
    <cfRule type="containsText" dxfId="648" priority="682" operator="containsText" text="Atendida">
      <formula>NOT(ISERROR(SEARCH("Atendida",K1289)))</formula>
    </cfRule>
  </conditionalFormatting>
  <conditionalFormatting sqref="K1290">
    <cfRule type="containsText" dxfId="647" priority="611" operator="containsText" text="Reasignación">
      <formula>NOT(ISERROR(SEARCH("Reasignación",K1290)))</formula>
    </cfRule>
    <cfRule type="containsText" dxfId="646" priority="612" operator="containsText" text="RECHAZADA">
      <formula>NOT(ISERROR(SEARCH("RECHAZADA",K1290)))</formula>
    </cfRule>
    <cfRule type="containsText" dxfId="645" priority="613" operator="containsText" text="Atendida">
      <formula>NOT(ISERROR(SEARCH("Atendida",K1290)))</formula>
    </cfRule>
    <cfRule type="containsText" dxfId="644" priority="614" operator="containsText" text="Reasignación">
      <formula>NOT(ISERROR(SEARCH("Reasignación",K1290)))</formula>
    </cfRule>
    <cfRule type="containsText" dxfId="643" priority="615" operator="containsText" text="RECHAZADA">
      <formula>NOT(ISERROR(SEARCH("RECHAZADA",K1290)))</formula>
    </cfRule>
    <cfRule type="containsText" dxfId="642" priority="616" operator="containsText" text="Atendida">
      <formula>NOT(ISERROR(SEARCH("Atendida",K1290)))</formula>
    </cfRule>
    <cfRule type="containsText" dxfId="641" priority="617" operator="containsText" text="Reasignación">
      <formula>NOT(ISERROR(SEARCH("Reasignación",K1290)))</formula>
    </cfRule>
    <cfRule type="containsText" dxfId="640" priority="618" operator="containsText" text="RECHAZADA">
      <formula>NOT(ISERROR(SEARCH("RECHAZADA",K1290)))</formula>
    </cfRule>
    <cfRule type="containsText" dxfId="639" priority="619" operator="containsText" text="Atendida">
      <formula>NOT(ISERROR(SEARCH("Atendida",K1290)))</formula>
    </cfRule>
    <cfRule type="containsText" dxfId="638" priority="620" operator="containsText" text="Reasignación">
      <formula>NOT(ISERROR(SEARCH("Reasignación",K1290)))</formula>
    </cfRule>
    <cfRule type="containsText" dxfId="637" priority="621" operator="containsText" text="RECHAZADA">
      <formula>NOT(ISERROR(SEARCH("RECHAZADA",K1290)))</formula>
    </cfRule>
    <cfRule type="containsText" dxfId="636" priority="622" operator="containsText" text="Atendida">
      <formula>NOT(ISERROR(SEARCH("Atendida",K1290)))</formula>
    </cfRule>
    <cfRule type="containsText" dxfId="635" priority="623" operator="containsText" text="Reasignación">
      <formula>NOT(ISERROR(SEARCH("Reasignación",K1290)))</formula>
    </cfRule>
    <cfRule type="containsText" dxfId="634" priority="624" operator="containsText" text="RECHAZADA">
      <formula>NOT(ISERROR(SEARCH("RECHAZADA",K1290)))</formula>
    </cfRule>
    <cfRule type="containsText" dxfId="633" priority="625" operator="containsText" text="Atendida">
      <formula>NOT(ISERROR(SEARCH("Atendida",K1290)))</formula>
    </cfRule>
    <cfRule type="containsText" dxfId="632" priority="626" operator="containsText" text="Reasignación">
      <formula>NOT(ISERROR(SEARCH("Reasignación",K1290)))</formula>
    </cfRule>
    <cfRule type="containsText" dxfId="631" priority="627" operator="containsText" text="RECHAZADA">
      <formula>NOT(ISERROR(SEARCH("RECHAZADA",K1290)))</formula>
    </cfRule>
    <cfRule type="containsText" dxfId="630" priority="628" operator="containsText" text="Atendida">
      <formula>NOT(ISERROR(SEARCH("Atendida",K1290)))</formula>
    </cfRule>
    <cfRule type="containsText" dxfId="629" priority="629" operator="containsText" text="Reasignación">
      <formula>NOT(ISERROR(SEARCH("Reasignación",K1290)))</formula>
    </cfRule>
    <cfRule type="containsText" dxfId="628" priority="630" operator="containsText" text="RECHAZADA">
      <formula>NOT(ISERROR(SEARCH("RECHAZADA",K1290)))</formula>
    </cfRule>
    <cfRule type="containsText" dxfId="627" priority="631" operator="containsText" text="Atendida">
      <formula>NOT(ISERROR(SEARCH("Atendida",K1290)))</formula>
    </cfRule>
    <cfRule type="containsText" dxfId="626" priority="632" operator="containsText" text="Reasignación">
      <formula>NOT(ISERROR(SEARCH("Reasignación",K1290)))</formula>
    </cfRule>
    <cfRule type="containsText" dxfId="625" priority="633" operator="containsText" text="RECHAZADA">
      <formula>NOT(ISERROR(SEARCH("RECHAZADA",K1290)))</formula>
    </cfRule>
    <cfRule type="containsText" dxfId="624" priority="634" operator="containsText" text="Atendida">
      <formula>NOT(ISERROR(SEARCH("Atendida",K1290)))</formula>
    </cfRule>
    <cfRule type="containsText" dxfId="623" priority="635" operator="containsText" text="Reasignación">
      <formula>NOT(ISERROR(SEARCH("Reasignación",K1290)))</formula>
    </cfRule>
    <cfRule type="containsText" dxfId="622" priority="636" operator="containsText" text="RECHAZADA">
      <formula>NOT(ISERROR(SEARCH("RECHAZADA",K1290)))</formula>
    </cfRule>
    <cfRule type="containsText" dxfId="621" priority="637" operator="containsText" text="Atendida">
      <formula>NOT(ISERROR(SEARCH("Atendida",K1290)))</formula>
    </cfRule>
    <cfRule type="containsText" dxfId="620" priority="638" operator="containsText" text="Reasignación">
      <formula>NOT(ISERROR(SEARCH("Reasignación",K1290)))</formula>
    </cfRule>
    <cfRule type="containsText" dxfId="619" priority="639" operator="containsText" text="RECHAZADA">
      <formula>NOT(ISERROR(SEARCH("RECHAZADA",K1290)))</formula>
    </cfRule>
    <cfRule type="containsText" dxfId="618" priority="640" operator="containsText" text="Atendida">
      <formula>NOT(ISERROR(SEARCH("Atendida",K1290)))</formula>
    </cfRule>
    <cfRule type="containsText" dxfId="617" priority="641" operator="containsText" text="Reasignación">
      <formula>NOT(ISERROR(SEARCH("Reasignación",K1290)))</formula>
    </cfRule>
    <cfRule type="containsText" dxfId="616" priority="642" operator="containsText" text="RECHAZADA">
      <formula>NOT(ISERROR(SEARCH("RECHAZADA",K1290)))</formula>
    </cfRule>
    <cfRule type="containsText" dxfId="615" priority="643" operator="containsText" text="Atendida">
      <formula>NOT(ISERROR(SEARCH("Atendida",K1290)))</formula>
    </cfRule>
    <cfRule type="containsText" dxfId="614" priority="644" operator="containsText" text="Reasignación">
      <formula>NOT(ISERROR(SEARCH("Reasignación",K1290)))</formula>
    </cfRule>
    <cfRule type="containsText" dxfId="613" priority="645" operator="containsText" text="RECHAZADA">
      <formula>NOT(ISERROR(SEARCH("RECHAZADA",K1290)))</formula>
    </cfRule>
    <cfRule type="containsText" dxfId="612" priority="646" operator="containsText" text="Atendida">
      <formula>NOT(ISERROR(SEARCH("Atendida",K1290)))</formula>
    </cfRule>
  </conditionalFormatting>
  <conditionalFormatting sqref="B1291">
    <cfRule type="duplicateValues" dxfId="611" priority="609"/>
  </conditionalFormatting>
  <conditionalFormatting sqref="B1292">
    <cfRule type="duplicateValues" dxfId="610" priority="607"/>
  </conditionalFormatting>
  <conditionalFormatting sqref="E1291">
    <cfRule type="duplicateValues" dxfId="609" priority="610"/>
  </conditionalFormatting>
  <conditionalFormatting sqref="E1292">
    <cfRule type="duplicateValues" dxfId="608" priority="608"/>
  </conditionalFormatting>
  <conditionalFormatting sqref="B1293:B1302">
    <cfRule type="duplicateValues" dxfId="607" priority="605"/>
  </conditionalFormatting>
  <conditionalFormatting sqref="E1298:E1302 E1293:E1296">
    <cfRule type="duplicateValues" dxfId="606" priority="606"/>
  </conditionalFormatting>
  <conditionalFormatting sqref="J1291">
    <cfRule type="containsText" dxfId="605" priority="456" operator="containsText" text="Reasignación">
      <formula>NOT(ISERROR(SEARCH("Reasignación",J1291)))</formula>
    </cfRule>
    <cfRule type="containsText" dxfId="604" priority="457" operator="containsText" text="RECHAZADA">
      <formula>NOT(ISERROR(SEARCH("RECHAZADA",J1291)))</formula>
    </cfRule>
    <cfRule type="containsText" dxfId="603" priority="458" operator="containsText" text="Atendida">
      <formula>NOT(ISERROR(SEARCH("Atendida",J1291)))</formula>
    </cfRule>
    <cfRule type="containsText" dxfId="602" priority="459" operator="containsText" text="Reasignación">
      <formula>NOT(ISERROR(SEARCH("Reasignación",J1291)))</formula>
    </cfRule>
    <cfRule type="containsText" dxfId="601" priority="460" operator="containsText" text="RECHAZADA">
      <formula>NOT(ISERROR(SEARCH("RECHAZADA",J1291)))</formula>
    </cfRule>
    <cfRule type="containsText" dxfId="600" priority="461" operator="containsText" text="Atendida">
      <formula>NOT(ISERROR(SEARCH("Atendida",J1291)))</formula>
    </cfRule>
    <cfRule type="containsText" dxfId="599" priority="462" operator="containsText" text="Reasignación">
      <formula>NOT(ISERROR(SEARCH("Reasignación",J1291)))</formula>
    </cfRule>
    <cfRule type="containsText" dxfId="598" priority="463" operator="containsText" text="RECHAZADA">
      <formula>NOT(ISERROR(SEARCH("RECHAZADA",J1291)))</formula>
    </cfRule>
    <cfRule type="containsText" dxfId="597" priority="464" operator="containsText" text="Atendida">
      <formula>NOT(ISERROR(SEARCH("Atendida",J1291)))</formula>
    </cfRule>
    <cfRule type="containsText" dxfId="596" priority="465" operator="containsText" text="Reasignación">
      <formula>NOT(ISERROR(SEARCH("Reasignación",J1291)))</formula>
    </cfRule>
    <cfRule type="containsText" dxfId="595" priority="466" operator="containsText" text="RECHAZADA">
      <formula>NOT(ISERROR(SEARCH("RECHAZADA",J1291)))</formula>
    </cfRule>
    <cfRule type="containsText" dxfId="594" priority="467" operator="containsText" text="Atendida">
      <formula>NOT(ISERROR(SEARCH("Atendida",J1291)))</formula>
    </cfRule>
    <cfRule type="containsText" dxfId="593" priority="468" operator="containsText" text="Reasignación">
      <formula>NOT(ISERROR(SEARCH("Reasignación",J1291)))</formula>
    </cfRule>
    <cfRule type="containsText" dxfId="592" priority="469" operator="containsText" text="RECHAZADA">
      <formula>NOT(ISERROR(SEARCH("RECHAZADA",J1291)))</formula>
    </cfRule>
    <cfRule type="containsText" dxfId="591" priority="470" operator="containsText" text="Atendida">
      <formula>NOT(ISERROR(SEARCH("Atendida",J1291)))</formula>
    </cfRule>
    <cfRule type="containsText" dxfId="590" priority="471" operator="containsText" text="Reasignación">
      <formula>NOT(ISERROR(SEARCH("Reasignación",J1291)))</formula>
    </cfRule>
    <cfRule type="containsText" dxfId="589" priority="472" operator="containsText" text="RECHAZADA">
      <formula>NOT(ISERROR(SEARCH("RECHAZADA",J1291)))</formula>
    </cfRule>
    <cfRule type="containsText" dxfId="588" priority="473" operator="containsText" text="Atendida">
      <formula>NOT(ISERROR(SEARCH("Atendida",J1291)))</formula>
    </cfRule>
    <cfRule type="containsText" dxfId="587" priority="474" operator="containsText" text="Reasignación">
      <formula>NOT(ISERROR(SEARCH("Reasignación",J1291)))</formula>
    </cfRule>
    <cfRule type="containsText" dxfId="586" priority="475" operator="containsText" text="RECHAZADA">
      <formula>NOT(ISERROR(SEARCH("RECHAZADA",J1291)))</formula>
    </cfRule>
    <cfRule type="containsText" dxfId="585" priority="476" operator="containsText" text="Atendida">
      <formula>NOT(ISERROR(SEARCH("Atendida",J1291)))</formula>
    </cfRule>
    <cfRule type="containsText" dxfId="584" priority="477" operator="containsText" text="Reasignación">
      <formula>NOT(ISERROR(SEARCH("Reasignación",J1291)))</formula>
    </cfRule>
    <cfRule type="containsText" dxfId="583" priority="478" operator="containsText" text="RECHAZADA">
      <formula>NOT(ISERROR(SEARCH("RECHAZADA",J1291)))</formula>
    </cfRule>
    <cfRule type="containsText" dxfId="582" priority="479" operator="containsText" text="Atendida">
      <formula>NOT(ISERROR(SEARCH("Atendida",J1291)))</formula>
    </cfRule>
    <cfRule type="containsText" dxfId="581" priority="480" operator="containsText" text="Reasignación">
      <formula>NOT(ISERROR(SEARCH("Reasignación",J1291)))</formula>
    </cfRule>
    <cfRule type="containsText" dxfId="580" priority="481" operator="containsText" text="RECHAZADA">
      <formula>NOT(ISERROR(SEARCH("RECHAZADA",J1291)))</formula>
    </cfRule>
    <cfRule type="containsText" dxfId="579" priority="482" operator="containsText" text="Atendida">
      <formula>NOT(ISERROR(SEARCH("Atendida",J1291)))</formula>
    </cfRule>
    <cfRule type="containsText" dxfId="578" priority="483" operator="containsText" text="Reasignación">
      <formula>NOT(ISERROR(SEARCH("Reasignación",J1291)))</formula>
    </cfRule>
    <cfRule type="containsText" dxfId="577" priority="484" operator="containsText" text="RECHAZADA">
      <formula>NOT(ISERROR(SEARCH("RECHAZADA",J1291)))</formula>
    </cfRule>
    <cfRule type="containsText" dxfId="576" priority="485" operator="containsText" text="Atendida">
      <formula>NOT(ISERROR(SEARCH("Atendida",J1291)))</formula>
    </cfRule>
    <cfRule type="containsText" dxfId="575" priority="486" operator="containsText" text="Reasignación">
      <formula>NOT(ISERROR(SEARCH("Reasignación",J1291)))</formula>
    </cfRule>
    <cfRule type="containsText" dxfId="574" priority="487" operator="containsText" text="RECHAZADA">
      <formula>NOT(ISERROR(SEARCH("RECHAZADA",J1291)))</formula>
    </cfRule>
    <cfRule type="containsText" dxfId="573" priority="488" operator="containsText" text="Atendida">
      <formula>NOT(ISERROR(SEARCH("Atendida",J1291)))</formula>
    </cfRule>
    <cfRule type="containsText" dxfId="572" priority="489" operator="containsText" text="Reasignación">
      <formula>NOT(ISERROR(SEARCH("Reasignación",J1291)))</formula>
    </cfRule>
    <cfRule type="containsText" dxfId="571" priority="490" operator="containsText" text="RECHAZADA">
      <formula>NOT(ISERROR(SEARCH("RECHAZADA",J1291)))</formula>
    </cfRule>
    <cfRule type="containsText" dxfId="570" priority="491" operator="containsText" text="Atendida">
      <formula>NOT(ISERROR(SEARCH("Atendida",J1291)))</formula>
    </cfRule>
    <cfRule type="containsText" dxfId="569" priority="492" operator="containsText" text="Reasignación">
      <formula>NOT(ISERROR(SEARCH("Reasignación",J1291)))</formula>
    </cfRule>
    <cfRule type="containsText" dxfId="568" priority="493" operator="containsText" text="RECHAZADA">
      <formula>NOT(ISERROR(SEARCH("RECHAZADA",J1291)))</formula>
    </cfRule>
    <cfRule type="containsText" dxfId="567" priority="494" operator="containsText" text="Atendida">
      <formula>NOT(ISERROR(SEARCH("Atendida",J1291)))</formula>
    </cfRule>
    <cfRule type="containsText" dxfId="566" priority="495" operator="containsText" text="Reasignación">
      <formula>NOT(ISERROR(SEARCH("Reasignación",J1291)))</formula>
    </cfRule>
    <cfRule type="containsText" dxfId="565" priority="496" operator="containsText" text="RECHAZADA">
      <formula>NOT(ISERROR(SEARCH("RECHAZADA",J1291)))</formula>
    </cfRule>
    <cfRule type="containsText" dxfId="564" priority="497" operator="containsText" text="Atendida">
      <formula>NOT(ISERROR(SEARCH("Atendida",J1291)))</formula>
    </cfRule>
    <cfRule type="containsText" dxfId="563" priority="498" operator="containsText" text="Reasignación">
      <formula>NOT(ISERROR(SEARCH("Reasignación",J1291)))</formula>
    </cfRule>
    <cfRule type="containsText" dxfId="562" priority="499" operator="containsText" text="RECHAZADA">
      <formula>NOT(ISERROR(SEARCH("RECHAZADA",J1291)))</formula>
    </cfRule>
    <cfRule type="containsText" dxfId="561" priority="500" operator="containsText" text="Atendida">
      <formula>NOT(ISERROR(SEARCH("Atendida",J1291)))</formula>
    </cfRule>
    <cfRule type="containsText" dxfId="560" priority="501" operator="containsText" text="Reasignación">
      <formula>NOT(ISERROR(SEARCH("Reasignación",J1291)))</formula>
    </cfRule>
    <cfRule type="containsText" dxfId="559" priority="502" operator="containsText" text="RECHAZADA">
      <formula>NOT(ISERROR(SEARCH("RECHAZADA",J1291)))</formula>
    </cfRule>
    <cfRule type="containsText" dxfId="558" priority="503" operator="containsText" text="Atendida">
      <formula>NOT(ISERROR(SEARCH("Atendida",J1291)))</formula>
    </cfRule>
    <cfRule type="containsText" dxfId="557" priority="504" operator="containsText" text="Reasignación">
      <formula>NOT(ISERROR(SEARCH("Reasignación",J1291)))</formula>
    </cfRule>
    <cfRule type="containsText" dxfId="556" priority="505" operator="containsText" text="RECHAZADA">
      <formula>NOT(ISERROR(SEARCH("RECHAZADA",J1291)))</formula>
    </cfRule>
    <cfRule type="containsText" dxfId="555" priority="506" operator="containsText" text="Atendida">
      <formula>NOT(ISERROR(SEARCH("Atendida",J1291)))</formula>
    </cfRule>
    <cfRule type="containsText" dxfId="554" priority="507" operator="containsText" text="Reasignación">
      <formula>NOT(ISERROR(SEARCH("Reasignación",J1291)))</formula>
    </cfRule>
    <cfRule type="containsText" dxfId="553" priority="508" operator="containsText" text="RECHAZADA">
      <formula>NOT(ISERROR(SEARCH("RECHAZADA",J1291)))</formula>
    </cfRule>
    <cfRule type="containsText" dxfId="552" priority="509" operator="containsText" text="Atendida">
      <formula>NOT(ISERROR(SEARCH("Atendida",J1291)))</formula>
    </cfRule>
    <cfRule type="containsText" dxfId="551" priority="510" operator="containsText" text="Reasignación">
      <formula>NOT(ISERROR(SEARCH("Reasignación",J1291)))</formula>
    </cfRule>
    <cfRule type="containsText" dxfId="550" priority="511" operator="containsText" text="RECHAZADA">
      <formula>NOT(ISERROR(SEARCH("RECHAZADA",J1291)))</formula>
    </cfRule>
    <cfRule type="containsText" dxfId="549" priority="512" operator="containsText" text="Atendida">
      <formula>NOT(ISERROR(SEARCH("Atendida",J1291)))</formula>
    </cfRule>
    <cfRule type="containsText" dxfId="548" priority="513" operator="containsText" text="Reasignación">
      <formula>NOT(ISERROR(SEARCH("Reasignación",J1291)))</formula>
    </cfRule>
    <cfRule type="containsText" dxfId="547" priority="514" operator="containsText" text="RECHAZADA">
      <formula>NOT(ISERROR(SEARCH("RECHAZADA",J1291)))</formula>
    </cfRule>
    <cfRule type="containsText" dxfId="546" priority="515" operator="containsText" text="Atendida">
      <formula>NOT(ISERROR(SEARCH("Atendida",J1291)))</formula>
    </cfRule>
    <cfRule type="containsText" dxfId="545" priority="516" operator="containsText" text="Reasignación">
      <formula>NOT(ISERROR(SEARCH("Reasignación",J1291)))</formula>
    </cfRule>
    <cfRule type="containsText" dxfId="544" priority="517" operator="containsText" text="RECHAZADA">
      <formula>NOT(ISERROR(SEARCH("RECHAZADA",J1291)))</formula>
    </cfRule>
    <cfRule type="containsText" dxfId="543" priority="518" operator="containsText" text="Atendida">
      <formula>NOT(ISERROR(SEARCH("Atendida",J1291)))</formula>
    </cfRule>
    <cfRule type="containsText" dxfId="542" priority="519" operator="containsText" text="Reasignación">
      <formula>NOT(ISERROR(SEARCH("Reasignación",J1291)))</formula>
    </cfRule>
    <cfRule type="containsText" dxfId="541" priority="520" operator="containsText" text="RECHAZADA">
      <formula>NOT(ISERROR(SEARCH("RECHAZADA",J1291)))</formula>
    </cfRule>
    <cfRule type="containsText" dxfId="540" priority="521" operator="containsText" text="Atendida">
      <formula>NOT(ISERROR(SEARCH("Atendida",J1291)))</formula>
    </cfRule>
    <cfRule type="containsText" dxfId="539" priority="522" operator="containsText" text="Reasignación">
      <formula>NOT(ISERROR(SEARCH("Reasignación",J1291)))</formula>
    </cfRule>
    <cfRule type="containsText" dxfId="538" priority="523" operator="containsText" text="RECHAZADA">
      <formula>NOT(ISERROR(SEARCH("RECHAZADA",J1291)))</formula>
    </cfRule>
    <cfRule type="containsText" dxfId="537" priority="524" operator="containsText" text="Atendida">
      <formula>NOT(ISERROR(SEARCH("Atendida",J1291)))</formula>
    </cfRule>
    <cfRule type="containsText" dxfId="536" priority="525" operator="containsText" text="Reasignación">
      <formula>NOT(ISERROR(SEARCH("Reasignación",J1291)))</formula>
    </cfRule>
    <cfRule type="containsText" dxfId="535" priority="526" operator="containsText" text="RECHAZADA">
      <formula>NOT(ISERROR(SEARCH("RECHAZADA",J1291)))</formula>
    </cfRule>
    <cfRule type="containsText" dxfId="534" priority="527" operator="containsText" text="Atendida">
      <formula>NOT(ISERROR(SEARCH("Atendida",J1291)))</formula>
    </cfRule>
    <cfRule type="containsText" dxfId="533" priority="528" operator="containsText" text="Reasignación">
      <formula>NOT(ISERROR(SEARCH("Reasignación",J1291)))</formula>
    </cfRule>
    <cfRule type="containsText" dxfId="532" priority="529" operator="containsText" text="RECHAZADA">
      <formula>NOT(ISERROR(SEARCH("RECHAZADA",J1291)))</formula>
    </cfRule>
    <cfRule type="containsText" dxfId="531" priority="530" operator="containsText" text="Atendida">
      <formula>NOT(ISERROR(SEARCH("Atendida",J1291)))</formula>
    </cfRule>
    <cfRule type="containsText" dxfId="530" priority="531" operator="containsText" text="Reasignación">
      <formula>NOT(ISERROR(SEARCH("Reasignación",J1291)))</formula>
    </cfRule>
    <cfRule type="containsText" dxfId="529" priority="532" operator="containsText" text="RECHAZADA">
      <formula>NOT(ISERROR(SEARCH("RECHAZADA",J1291)))</formula>
    </cfRule>
    <cfRule type="containsText" dxfId="528" priority="533" operator="containsText" text="Atendida">
      <formula>NOT(ISERROR(SEARCH("Atendida",J1291)))</formula>
    </cfRule>
    <cfRule type="containsText" dxfId="527" priority="534" operator="containsText" text="Reasignación">
      <formula>NOT(ISERROR(SEARCH("Reasignación",J1291)))</formula>
    </cfRule>
    <cfRule type="containsText" dxfId="526" priority="535" operator="containsText" text="RECHAZADA">
      <formula>NOT(ISERROR(SEARCH("RECHAZADA",J1291)))</formula>
    </cfRule>
    <cfRule type="containsText" dxfId="525" priority="536" operator="containsText" text="Atendida">
      <formula>NOT(ISERROR(SEARCH("Atendida",J1291)))</formula>
    </cfRule>
    <cfRule type="containsText" dxfId="524" priority="537" operator="containsText" text="Reasignación">
      <formula>NOT(ISERROR(SEARCH("Reasignación",J1291)))</formula>
    </cfRule>
    <cfRule type="containsText" dxfId="523" priority="538" operator="containsText" text="RECHAZADA">
      <formula>NOT(ISERROR(SEARCH("RECHAZADA",J1291)))</formula>
    </cfRule>
    <cfRule type="containsText" dxfId="522" priority="539" operator="containsText" text="Atendida">
      <formula>NOT(ISERROR(SEARCH("Atendida",J1291)))</formula>
    </cfRule>
    <cfRule type="containsText" dxfId="521" priority="540" operator="containsText" text="Reasignación">
      <formula>NOT(ISERROR(SEARCH("Reasignación",J1291)))</formula>
    </cfRule>
    <cfRule type="containsText" dxfId="520" priority="541" operator="containsText" text="RECHAZADA">
      <formula>NOT(ISERROR(SEARCH("RECHAZADA",J1291)))</formula>
    </cfRule>
    <cfRule type="containsText" dxfId="519" priority="542" operator="containsText" text="Atendida">
      <formula>NOT(ISERROR(SEARCH("Atendida",J1291)))</formula>
    </cfRule>
    <cfRule type="containsText" dxfId="518" priority="543" operator="containsText" text="Reasignación">
      <formula>NOT(ISERROR(SEARCH("Reasignación",J1291)))</formula>
    </cfRule>
    <cfRule type="containsText" dxfId="517" priority="544" operator="containsText" text="RECHAZADA">
      <formula>NOT(ISERROR(SEARCH("RECHAZADA",J1291)))</formula>
    </cfRule>
    <cfRule type="containsText" dxfId="516" priority="545" operator="containsText" text="Atendida">
      <formula>NOT(ISERROR(SEARCH("Atendida",J1291)))</formula>
    </cfRule>
    <cfRule type="containsText" dxfId="515" priority="546" operator="containsText" text="Reasignación">
      <formula>NOT(ISERROR(SEARCH("Reasignación",J1291)))</formula>
    </cfRule>
    <cfRule type="containsText" dxfId="514" priority="547" operator="containsText" text="RECHAZADA">
      <formula>NOT(ISERROR(SEARCH("RECHAZADA",J1291)))</formula>
    </cfRule>
    <cfRule type="containsText" dxfId="513" priority="548" operator="containsText" text="Atendida">
      <formula>NOT(ISERROR(SEARCH("Atendida",J1291)))</formula>
    </cfRule>
    <cfRule type="containsText" dxfId="512" priority="549" operator="containsText" text="Reasignación">
      <formula>NOT(ISERROR(SEARCH("Reasignación",J1291)))</formula>
    </cfRule>
    <cfRule type="containsText" dxfId="511" priority="550" operator="containsText" text="RECHAZADA">
      <formula>NOT(ISERROR(SEARCH("RECHAZADA",J1291)))</formula>
    </cfRule>
    <cfRule type="containsText" dxfId="510" priority="551" operator="containsText" text="Atendida">
      <formula>NOT(ISERROR(SEARCH("Atendida",J1291)))</formula>
    </cfRule>
    <cfRule type="containsText" dxfId="509" priority="552" operator="containsText" text="Reasignación">
      <formula>NOT(ISERROR(SEARCH("Reasignación",J1291)))</formula>
    </cfRule>
    <cfRule type="containsText" dxfId="508" priority="553" operator="containsText" text="RECHAZADA">
      <formula>NOT(ISERROR(SEARCH("RECHAZADA",J1291)))</formula>
    </cfRule>
    <cfRule type="containsText" dxfId="507" priority="554" operator="containsText" text="Atendida">
      <formula>NOT(ISERROR(SEARCH("Atendida",J1291)))</formula>
    </cfRule>
    <cfRule type="containsText" dxfId="506" priority="555" operator="containsText" text="Reasignación">
      <formula>NOT(ISERROR(SEARCH("Reasignación",J1291)))</formula>
    </cfRule>
    <cfRule type="containsText" dxfId="505" priority="556" operator="containsText" text="RECHAZADA">
      <formula>NOT(ISERROR(SEARCH("RECHAZADA",J1291)))</formula>
    </cfRule>
    <cfRule type="containsText" dxfId="504" priority="557" operator="containsText" text="Atendida">
      <formula>NOT(ISERROR(SEARCH("Atendida",J1291)))</formula>
    </cfRule>
    <cfRule type="containsText" dxfId="503" priority="558" operator="containsText" text="Reasignación">
      <formula>NOT(ISERROR(SEARCH("Reasignación",J1291)))</formula>
    </cfRule>
    <cfRule type="containsText" dxfId="502" priority="559" operator="containsText" text="RECHAZADA">
      <formula>NOT(ISERROR(SEARCH("RECHAZADA",J1291)))</formula>
    </cfRule>
    <cfRule type="containsText" dxfId="501" priority="560" operator="containsText" text="Atendida">
      <formula>NOT(ISERROR(SEARCH("Atendida",J1291)))</formula>
    </cfRule>
    <cfRule type="containsText" dxfId="500" priority="561" operator="containsText" text="Reasignación">
      <formula>NOT(ISERROR(SEARCH("Reasignación",J1291)))</formula>
    </cfRule>
    <cfRule type="containsText" dxfId="499" priority="562" operator="containsText" text="RECHAZADA">
      <formula>NOT(ISERROR(SEARCH("RECHAZADA",J1291)))</formula>
    </cfRule>
    <cfRule type="containsText" dxfId="498" priority="563" operator="containsText" text="Atendida">
      <formula>NOT(ISERROR(SEARCH("Atendida",J1291)))</formula>
    </cfRule>
    <cfRule type="containsText" dxfId="497" priority="564" operator="containsText" text="Reasignación">
      <formula>NOT(ISERROR(SEARCH("Reasignación",J1291)))</formula>
    </cfRule>
    <cfRule type="containsText" dxfId="496" priority="565" operator="containsText" text="RECHAZADA">
      <formula>NOT(ISERROR(SEARCH("RECHAZADA",J1291)))</formula>
    </cfRule>
    <cfRule type="containsText" dxfId="495" priority="566" operator="containsText" text="Atendida">
      <formula>NOT(ISERROR(SEARCH("Atendida",J1291)))</formula>
    </cfRule>
    <cfRule type="containsText" dxfId="494" priority="567" operator="containsText" text="Reasignación">
      <formula>NOT(ISERROR(SEARCH("Reasignación",J1291)))</formula>
    </cfRule>
    <cfRule type="containsText" dxfId="493" priority="568" operator="containsText" text="RECHAZADA">
      <formula>NOT(ISERROR(SEARCH("RECHAZADA",J1291)))</formula>
    </cfRule>
    <cfRule type="containsText" dxfId="492" priority="569" operator="containsText" text="Atendida">
      <formula>NOT(ISERROR(SEARCH("Atendida",J1291)))</formula>
    </cfRule>
    <cfRule type="containsText" dxfId="491" priority="570" operator="containsText" text="Reasignación">
      <formula>NOT(ISERROR(SEARCH("Reasignación",J1291)))</formula>
    </cfRule>
    <cfRule type="containsText" dxfId="490" priority="571" operator="containsText" text="RECHAZADA">
      <formula>NOT(ISERROR(SEARCH("RECHAZADA",J1291)))</formula>
    </cfRule>
    <cfRule type="containsText" dxfId="489" priority="572" operator="containsText" text="Atendida">
      <formula>NOT(ISERROR(SEARCH("Atendida",J1291)))</formula>
    </cfRule>
    <cfRule type="containsText" dxfId="488" priority="573" operator="containsText" text="Reasignación">
      <formula>NOT(ISERROR(SEARCH("Reasignación",J1291)))</formula>
    </cfRule>
    <cfRule type="containsText" dxfId="487" priority="574" operator="containsText" text="RECHAZADA">
      <formula>NOT(ISERROR(SEARCH("RECHAZADA",J1291)))</formula>
    </cfRule>
    <cfRule type="containsText" dxfId="486" priority="575" operator="containsText" text="Atendida">
      <formula>NOT(ISERROR(SEARCH("Atendida",J1291)))</formula>
    </cfRule>
    <cfRule type="containsText" dxfId="485" priority="576" operator="containsText" text="Reasignación">
      <formula>NOT(ISERROR(SEARCH("Reasignación",J1291)))</formula>
    </cfRule>
    <cfRule type="containsText" dxfId="484" priority="577" operator="containsText" text="RECHAZADA">
      <formula>NOT(ISERROR(SEARCH("RECHAZADA",J1291)))</formula>
    </cfRule>
    <cfRule type="containsText" dxfId="483" priority="578" operator="containsText" text="Atendida">
      <formula>NOT(ISERROR(SEARCH("Atendida",J1291)))</formula>
    </cfRule>
    <cfRule type="containsText" dxfId="482" priority="579" operator="containsText" text="Reasignación">
      <formula>NOT(ISERROR(SEARCH("Reasignación",J1291)))</formula>
    </cfRule>
    <cfRule type="containsText" dxfId="481" priority="580" operator="containsText" text="RECHAZADA">
      <formula>NOT(ISERROR(SEARCH("RECHAZADA",J1291)))</formula>
    </cfRule>
    <cfRule type="containsText" dxfId="480" priority="581" operator="containsText" text="Atendida">
      <formula>NOT(ISERROR(SEARCH("Atendida",J1291)))</formula>
    </cfRule>
    <cfRule type="containsText" dxfId="479" priority="582" operator="containsText" text="Reasignación">
      <formula>NOT(ISERROR(SEARCH("Reasignación",J1291)))</formula>
    </cfRule>
    <cfRule type="containsText" dxfId="478" priority="583" operator="containsText" text="RECHAZADA">
      <formula>NOT(ISERROR(SEARCH("RECHAZADA",J1291)))</formula>
    </cfRule>
    <cfRule type="containsText" dxfId="477" priority="584" operator="containsText" text="Atendida">
      <formula>NOT(ISERROR(SEARCH("Atendida",J1291)))</formula>
    </cfRule>
    <cfRule type="containsText" dxfId="476" priority="585" operator="containsText" text="Reasignación">
      <formula>NOT(ISERROR(SEARCH("Reasignación",J1291)))</formula>
    </cfRule>
    <cfRule type="containsText" dxfId="475" priority="586" operator="containsText" text="RECHAZADA">
      <formula>NOT(ISERROR(SEARCH("RECHAZADA",J1291)))</formula>
    </cfRule>
    <cfRule type="containsText" dxfId="474" priority="587" operator="containsText" text="Atendida">
      <formula>NOT(ISERROR(SEARCH("Atendida",J1291)))</formula>
    </cfRule>
    <cfRule type="containsText" dxfId="473" priority="588" operator="containsText" text="Reasignación">
      <formula>NOT(ISERROR(SEARCH("Reasignación",J1291)))</formula>
    </cfRule>
    <cfRule type="containsText" dxfId="472" priority="589" operator="containsText" text="RECHAZADA">
      <formula>NOT(ISERROR(SEARCH("RECHAZADA",J1291)))</formula>
    </cfRule>
    <cfRule type="containsText" dxfId="471" priority="590" operator="containsText" text="Atendida">
      <formula>NOT(ISERROR(SEARCH("Atendida",J1291)))</formula>
    </cfRule>
    <cfRule type="containsText" dxfId="470" priority="591" operator="containsText" text="Reasignación">
      <formula>NOT(ISERROR(SEARCH("Reasignación",J1291)))</formula>
    </cfRule>
    <cfRule type="containsText" dxfId="469" priority="592" operator="containsText" text="RECHAZADA">
      <formula>NOT(ISERROR(SEARCH("RECHAZADA",J1291)))</formula>
    </cfRule>
    <cfRule type="containsText" dxfId="468" priority="593" operator="containsText" text="Atendida">
      <formula>NOT(ISERROR(SEARCH("Atendida",J1291)))</formula>
    </cfRule>
    <cfRule type="containsText" dxfId="467" priority="594" operator="containsText" text="Reasignación">
      <formula>NOT(ISERROR(SEARCH("Reasignación",J1291)))</formula>
    </cfRule>
    <cfRule type="containsText" dxfId="466" priority="595" operator="containsText" text="RECHAZADA">
      <formula>NOT(ISERROR(SEARCH("RECHAZADA",J1291)))</formula>
    </cfRule>
    <cfRule type="containsText" dxfId="465" priority="596" operator="containsText" text="Atendida">
      <formula>NOT(ISERROR(SEARCH("Atendida",J1291)))</formula>
    </cfRule>
    <cfRule type="containsText" dxfId="464" priority="597" operator="containsText" text="Reasignación">
      <formula>NOT(ISERROR(SEARCH("Reasignación",J1291)))</formula>
    </cfRule>
    <cfRule type="containsText" dxfId="463" priority="598" operator="containsText" text="RECHAZADA">
      <formula>NOT(ISERROR(SEARCH("RECHAZADA",J1291)))</formula>
    </cfRule>
    <cfRule type="containsText" dxfId="462" priority="599" operator="containsText" text="Atendida">
      <formula>NOT(ISERROR(SEARCH("Atendida",J1291)))</formula>
    </cfRule>
    <cfRule type="containsText" dxfId="461" priority="600" operator="containsText" text="RECHAZADA">
      <formula>NOT(ISERROR(SEARCH("RECHAZADA",J1291)))</formula>
    </cfRule>
    <cfRule type="containsText" dxfId="460" priority="601" operator="containsText" text="Atendida">
      <formula>NOT(ISERROR(SEARCH("Atendida",J1291)))</formula>
    </cfRule>
    <cfRule type="containsText" dxfId="459" priority="602" operator="containsText" text="Reasignación">
      <formula>NOT(ISERROR(SEARCH("Reasignación",J1291)))</formula>
    </cfRule>
    <cfRule type="containsText" dxfId="458" priority="603" operator="containsText" text="RECHAZADA">
      <formula>NOT(ISERROR(SEARCH("RECHAZADA",J1291)))</formula>
    </cfRule>
    <cfRule type="containsText" dxfId="457" priority="604" operator="containsText" text="Atendida">
      <formula>NOT(ISERROR(SEARCH("Atendida",J1291)))</formula>
    </cfRule>
  </conditionalFormatting>
  <conditionalFormatting sqref="K1291">
    <cfRule type="containsText" dxfId="456" priority="420" operator="containsText" text="Reasignación">
      <formula>NOT(ISERROR(SEARCH("Reasignación",K1291)))</formula>
    </cfRule>
    <cfRule type="containsText" dxfId="455" priority="421" operator="containsText" text="RECHAZADA">
      <formula>NOT(ISERROR(SEARCH("RECHAZADA",K1291)))</formula>
    </cfRule>
    <cfRule type="containsText" dxfId="454" priority="422" operator="containsText" text="Atendida">
      <formula>NOT(ISERROR(SEARCH("Atendida",K1291)))</formula>
    </cfRule>
    <cfRule type="containsText" dxfId="453" priority="423" operator="containsText" text="Reasignación">
      <formula>NOT(ISERROR(SEARCH("Reasignación",K1291)))</formula>
    </cfRule>
    <cfRule type="containsText" dxfId="452" priority="424" operator="containsText" text="RECHAZADA">
      <formula>NOT(ISERROR(SEARCH("RECHAZADA",K1291)))</formula>
    </cfRule>
    <cfRule type="containsText" dxfId="451" priority="425" operator="containsText" text="Atendida">
      <formula>NOT(ISERROR(SEARCH("Atendida",K1291)))</formula>
    </cfRule>
    <cfRule type="containsText" dxfId="450" priority="426" operator="containsText" text="Reasignación">
      <formula>NOT(ISERROR(SEARCH("Reasignación",K1291)))</formula>
    </cfRule>
    <cfRule type="containsText" dxfId="449" priority="427" operator="containsText" text="RECHAZADA">
      <formula>NOT(ISERROR(SEARCH("RECHAZADA",K1291)))</formula>
    </cfRule>
    <cfRule type="containsText" dxfId="448" priority="428" operator="containsText" text="Atendida">
      <formula>NOT(ISERROR(SEARCH("Atendida",K1291)))</formula>
    </cfRule>
    <cfRule type="containsText" dxfId="447" priority="429" operator="containsText" text="Reasignación">
      <formula>NOT(ISERROR(SEARCH("Reasignación",K1291)))</formula>
    </cfRule>
    <cfRule type="containsText" dxfId="446" priority="430" operator="containsText" text="RECHAZADA">
      <formula>NOT(ISERROR(SEARCH("RECHAZADA",K1291)))</formula>
    </cfRule>
    <cfRule type="containsText" dxfId="445" priority="431" operator="containsText" text="Atendida">
      <formula>NOT(ISERROR(SEARCH("Atendida",K1291)))</formula>
    </cfRule>
    <cfRule type="containsText" dxfId="444" priority="432" operator="containsText" text="Reasignación">
      <formula>NOT(ISERROR(SEARCH("Reasignación",K1291)))</formula>
    </cfRule>
    <cfRule type="containsText" dxfId="443" priority="433" operator="containsText" text="RECHAZADA">
      <formula>NOT(ISERROR(SEARCH("RECHAZADA",K1291)))</formula>
    </cfRule>
    <cfRule type="containsText" dxfId="442" priority="434" operator="containsText" text="Atendida">
      <formula>NOT(ISERROR(SEARCH("Atendida",K1291)))</formula>
    </cfRule>
    <cfRule type="containsText" dxfId="441" priority="435" operator="containsText" text="Reasignación">
      <formula>NOT(ISERROR(SEARCH("Reasignación",K1291)))</formula>
    </cfRule>
    <cfRule type="containsText" dxfId="440" priority="436" operator="containsText" text="RECHAZADA">
      <formula>NOT(ISERROR(SEARCH("RECHAZADA",K1291)))</formula>
    </cfRule>
    <cfRule type="containsText" dxfId="439" priority="437" operator="containsText" text="Atendida">
      <formula>NOT(ISERROR(SEARCH("Atendida",K1291)))</formula>
    </cfRule>
    <cfRule type="containsText" dxfId="438" priority="438" operator="containsText" text="Reasignación">
      <formula>NOT(ISERROR(SEARCH("Reasignación",K1291)))</formula>
    </cfRule>
    <cfRule type="containsText" dxfId="437" priority="439" operator="containsText" text="RECHAZADA">
      <formula>NOT(ISERROR(SEARCH("RECHAZADA",K1291)))</formula>
    </cfRule>
    <cfRule type="containsText" dxfId="436" priority="440" operator="containsText" text="Atendida">
      <formula>NOT(ISERROR(SEARCH("Atendida",K1291)))</formula>
    </cfRule>
    <cfRule type="containsText" dxfId="435" priority="441" operator="containsText" text="Reasignación">
      <formula>NOT(ISERROR(SEARCH("Reasignación",K1291)))</formula>
    </cfRule>
    <cfRule type="containsText" dxfId="434" priority="442" operator="containsText" text="RECHAZADA">
      <formula>NOT(ISERROR(SEARCH("RECHAZADA",K1291)))</formula>
    </cfRule>
    <cfRule type="containsText" dxfId="433" priority="443" operator="containsText" text="Atendida">
      <formula>NOT(ISERROR(SEARCH("Atendida",K1291)))</formula>
    </cfRule>
    <cfRule type="containsText" dxfId="432" priority="444" operator="containsText" text="Reasignación">
      <formula>NOT(ISERROR(SEARCH("Reasignación",K1291)))</formula>
    </cfRule>
    <cfRule type="containsText" dxfId="431" priority="445" operator="containsText" text="RECHAZADA">
      <formula>NOT(ISERROR(SEARCH("RECHAZADA",K1291)))</formula>
    </cfRule>
    <cfRule type="containsText" dxfId="430" priority="446" operator="containsText" text="Atendida">
      <formula>NOT(ISERROR(SEARCH("Atendida",K1291)))</formula>
    </cfRule>
    <cfRule type="containsText" dxfId="429" priority="447" operator="containsText" text="Reasignación">
      <formula>NOT(ISERROR(SEARCH("Reasignación",K1291)))</formula>
    </cfRule>
    <cfRule type="containsText" dxfId="428" priority="448" operator="containsText" text="RECHAZADA">
      <formula>NOT(ISERROR(SEARCH("RECHAZADA",K1291)))</formula>
    </cfRule>
    <cfRule type="containsText" dxfId="427" priority="449" operator="containsText" text="Atendida">
      <formula>NOT(ISERROR(SEARCH("Atendida",K1291)))</formula>
    </cfRule>
    <cfRule type="containsText" dxfId="426" priority="450" operator="containsText" text="Reasignación">
      <formula>NOT(ISERROR(SEARCH("Reasignación",K1291)))</formula>
    </cfRule>
    <cfRule type="containsText" dxfId="425" priority="451" operator="containsText" text="RECHAZADA">
      <formula>NOT(ISERROR(SEARCH("RECHAZADA",K1291)))</formula>
    </cfRule>
    <cfRule type="containsText" dxfId="424" priority="452" operator="containsText" text="Atendida">
      <formula>NOT(ISERROR(SEARCH("Atendida",K1291)))</formula>
    </cfRule>
    <cfRule type="containsText" dxfId="423" priority="453" operator="containsText" text="Reasignación">
      <formula>NOT(ISERROR(SEARCH("Reasignación",K1291)))</formula>
    </cfRule>
    <cfRule type="containsText" dxfId="422" priority="454" operator="containsText" text="RECHAZADA">
      <formula>NOT(ISERROR(SEARCH("RECHAZADA",K1291)))</formula>
    </cfRule>
    <cfRule type="containsText" dxfId="421" priority="455" operator="containsText" text="Atendida">
      <formula>NOT(ISERROR(SEARCH("Atendida",K1291)))</formula>
    </cfRule>
  </conditionalFormatting>
  <conditionalFormatting sqref="K1292">
    <cfRule type="containsText" dxfId="420" priority="376" operator="containsText" text="Reasignación">
      <formula>NOT(ISERROR(SEARCH("Reasignación",K1292)))</formula>
    </cfRule>
    <cfRule type="containsText" dxfId="419" priority="377" operator="containsText" text="RECHAZADA">
      <formula>NOT(ISERROR(SEARCH("RECHAZADA",K1292)))</formula>
    </cfRule>
    <cfRule type="containsText" dxfId="418" priority="378" operator="containsText" text="Atendida">
      <formula>NOT(ISERROR(SEARCH("Atendida",K1292)))</formula>
    </cfRule>
    <cfRule type="containsText" dxfId="417" priority="379" operator="containsText" text="Reasignación">
      <formula>NOT(ISERROR(SEARCH("Reasignación",K1292)))</formula>
    </cfRule>
    <cfRule type="containsText" dxfId="416" priority="380" operator="containsText" text="RECHAZADA">
      <formula>NOT(ISERROR(SEARCH("RECHAZADA",K1292)))</formula>
    </cfRule>
    <cfRule type="containsText" dxfId="415" priority="381" operator="containsText" text="Atendida">
      <formula>NOT(ISERROR(SEARCH("Atendida",K1292)))</formula>
    </cfRule>
    <cfRule type="containsText" dxfId="414" priority="382" operator="containsText" text="Reasignación">
      <formula>NOT(ISERROR(SEARCH("Reasignación",K1292)))</formula>
    </cfRule>
    <cfRule type="containsText" dxfId="413" priority="383" operator="containsText" text="RECHAZADA">
      <formula>NOT(ISERROR(SEARCH("RECHAZADA",K1292)))</formula>
    </cfRule>
    <cfRule type="containsText" dxfId="412" priority="384" operator="containsText" text="Atendida">
      <formula>NOT(ISERROR(SEARCH("Atendida",K1292)))</formula>
    </cfRule>
    <cfRule type="containsText" dxfId="411" priority="385" operator="containsText" text="Reasignación">
      <formula>NOT(ISERROR(SEARCH("Reasignación",K1292)))</formula>
    </cfRule>
    <cfRule type="containsText" dxfId="410" priority="386" operator="containsText" text="RECHAZADA">
      <formula>NOT(ISERROR(SEARCH("RECHAZADA",K1292)))</formula>
    </cfRule>
    <cfRule type="containsText" dxfId="409" priority="387" operator="containsText" text="Atendida">
      <formula>NOT(ISERROR(SEARCH("Atendida",K1292)))</formula>
    </cfRule>
    <cfRule type="containsText" dxfId="408" priority="388" operator="containsText" text="Reasignación">
      <formula>NOT(ISERROR(SEARCH("Reasignación",K1292)))</formula>
    </cfRule>
    <cfRule type="containsText" dxfId="407" priority="389" operator="containsText" text="RECHAZADA">
      <formula>NOT(ISERROR(SEARCH("RECHAZADA",K1292)))</formula>
    </cfRule>
    <cfRule type="containsText" dxfId="406" priority="390" operator="containsText" text="Atendida">
      <formula>NOT(ISERROR(SEARCH("Atendida",K1292)))</formula>
    </cfRule>
    <cfRule type="containsText" dxfId="405" priority="391" operator="containsText" text="Reasignación">
      <formula>NOT(ISERROR(SEARCH("Reasignación",K1292)))</formula>
    </cfRule>
    <cfRule type="containsText" dxfId="404" priority="392" operator="containsText" text="RECHAZADA">
      <formula>NOT(ISERROR(SEARCH("RECHAZADA",K1292)))</formula>
    </cfRule>
    <cfRule type="containsText" dxfId="403" priority="393" operator="containsText" text="Atendida">
      <formula>NOT(ISERROR(SEARCH("Atendida",K1292)))</formula>
    </cfRule>
    <cfRule type="containsText" dxfId="402" priority="394" operator="containsText" text="Reasignación">
      <formula>NOT(ISERROR(SEARCH("Reasignación",K1292)))</formula>
    </cfRule>
    <cfRule type="containsText" dxfId="401" priority="395" operator="containsText" text="RECHAZADA">
      <formula>NOT(ISERROR(SEARCH("RECHAZADA",K1292)))</formula>
    </cfRule>
    <cfRule type="containsText" dxfId="400" priority="396" operator="containsText" text="Atendida">
      <formula>NOT(ISERROR(SEARCH("Atendida",K1292)))</formula>
    </cfRule>
    <cfRule type="containsText" dxfId="399" priority="397" operator="containsText" text="Reasignación">
      <formula>NOT(ISERROR(SEARCH("Reasignación",K1292)))</formula>
    </cfRule>
    <cfRule type="containsText" dxfId="398" priority="398" operator="containsText" text="RECHAZADA">
      <formula>NOT(ISERROR(SEARCH("RECHAZADA",K1292)))</formula>
    </cfRule>
    <cfRule type="containsText" dxfId="397" priority="399" operator="containsText" text="Atendida">
      <formula>NOT(ISERROR(SEARCH("Atendida",K1292)))</formula>
    </cfRule>
    <cfRule type="containsText" dxfId="396" priority="400" operator="containsText" text="Reasignación">
      <formula>NOT(ISERROR(SEARCH("Reasignación",K1292)))</formula>
    </cfRule>
    <cfRule type="containsText" dxfId="395" priority="401" operator="containsText" text="RECHAZADA">
      <formula>NOT(ISERROR(SEARCH("RECHAZADA",K1292)))</formula>
    </cfRule>
    <cfRule type="containsText" dxfId="394" priority="402" operator="containsText" text="Atendida">
      <formula>NOT(ISERROR(SEARCH("Atendida",K1292)))</formula>
    </cfRule>
    <cfRule type="containsText" dxfId="393" priority="403" operator="containsText" text="Reasignación">
      <formula>NOT(ISERROR(SEARCH("Reasignación",K1292)))</formula>
    </cfRule>
    <cfRule type="containsText" dxfId="392" priority="404" operator="containsText" text="RECHAZADA">
      <formula>NOT(ISERROR(SEARCH("RECHAZADA",K1292)))</formula>
    </cfRule>
    <cfRule type="containsText" dxfId="391" priority="405" operator="containsText" text="Atendida">
      <formula>NOT(ISERROR(SEARCH("Atendida",K1292)))</formula>
    </cfRule>
    <cfRule type="containsText" dxfId="390" priority="406" operator="containsText" text="Reasignación">
      <formula>NOT(ISERROR(SEARCH("Reasignación",K1292)))</formula>
    </cfRule>
    <cfRule type="containsText" dxfId="389" priority="407" operator="containsText" text="RECHAZADA">
      <formula>NOT(ISERROR(SEARCH("RECHAZADA",K1292)))</formula>
    </cfRule>
    <cfRule type="containsText" dxfId="388" priority="408" operator="containsText" text="Atendida">
      <formula>NOT(ISERROR(SEARCH("Atendida",K1292)))</formula>
    </cfRule>
    <cfRule type="containsText" dxfId="387" priority="409" operator="containsText" text="Reasignación">
      <formula>NOT(ISERROR(SEARCH("Reasignación",K1292)))</formula>
    </cfRule>
    <cfRule type="containsText" dxfId="386" priority="410" operator="containsText" text="RECHAZADA">
      <formula>NOT(ISERROR(SEARCH("RECHAZADA",K1292)))</formula>
    </cfRule>
    <cfRule type="containsText" dxfId="385" priority="411" operator="containsText" text="Atendida">
      <formula>NOT(ISERROR(SEARCH("Atendida",K1292)))</formula>
    </cfRule>
  </conditionalFormatting>
  <conditionalFormatting sqref="M1291">
    <cfRule type="containsText" dxfId="384" priority="416" operator="containsText" text="OBSERVADO">
      <formula>NOT(ISERROR(SEARCH("OBSERVADO",M1291)))</formula>
    </cfRule>
    <cfRule type="containsText" dxfId="383" priority="417" operator="containsText" text="CONFORME">
      <formula>NOT(ISERROR(SEARCH("CONFORME",M1291)))</formula>
    </cfRule>
    <cfRule type="containsText" dxfId="382" priority="418" operator="containsText" text="RECHAZADA">
      <formula>NOT(ISERROR(SEARCH("RECHAZADA",M1291)))</formula>
    </cfRule>
    <cfRule type="containsText" dxfId="381" priority="419" operator="containsText" text="Atendida">
      <formula>NOT(ISERROR(SEARCH("Atendida",M1291)))</formula>
    </cfRule>
  </conditionalFormatting>
  <conditionalFormatting sqref="M1292">
    <cfRule type="containsText" dxfId="380" priority="412" operator="containsText" text="OBSERVADO">
      <formula>NOT(ISERROR(SEARCH("OBSERVADO",M1292)))</formula>
    </cfRule>
    <cfRule type="containsText" dxfId="379" priority="413" operator="containsText" text="CONFORME">
      <formula>NOT(ISERROR(SEARCH("CONFORME",M1292)))</formula>
    </cfRule>
    <cfRule type="containsText" dxfId="378" priority="414" operator="containsText" text="RECHAZADA">
      <formula>NOT(ISERROR(SEARCH("RECHAZADA",M1292)))</formula>
    </cfRule>
    <cfRule type="containsText" dxfId="377" priority="415" operator="containsText" text="Atendida">
      <formula>NOT(ISERROR(SEARCH("Atendida",M1292)))</formula>
    </cfRule>
  </conditionalFormatting>
  <conditionalFormatting sqref="M1303 M1293:M1300">
    <cfRule type="containsText" dxfId="376" priority="374" operator="containsText" text="RECHAZADA">
      <formula>NOT(ISERROR(SEARCH("RECHAZADA",M1293)))</formula>
    </cfRule>
  </conditionalFormatting>
  <conditionalFormatting sqref="M1303 M1293:M1300">
    <cfRule type="containsText" dxfId="375" priority="375" operator="containsText" text="Atendida">
      <formula>NOT(ISERROR(SEARCH("Atendida",M1293)))</formula>
    </cfRule>
  </conditionalFormatting>
  <conditionalFormatting sqref="K1293">
    <cfRule type="containsText" dxfId="374" priority="336" operator="containsText" text="Reasignación">
      <formula>NOT(ISERROR(SEARCH("Reasignación",K1293)))</formula>
    </cfRule>
    <cfRule type="containsText" dxfId="373" priority="337" operator="containsText" text="RECHAZADA">
      <formula>NOT(ISERROR(SEARCH("RECHAZADA",K1293)))</formula>
    </cfRule>
    <cfRule type="containsText" dxfId="372" priority="338" operator="containsText" text="Atendida">
      <formula>NOT(ISERROR(SEARCH("Atendida",K1293)))</formula>
    </cfRule>
    <cfRule type="containsText" dxfId="371" priority="339" operator="containsText" text="Reasignación">
      <formula>NOT(ISERROR(SEARCH("Reasignación",K1293)))</formula>
    </cfRule>
    <cfRule type="containsText" dxfId="370" priority="340" operator="containsText" text="RECHAZADA">
      <formula>NOT(ISERROR(SEARCH("RECHAZADA",K1293)))</formula>
    </cfRule>
    <cfRule type="containsText" dxfId="369" priority="341" operator="containsText" text="Atendida">
      <formula>NOT(ISERROR(SEARCH("Atendida",K1293)))</formula>
    </cfRule>
    <cfRule type="containsText" dxfId="368" priority="342" operator="containsText" text="Reasignación">
      <formula>NOT(ISERROR(SEARCH("Reasignación",K1293)))</formula>
    </cfRule>
    <cfRule type="containsText" dxfId="367" priority="343" operator="containsText" text="RECHAZADA">
      <formula>NOT(ISERROR(SEARCH("RECHAZADA",K1293)))</formula>
    </cfRule>
    <cfRule type="containsText" dxfId="366" priority="344" operator="containsText" text="Atendida">
      <formula>NOT(ISERROR(SEARCH("Atendida",K1293)))</formula>
    </cfRule>
    <cfRule type="containsText" dxfId="365" priority="345" operator="containsText" text="Reasignación">
      <formula>NOT(ISERROR(SEARCH("Reasignación",K1293)))</formula>
    </cfRule>
    <cfRule type="containsText" dxfId="364" priority="346" operator="containsText" text="RECHAZADA">
      <formula>NOT(ISERROR(SEARCH("RECHAZADA",K1293)))</formula>
    </cfRule>
    <cfRule type="containsText" dxfId="363" priority="347" operator="containsText" text="Atendida">
      <formula>NOT(ISERROR(SEARCH("Atendida",K1293)))</formula>
    </cfRule>
    <cfRule type="containsText" dxfId="362" priority="348" operator="containsText" text="Reasignación">
      <formula>NOT(ISERROR(SEARCH("Reasignación",K1293)))</formula>
    </cfRule>
    <cfRule type="containsText" dxfId="361" priority="349" operator="containsText" text="RECHAZADA">
      <formula>NOT(ISERROR(SEARCH("RECHAZADA",K1293)))</formula>
    </cfRule>
    <cfRule type="containsText" dxfId="360" priority="350" operator="containsText" text="Atendida">
      <formula>NOT(ISERROR(SEARCH("Atendida",K1293)))</formula>
    </cfRule>
    <cfRule type="containsText" dxfId="359" priority="351" operator="containsText" text="Reasignación">
      <formula>NOT(ISERROR(SEARCH("Reasignación",K1293)))</formula>
    </cfRule>
    <cfRule type="containsText" dxfId="358" priority="352" operator="containsText" text="RECHAZADA">
      <formula>NOT(ISERROR(SEARCH("RECHAZADA",K1293)))</formula>
    </cfRule>
    <cfRule type="containsText" dxfId="357" priority="353" operator="containsText" text="Atendida">
      <formula>NOT(ISERROR(SEARCH("Atendida",K1293)))</formula>
    </cfRule>
    <cfRule type="containsText" dxfId="356" priority="354" operator="containsText" text="Reasignación">
      <formula>NOT(ISERROR(SEARCH("Reasignación",K1293)))</formula>
    </cfRule>
    <cfRule type="containsText" dxfId="355" priority="355" operator="containsText" text="RECHAZADA">
      <formula>NOT(ISERROR(SEARCH("RECHAZADA",K1293)))</formula>
    </cfRule>
    <cfRule type="containsText" dxfId="354" priority="356" operator="containsText" text="Atendida">
      <formula>NOT(ISERROR(SEARCH("Atendida",K1293)))</formula>
    </cfRule>
    <cfRule type="containsText" dxfId="353" priority="357" operator="containsText" text="Reasignación">
      <formula>NOT(ISERROR(SEARCH("Reasignación",K1293)))</formula>
    </cfRule>
    <cfRule type="containsText" dxfId="352" priority="358" operator="containsText" text="RECHAZADA">
      <formula>NOT(ISERROR(SEARCH("RECHAZADA",K1293)))</formula>
    </cfRule>
    <cfRule type="containsText" dxfId="351" priority="359" operator="containsText" text="Atendida">
      <formula>NOT(ISERROR(SEARCH("Atendida",K1293)))</formula>
    </cfRule>
    <cfRule type="containsText" dxfId="350" priority="360" operator="containsText" text="Reasignación">
      <formula>NOT(ISERROR(SEARCH("Reasignación",K1293)))</formula>
    </cfRule>
    <cfRule type="containsText" dxfId="349" priority="361" operator="containsText" text="RECHAZADA">
      <formula>NOT(ISERROR(SEARCH("RECHAZADA",K1293)))</formula>
    </cfRule>
    <cfRule type="containsText" dxfId="348" priority="362" operator="containsText" text="Atendida">
      <formula>NOT(ISERROR(SEARCH("Atendida",K1293)))</formula>
    </cfRule>
    <cfRule type="containsText" dxfId="347" priority="363" operator="containsText" text="Reasignación">
      <formula>NOT(ISERROR(SEARCH("Reasignación",K1293)))</formula>
    </cfRule>
    <cfRule type="containsText" dxfId="346" priority="364" operator="containsText" text="RECHAZADA">
      <formula>NOT(ISERROR(SEARCH("RECHAZADA",K1293)))</formula>
    </cfRule>
    <cfRule type="containsText" dxfId="345" priority="365" operator="containsText" text="Atendida">
      <formula>NOT(ISERROR(SEARCH("Atendida",K1293)))</formula>
    </cfRule>
    <cfRule type="containsText" dxfId="344" priority="366" operator="containsText" text="Reasignación">
      <formula>NOT(ISERROR(SEARCH("Reasignación",K1293)))</formula>
    </cfRule>
    <cfRule type="containsText" dxfId="343" priority="367" operator="containsText" text="RECHAZADA">
      <formula>NOT(ISERROR(SEARCH("RECHAZADA",K1293)))</formula>
    </cfRule>
    <cfRule type="containsText" dxfId="342" priority="368" operator="containsText" text="Atendida">
      <formula>NOT(ISERROR(SEARCH("Atendida",K1293)))</formula>
    </cfRule>
    <cfRule type="containsText" dxfId="341" priority="369" operator="containsText" text="Reasignación">
      <formula>NOT(ISERROR(SEARCH("Reasignación",K1293)))</formula>
    </cfRule>
    <cfRule type="containsText" dxfId="340" priority="370" operator="containsText" text="RECHAZADA">
      <formula>NOT(ISERROR(SEARCH("RECHAZADA",K1293)))</formula>
    </cfRule>
    <cfRule type="containsText" dxfId="339" priority="371" operator="containsText" text="Atendida">
      <formula>NOT(ISERROR(SEARCH("Atendida",K1293)))</formula>
    </cfRule>
  </conditionalFormatting>
  <conditionalFormatting sqref="M1303 M1293:M1300">
    <cfRule type="containsText" dxfId="338" priority="372" operator="containsText" text="OBSERVADO">
      <formula>NOT(ISERROR(SEARCH("OBSERVADO",M1293)))</formula>
    </cfRule>
  </conditionalFormatting>
  <conditionalFormatting sqref="M1303 M1293:M1300">
    <cfRule type="containsText" dxfId="337" priority="373" operator="containsText" text="CONFORME">
      <formula>NOT(ISERROR(SEARCH("CONFORME",M1293)))</formula>
    </cfRule>
  </conditionalFormatting>
  <conditionalFormatting sqref="K1294">
    <cfRule type="containsText" dxfId="336" priority="300" operator="containsText" text="Reasignación">
      <formula>NOT(ISERROR(SEARCH("Reasignación",K1294)))</formula>
    </cfRule>
    <cfRule type="containsText" dxfId="335" priority="301" operator="containsText" text="RECHAZADA">
      <formula>NOT(ISERROR(SEARCH("RECHAZADA",K1294)))</formula>
    </cfRule>
    <cfRule type="containsText" dxfId="334" priority="302" operator="containsText" text="Atendida">
      <formula>NOT(ISERROR(SEARCH("Atendida",K1294)))</formula>
    </cfRule>
    <cfRule type="containsText" dxfId="333" priority="303" operator="containsText" text="Reasignación">
      <formula>NOT(ISERROR(SEARCH("Reasignación",K1294)))</formula>
    </cfRule>
    <cfRule type="containsText" dxfId="332" priority="304" operator="containsText" text="RECHAZADA">
      <formula>NOT(ISERROR(SEARCH("RECHAZADA",K1294)))</formula>
    </cfRule>
    <cfRule type="containsText" dxfId="331" priority="305" operator="containsText" text="Atendida">
      <formula>NOT(ISERROR(SEARCH("Atendida",K1294)))</formula>
    </cfRule>
    <cfRule type="containsText" dxfId="330" priority="306" operator="containsText" text="Reasignación">
      <formula>NOT(ISERROR(SEARCH("Reasignación",K1294)))</formula>
    </cfRule>
    <cfRule type="containsText" dxfId="329" priority="307" operator="containsText" text="RECHAZADA">
      <formula>NOT(ISERROR(SEARCH("RECHAZADA",K1294)))</formula>
    </cfRule>
    <cfRule type="containsText" dxfId="328" priority="308" operator="containsText" text="Atendida">
      <formula>NOT(ISERROR(SEARCH("Atendida",K1294)))</formula>
    </cfRule>
    <cfRule type="containsText" dxfId="327" priority="309" operator="containsText" text="Reasignación">
      <formula>NOT(ISERROR(SEARCH("Reasignación",K1294)))</formula>
    </cfRule>
    <cfRule type="containsText" dxfId="326" priority="310" operator="containsText" text="RECHAZADA">
      <formula>NOT(ISERROR(SEARCH("RECHAZADA",K1294)))</formula>
    </cfRule>
    <cfRule type="containsText" dxfId="325" priority="311" operator="containsText" text="Atendida">
      <formula>NOT(ISERROR(SEARCH("Atendida",K1294)))</formula>
    </cfRule>
    <cfRule type="containsText" dxfId="324" priority="312" operator="containsText" text="Reasignación">
      <formula>NOT(ISERROR(SEARCH("Reasignación",K1294)))</formula>
    </cfRule>
    <cfRule type="containsText" dxfId="323" priority="313" operator="containsText" text="RECHAZADA">
      <formula>NOT(ISERROR(SEARCH("RECHAZADA",K1294)))</formula>
    </cfRule>
    <cfRule type="containsText" dxfId="322" priority="314" operator="containsText" text="Atendida">
      <formula>NOT(ISERROR(SEARCH("Atendida",K1294)))</formula>
    </cfRule>
    <cfRule type="containsText" dxfId="321" priority="315" operator="containsText" text="Reasignación">
      <formula>NOT(ISERROR(SEARCH("Reasignación",K1294)))</formula>
    </cfRule>
    <cfRule type="containsText" dxfId="320" priority="316" operator="containsText" text="RECHAZADA">
      <formula>NOT(ISERROR(SEARCH("RECHAZADA",K1294)))</formula>
    </cfRule>
    <cfRule type="containsText" dxfId="319" priority="317" operator="containsText" text="Atendida">
      <formula>NOT(ISERROR(SEARCH("Atendida",K1294)))</formula>
    </cfRule>
    <cfRule type="containsText" dxfId="318" priority="318" operator="containsText" text="Reasignación">
      <formula>NOT(ISERROR(SEARCH("Reasignación",K1294)))</formula>
    </cfRule>
    <cfRule type="containsText" dxfId="317" priority="319" operator="containsText" text="RECHAZADA">
      <formula>NOT(ISERROR(SEARCH("RECHAZADA",K1294)))</formula>
    </cfRule>
    <cfRule type="containsText" dxfId="316" priority="320" operator="containsText" text="Atendida">
      <formula>NOT(ISERROR(SEARCH("Atendida",K1294)))</formula>
    </cfRule>
    <cfRule type="containsText" dxfId="315" priority="321" operator="containsText" text="Reasignación">
      <formula>NOT(ISERROR(SEARCH("Reasignación",K1294)))</formula>
    </cfRule>
    <cfRule type="containsText" dxfId="314" priority="322" operator="containsText" text="RECHAZADA">
      <formula>NOT(ISERROR(SEARCH("RECHAZADA",K1294)))</formula>
    </cfRule>
    <cfRule type="containsText" dxfId="313" priority="323" operator="containsText" text="Atendida">
      <formula>NOT(ISERROR(SEARCH("Atendida",K1294)))</formula>
    </cfRule>
    <cfRule type="containsText" dxfId="312" priority="324" operator="containsText" text="Reasignación">
      <formula>NOT(ISERROR(SEARCH("Reasignación",K1294)))</formula>
    </cfRule>
    <cfRule type="containsText" dxfId="311" priority="325" operator="containsText" text="RECHAZADA">
      <formula>NOT(ISERROR(SEARCH("RECHAZADA",K1294)))</formula>
    </cfRule>
    <cfRule type="containsText" dxfId="310" priority="326" operator="containsText" text="Atendida">
      <formula>NOT(ISERROR(SEARCH("Atendida",K1294)))</formula>
    </cfRule>
    <cfRule type="containsText" dxfId="309" priority="327" operator="containsText" text="Reasignación">
      <formula>NOT(ISERROR(SEARCH("Reasignación",K1294)))</formula>
    </cfRule>
    <cfRule type="containsText" dxfId="308" priority="328" operator="containsText" text="RECHAZADA">
      <formula>NOT(ISERROR(SEARCH("RECHAZADA",K1294)))</formula>
    </cfRule>
    <cfRule type="containsText" dxfId="307" priority="329" operator="containsText" text="Atendida">
      <formula>NOT(ISERROR(SEARCH("Atendida",K1294)))</formula>
    </cfRule>
    <cfRule type="containsText" dxfId="306" priority="330" operator="containsText" text="Reasignación">
      <formula>NOT(ISERROR(SEARCH("Reasignación",K1294)))</formula>
    </cfRule>
    <cfRule type="containsText" dxfId="305" priority="331" operator="containsText" text="RECHAZADA">
      <formula>NOT(ISERROR(SEARCH("RECHAZADA",K1294)))</formula>
    </cfRule>
    <cfRule type="containsText" dxfId="304" priority="332" operator="containsText" text="Atendida">
      <formula>NOT(ISERROR(SEARCH("Atendida",K1294)))</formula>
    </cfRule>
    <cfRule type="containsText" dxfId="303" priority="333" operator="containsText" text="Reasignación">
      <formula>NOT(ISERROR(SEARCH("Reasignación",K1294)))</formula>
    </cfRule>
    <cfRule type="containsText" dxfId="302" priority="334" operator="containsText" text="RECHAZADA">
      <formula>NOT(ISERROR(SEARCH("RECHAZADA",K1294)))</formula>
    </cfRule>
    <cfRule type="containsText" dxfId="301" priority="335" operator="containsText" text="Atendida">
      <formula>NOT(ISERROR(SEARCH("Atendida",K1294)))</formula>
    </cfRule>
  </conditionalFormatting>
  <conditionalFormatting sqref="K1295">
    <cfRule type="containsText" dxfId="300" priority="264" operator="containsText" text="Reasignación">
      <formula>NOT(ISERROR(SEARCH("Reasignación",K1295)))</formula>
    </cfRule>
    <cfRule type="containsText" dxfId="299" priority="265" operator="containsText" text="RECHAZADA">
      <formula>NOT(ISERROR(SEARCH("RECHAZADA",K1295)))</formula>
    </cfRule>
    <cfRule type="containsText" dxfId="298" priority="266" operator="containsText" text="Atendida">
      <formula>NOT(ISERROR(SEARCH("Atendida",K1295)))</formula>
    </cfRule>
    <cfRule type="containsText" dxfId="297" priority="267" operator="containsText" text="Reasignación">
      <formula>NOT(ISERROR(SEARCH("Reasignación",K1295)))</formula>
    </cfRule>
    <cfRule type="containsText" dxfId="296" priority="268" operator="containsText" text="RECHAZADA">
      <formula>NOT(ISERROR(SEARCH("RECHAZADA",K1295)))</formula>
    </cfRule>
    <cfRule type="containsText" dxfId="295" priority="269" operator="containsText" text="Atendida">
      <formula>NOT(ISERROR(SEARCH("Atendida",K1295)))</formula>
    </cfRule>
    <cfRule type="containsText" dxfId="294" priority="270" operator="containsText" text="Reasignación">
      <formula>NOT(ISERROR(SEARCH("Reasignación",K1295)))</formula>
    </cfRule>
    <cfRule type="containsText" dxfId="293" priority="271" operator="containsText" text="RECHAZADA">
      <formula>NOT(ISERROR(SEARCH("RECHAZADA",K1295)))</formula>
    </cfRule>
    <cfRule type="containsText" dxfId="292" priority="272" operator="containsText" text="Atendida">
      <formula>NOT(ISERROR(SEARCH("Atendida",K1295)))</formula>
    </cfRule>
    <cfRule type="containsText" dxfId="291" priority="273" operator="containsText" text="Reasignación">
      <formula>NOT(ISERROR(SEARCH("Reasignación",K1295)))</formula>
    </cfRule>
    <cfRule type="containsText" dxfId="290" priority="274" operator="containsText" text="RECHAZADA">
      <formula>NOT(ISERROR(SEARCH("RECHAZADA",K1295)))</formula>
    </cfRule>
    <cfRule type="containsText" dxfId="289" priority="275" operator="containsText" text="Atendida">
      <formula>NOT(ISERROR(SEARCH("Atendida",K1295)))</formula>
    </cfRule>
    <cfRule type="containsText" dxfId="288" priority="276" operator="containsText" text="Reasignación">
      <formula>NOT(ISERROR(SEARCH("Reasignación",K1295)))</formula>
    </cfRule>
    <cfRule type="containsText" dxfId="287" priority="277" operator="containsText" text="RECHAZADA">
      <formula>NOT(ISERROR(SEARCH("RECHAZADA",K1295)))</formula>
    </cfRule>
    <cfRule type="containsText" dxfId="286" priority="278" operator="containsText" text="Atendida">
      <formula>NOT(ISERROR(SEARCH("Atendida",K1295)))</formula>
    </cfRule>
    <cfRule type="containsText" dxfId="285" priority="279" operator="containsText" text="Reasignación">
      <formula>NOT(ISERROR(SEARCH("Reasignación",K1295)))</formula>
    </cfRule>
    <cfRule type="containsText" dxfId="284" priority="280" operator="containsText" text="RECHAZADA">
      <formula>NOT(ISERROR(SEARCH("RECHAZADA",K1295)))</formula>
    </cfRule>
    <cfRule type="containsText" dxfId="283" priority="281" operator="containsText" text="Atendida">
      <formula>NOT(ISERROR(SEARCH("Atendida",K1295)))</formula>
    </cfRule>
    <cfRule type="containsText" dxfId="282" priority="282" operator="containsText" text="Reasignación">
      <formula>NOT(ISERROR(SEARCH("Reasignación",K1295)))</formula>
    </cfRule>
    <cfRule type="containsText" dxfId="281" priority="283" operator="containsText" text="RECHAZADA">
      <formula>NOT(ISERROR(SEARCH("RECHAZADA",K1295)))</formula>
    </cfRule>
    <cfRule type="containsText" dxfId="280" priority="284" operator="containsText" text="Atendida">
      <formula>NOT(ISERROR(SEARCH("Atendida",K1295)))</formula>
    </cfRule>
    <cfRule type="containsText" dxfId="279" priority="285" operator="containsText" text="Reasignación">
      <formula>NOT(ISERROR(SEARCH("Reasignación",K1295)))</formula>
    </cfRule>
    <cfRule type="containsText" dxfId="278" priority="286" operator="containsText" text="RECHAZADA">
      <formula>NOT(ISERROR(SEARCH("RECHAZADA",K1295)))</formula>
    </cfRule>
    <cfRule type="containsText" dxfId="277" priority="287" operator="containsText" text="Atendida">
      <formula>NOT(ISERROR(SEARCH("Atendida",K1295)))</formula>
    </cfRule>
    <cfRule type="containsText" dxfId="276" priority="288" operator="containsText" text="Reasignación">
      <formula>NOT(ISERROR(SEARCH("Reasignación",K1295)))</formula>
    </cfRule>
    <cfRule type="containsText" dxfId="275" priority="289" operator="containsText" text="RECHAZADA">
      <formula>NOT(ISERROR(SEARCH("RECHAZADA",K1295)))</formula>
    </cfRule>
    <cfRule type="containsText" dxfId="274" priority="290" operator="containsText" text="Atendida">
      <formula>NOT(ISERROR(SEARCH("Atendida",K1295)))</formula>
    </cfRule>
    <cfRule type="containsText" dxfId="273" priority="291" operator="containsText" text="Reasignación">
      <formula>NOT(ISERROR(SEARCH("Reasignación",K1295)))</formula>
    </cfRule>
    <cfRule type="containsText" dxfId="272" priority="292" operator="containsText" text="RECHAZADA">
      <formula>NOT(ISERROR(SEARCH("RECHAZADA",K1295)))</formula>
    </cfRule>
    <cfRule type="containsText" dxfId="271" priority="293" operator="containsText" text="Atendida">
      <formula>NOT(ISERROR(SEARCH("Atendida",K1295)))</formula>
    </cfRule>
    <cfRule type="containsText" dxfId="270" priority="294" operator="containsText" text="Reasignación">
      <formula>NOT(ISERROR(SEARCH("Reasignación",K1295)))</formula>
    </cfRule>
    <cfRule type="containsText" dxfId="269" priority="295" operator="containsText" text="RECHAZADA">
      <formula>NOT(ISERROR(SEARCH("RECHAZADA",K1295)))</formula>
    </cfRule>
    <cfRule type="containsText" dxfId="268" priority="296" operator="containsText" text="Atendida">
      <formula>NOT(ISERROR(SEARCH("Atendida",K1295)))</formula>
    </cfRule>
    <cfRule type="containsText" dxfId="267" priority="297" operator="containsText" text="Reasignación">
      <formula>NOT(ISERROR(SEARCH("Reasignación",K1295)))</formula>
    </cfRule>
    <cfRule type="containsText" dxfId="266" priority="298" operator="containsText" text="RECHAZADA">
      <formula>NOT(ISERROR(SEARCH("RECHAZADA",K1295)))</formula>
    </cfRule>
    <cfRule type="containsText" dxfId="265" priority="299" operator="containsText" text="Atendida">
      <formula>NOT(ISERROR(SEARCH("Atendida",K1295)))</formula>
    </cfRule>
  </conditionalFormatting>
  <conditionalFormatting sqref="K1296">
    <cfRule type="containsText" dxfId="264" priority="228" operator="containsText" text="Reasignación">
      <formula>NOT(ISERROR(SEARCH("Reasignación",K1296)))</formula>
    </cfRule>
    <cfRule type="containsText" dxfId="263" priority="229" operator="containsText" text="RECHAZADA">
      <formula>NOT(ISERROR(SEARCH("RECHAZADA",K1296)))</formula>
    </cfRule>
    <cfRule type="containsText" dxfId="262" priority="230" operator="containsText" text="Atendida">
      <formula>NOT(ISERROR(SEARCH("Atendida",K1296)))</formula>
    </cfRule>
    <cfRule type="containsText" dxfId="261" priority="231" operator="containsText" text="Reasignación">
      <formula>NOT(ISERROR(SEARCH("Reasignación",K1296)))</formula>
    </cfRule>
    <cfRule type="containsText" dxfId="260" priority="232" operator="containsText" text="RECHAZADA">
      <formula>NOT(ISERROR(SEARCH("RECHAZADA",K1296)))</formula>
    </cfRule>
    <cfRule type="containsText" dxfId="259" priority="233" operator="containsText" text="Atendida">
      <formula>NOT(ISERROR(SEARCH("Atendida",K1296)))</formula>
    </cfRule>
    <cfRule type="containsText" dxfId="258" priority="234" operator="containsText" text="Reasignación">
      <formula>NOT(ISERROR(SEARCH("Reasignación",K1296)))</formula>
    </cfRule>
    <cfRule type="containsText" dxfId="257" priority="235" operator="containsText" text="RECHAZADA">
      <formula>NOT(ISERROR(SEARCH("RECHAZADA",K1296)))</formula>
    </cfRule>
    <cfRule type="containsText" dxfId="256" priority="236" operator="containsText" text="Atendida">
      <formula>NOT(ISERROR(SEARCH("Atendida",K1296)))</formula>
    </cfRule>
    <cfRule type="containsText" dxfId="255" priority="237" operator="containsText" text="Reasignación">
      <formula>NOT(ISERROR(SEARCH("Reasignación",K1296)))</formula>
    </cfRule>
    <cfRule type="containsText" dxfId="254" priority="238" operator="containsText" text="RECHAZADA">
      <formula>NOT(ISERROR(SEARCH("RECHAZADA",K1296)))</formula>
    </cfRule>
    <cfRule type="containsText" dxfId="253" priority="239" operator="containsText" text="Atendida">
      <formula>NOT(ISERROR(SEARCH("Atendida",K1296)))</formula>
    </cfRule>
    <cfRule type="containsText" dxfId="252" priority="240" operator="containsText" text="Reasignación">
      <formula>NOT(ISERROR(SEARCH("Reasignación",K1296)))</formula>
    </cfRule>
    <cfRule type="containsText" dxfId="251" priority="241" operator="containsText" text="RECHAZADA">
      <formula>NOT(ISERROR(SEARCH("RECHAZADA",K1296)))</formula>
    </cfRule>
    <cfRule type="containsText" dxfId="250" priority="242" operator="containsText" text="Atendida">
      <formula>NOT(ISERROR(SEARCH("Atendida",K1296)))</formula>
    </cfRule>
    <cfRule type="containsText" dxfId="249" priority="243" operator="containsText" text="Reasignación">
      <formula>NOT(ISERROR(SEARCH("Reasignación",K1296)))</formula>
    </cfRule>
    <cfRule type="containsText" dxfId="248" priority="244" operator="containsText" text="RECHAZADA">
      <formula>NOT(ISERROR(SEARCH("RECHAZADA",K1296)))</formula>
    </cfRule>
    <cfRule type="containsText" dxfId="247" priority="245" operator="containsText" text="Atendida">
      <formula>NOT(ISERROR(SEARCH("Atendida",K1296)))</formula>
    </cfRule>
    <cfRule type="containsText" dxfId="246" priority="246" operator="containsText" text="Reasignación">
      <formula>NOT(ISERROR(SEARCH("Reasignación",K1296)))</formula>
    </cfRule>
    <cfRule type="containsText" dxfId="245" priority="247" operator="containsText" text="RECHAZADA">
      <formula>NOT(ISERROR(SEARCH("RECHAZADA",K1296)))</formula>
    </cfRule>
    <cfRule type="containsText" dxfId="244" priority="248" operator="containsText" text="Atendida">
      <formula>NOT(ISERROR(SEARCH("Atendida",K1296)))</formula>
    </cfRule>
    <cfRule type="containsText" dxfId="243" priority="249" operator="containsText" text="Reasignación">
      <formula>NOT(ISERROR(SEARCH("Reasignación",K1296)))</formula>
    </cfRule>
    <cfRule type="containsText" dxfId="242" priority="250" operator="containsText" text="RECHAZADA">
      <formula>NOT(ISERROR(SEARCH("RECHAZADA",K1296)))</formula>
    </cfRule>
    <cfRule type="containsText" dxfId="241" priority="251" operator="containsText" text="Atendida">
      <formula>NOT(ISERROR(SEARCH("Atendida",K1296)))</formula>
    </cfRule>
    <cfRule type="containsText" dxfId="240" priority="252" operator="containsText" text="Reasignación">
      <formula>NOT(ISERROR(SEARCH("Reasignación",K1296)))</formula>
    </cfRule>
    <cfRule type="containsText" dxfId="239" priority="253" operator="containsText" text="RECHAZADA">
      <formula>NOT(ISERROR(SEARCH("RECHAZADA",K1296)))</formula>
    </cfRule>
    <cfRule type="containsText" dxfId="238" priority="254" operator="containsText" text="Atendida">
      <formula>NOT(ISERROR(SEARCH("Atendida",K1296)))</formula>
    </cfRule>
    <cfRule type="containsText" dxfId="237" priority="255" operator="containsText" text="Reasignación">
      <formula>NOT(ISERROR(SEARCH("Reasignación",K1296)))</formula>
    </cfRule>
    <cfRule type="containsText" dxfId="236" priority="256" operator="containsText" text="RECHAZADA">
      <formula>NOT(ISERROR(SEARCH("RECHAZADA",K1296)))</formula>
    </cfRule>
    <cfRule type="containsText" dxfId="235" priority="257" operator="containsText" text="Atendida">
      <formula>NOT(ISERROR(SEARCH("Atendida",K1296)))</formula>
    </cfRule>
    <cfRule type="containsText" dxfId="234" priority="258" operator="containsText" text="Reasignación">
      <formula>NOT(ISERROR(SEARCH("Reasignación",K1296)))</formula>
    </cfRule>
    <cfRule type="containsText" dxfId="233" priority="259" operator="containsText" text="RECHAZADA">
      <formula>NOT(ISERROR(SEARCH("RECHAZADA",K1296)))</formula>
    </cfRule>
    <cfRule type="containsText" dxfId="232" priority="260" operator="containsText" text="Atendida">
      <formula>NOT(ISERROR(SEARCH("Atendida",K1296)))</formula>
    </cfRule>
    <cfRule type="containsText" dxfId="231" priority="261" operator="containsText" text="Reasignación">
      <formula>NOT(ISERROR(SEARCH("Reasignación",K1296)))</formula>
    </cfRule>
    <cfRule type="containsText" dxfId="230" priority="262" operator="containsText" text="RECHAZADA">
      <formula>NOT(ISERROR(SEARCH("RECHAZADA",K1296)))</formula>
    </cfRule>
    <cfRule type="containsText" dxfId="229" priority="263" operator="containsText" text="Atendida">
      <formula>NOT(ISERROR(SEARCH("Atendida",K1296)))</formula>
    </cfRule>
  </conditionalFormatting>
  <conditionalFormatting sqref="K1297">
    <cfRule type="containsText" dxfId="228" priority="192" operator="containsText" text="Reasignación">
      <formula>NOT(ISERROR(SEARCH("Reasignación",K1297)))</formula>
    </cfRule>
    <cfRule type="containsText" dxfId="227" priority="193" operator="containsText" text="RECHAZADA">
      <formula>NOT(ISERROR(SEARCH("RECHAZADA",K1297)))</formula>
    </cfRule>
    <cfRule type="containsText" dxfId="226" priority="194" operator="containsText" text="Atendida">
      <formula>NOT(ISERROR(SEARCH("Atendida",K1297)))</formula>
    </cfRule>
    <cfRule type="containsText" dxfId="225" priority="195" operator="containsText" text="Reasignación">
      <formula>NOT(ISERROR(SEARCH("Reasignación",K1297)))</formula>
    </cfRule>
    <cfRule type="containsText" dxfId="224" priority="196" operator="containsText" text="RECHAZADA">
      <formula>NOT(ISERROR(SEARCH("RECHAZADA",K1297)))</formula>
    </cfRule>
    <cfRule type="containsText" dxfId="223" priority="197" operator="containsText" text="Atendida">
      <formula>NOT(ISERROR(SEARCH("Atendida",K1297)))</formula>
    </cfRule>
    <cfRule type="containsText" dxfId="222" priority="198" operator="containsText" text="Reasignación">
      <formula>NOT(ISERROR(SEARCH("Reasignación",K1297)))</formula>
    </cfRule>
    <cfRule type="containsText" dxfId="221" priority="199" operator="containsText" text="RECHAZADA">
      <formula>NOT(ISERROR(SEARCH("RECHAZADA",K1297)))</formula>
    </cfRule>
    <cfRule type="containsText" dxfId="220" priority="200" operator="containsText" text="Atendida">
      <formula>NOT(ISERROR(SEARCH("Atendida",K1297)))</formula>
    </cfRule>
    <cfRule type="containsText" dxfId="219" priority="201" operator="containsText" text="Reasignación">
      <formula>NOT(ISERROR(SEARCH("Reasignación",K1297)))</formula>
    </cfRule>
    <cfRule type="containsText" dxfId="218" priority="202" operator="containsText" text="RECHAZADA">
      <formula>NOT(ISERROR(SEARCH("RECHAZADA",K1297)))</formula>
    </cfRule>
    <cfRule type="containsText" dxfId="217" priority="203" operator="containsText" text="Atendida">
      <formula>NOT(ISERROR(SEARCH("Atendida",K1297)))</formula>
    </cfRule>
    <cfRule type="containsText" dxfId="216" priority="204" operator="containsText" text="Reasignación">
      <formula>NOT(ISERROR(SEARCH("Reasignación",K1297)))</formula>
    </cfRule>
    <cfRule type="containsText" dxfId="215" priority="205" operator="containsText" text="RECHAZADA">
      <formula>NOT(ISERROR(SEARCH("RECHAZADA",K1297)))</formula>
    </cfRule>
    <cfRule type="containsText" dxfId="214" priority="206" operator="containsText" text="Atendida">
      <formula>NOT(ISERROR(SEARCH("Atendida",K1297)))</formula>
    </cfRule>
    <cfRule type="containsText" dxfId="213" priority="207" operator="containsText" text="Reasignación">
      <formula>NOT(ISERROR(SEARCH("Reasignación",K1297)))</formula>
    </cfRule>
    <cfRule type="containsText" dxfId="212" priority="208" operator="containsText" text="RECHAZADA">
      <formula>NOT(ISERROR(SEARCH("RECHAZADA",K1297)))</formula>
    </cfRule>
    <cfRule type="containsText" dxfId="211" priority="209" operator="containsText" text="Atendida">
      <formula>NOT(ISERROR(SEARCH("Atendida",K1297)))</formula>
    </cfRule>
    <cfRule type="containsText" dxfId="210" priority="210" operator="containsText" text="Reasignación">
      <formula>NOT(ISERROR(SEARCH("Reasignación",K1297)))</formula>
    </cfRule>
    <cfRule type="containsText" dxfId="209" priority="211" operator="containsText" text="RECHAZADA">
      <formula>NOT(ISERROR(SEARCH("RECHAZADA",K1297)))</formula>
    </cfRule>
    <cfRule type="containsText" dxfId="208" priority="212" operator="containsText" text="Atendida">
      <formula>NOT(ISERROR(SEARCH("Atendida",K1297)))</formula>
    </cfRule>
    <cfRule type="containsText" dxfId="207" priority="213" operator="containsText" text="Reasignación">
      <formula>NOT(ISERROR(SEARCH("Reasignación",K1297)))</formula>
    </cfRule>
    <cfRule type="containsText" dxfId="206" priority="214" operator="containsText" text="RECHAZADA">
      <formula>NOT(ISERROR(SEARCH("RECHAZADA",K1297)))</formula>
    </cfRule>
    <cfRule type="containsText" dxfId="205" priority="215" operator="containsText" text="Atendida">
      <formula>NOT(ISERROR(SEARCH("Atendida",K1297)))</formula>
    </cfRule>
    <cfRule type="containsText" dxfId="204" priority="216" operator="containsText" text="Reasignación">
      <formula>NOT(ISERROR(SEARCH("Reasignación",K1297)))</formula>
    </cfRule>
    <cfRule type="containsText" dxfId="203" priority="217" operator="containsText" text="RECHAZADA">
      <formula>NOT(ISERROR(SEARCH("RECHAZADA",K1297)))</formula>
    </cfRule>
    <cfRule type="containsText" dxfId="202" priority="218" operator="containsText" text="Atendida">
      <formula>NOT(ISERROR(SEARCH("Atendida",K1297)))</formula>
    </cfRule>
    <cfRule type="containsText" dxfId="201" priority="219" operator="containsText" text="Reasignación">
      <formula>NOT(ISERROR(SEARCH("Reasignación",K1297)))</formula>
    </cfRule>
    <cfRule type="containsText" dxfId="200" priority="220" operator="containsText" text="RECHAZADA">
      <formula>NOT(ISERROR(SEARCH("RECHAZADA",K1297)))</formula>
    </cfRule>
    <cfRule type="containsText" dxfId="199" priority="221" operator="containsText" text="Atendida">
      <formula>NOT(ISERROR(SEARCH("Atendida",K1297)))</formula>
    </cfRule>
    <cfRule type="containsText" dxfId="198" priority="222" operator="containsText" text="Reasignación">
      <formula>NOT(ISERROR(SEARCH("Reasignación",K1297)))</formula>
    </cfRule>
    <cfRule type="containsText" dxfId="197" priority="223" operator="containsText" text="RECHAZADA">
      <formula>NOT(ISERROR(SEARCH("RECHAZADA",K1297)))</formula>
    </cfRule>
    <cfRule type="containsText" dxfId="196" priority="224" operator="containsText" text="Atendida">
      <formula>NOT(ISERROR(SEARCH("Atendida",K1297)))</formula>
    </cfRule>
    <cfRule type="containsText" dxfId="195" priority="225" operator="containsText" text="Reasignación">
      <formula>NOT(ISERROR(SEARCH("Reasignación",K1297)))</formula>
    </cfRule>
    <cfRule type="containsText" dxfId="194" priority="226" operator="containsText" text="RECHAZADA">
      <formula>NOT(ISERROR(SEARCH("RECHAZADA",K1297)))</formula>
    </cfRule>
    <cfRule type="containsText" dxfId="193" priority="227" operator="containsText" text="Atendida">
      <formula>NOT(ISERROR(SEARCH("Atendida",K1297)))</formula>
    </cfRule>
  </conditionalFormatting>
  <conditionalFormatting sqref="K1298">
    <cfRule type="containsText" dxfId="192" priority="156" operator="containsText" text="Reasignación">
      <formula>NOT(ISERROR(SEARCH("Reasignación",K1298)))</formula>
    </cfRule>
    <cfRule type="containsText" dxfId="191" priority="157" operator="containsText" text="RECHAZADA">
      <formula>NOT(ISERROR(SEARCH("RECHAZADA",K1298)))</formula>
    </cfRule>
    <cfRule type="containsText" dxfId="190" priority="158" operator="containsText" text="Atendida">
      <formula>NOT(ISERROR(SEARCH("Atendida",K1298)))</formula>
    </cfRule>
    <cfRule type="containsText" dxfId="189" priority="159" operator="containsText" text="Reasignación">
      <formula>NOT(ISERROR(SEARCH("Reasignación",K1298)))</formula>
    </cfRule>
    <cfRule type="containsText" dxfId="188" priority="160" operator="containsText" text="RECHAZADA">
      <formula>NOT(ISERROR(SEARCH("RECHAZADA",K1298)))</formula>
    </cfRule>
    <cfRule type="containsText" dxfId="187" priority="161" operator="containsText" text="Atendida">
      <formula>NOT(ISERROR(SEARCH("Atendida",K1298)))</formula>
    </cfRule>
    <cfRule type="containsText" dxfId="186" priority="162" operator="containsText" text="Reasignación">
      <formula>NOT(ISERROR(SEARCH("Reasignación",K1298)))</formula>
    </cfRule>
    <cfRule type="containsText" dxfId="185" priority="163" operator="containsText" text="RECHAZADA">
      <formula>NOT(ISERROR(SEARCH("RECHAZADA",K1298)))</formula>
    </cfRule>
    <cfRule type="containsText" dxfId="184" priority="164" operator="containsText" text="Atendida">
      <formula>NOT(ISERROR(SEARCH("Atendida",K1298)))</formula>
    </cfRule>
    <cfRule type="containsText" dxfId="183" priority="165" operator="containsText" text="Reasignación">
      <formula>NOT(ISERROR(SEARCH("Reasignación",K1298)))</formula>
    </cfRule>
    <cfRule type="containsText" dxfId="182" priority="166" operator="containsText" text="RECHAZADA">
      <formula>NOT(ISERROR(SEARCH("RECHAZADA",K1298)))</formula>
    </cfRule>
    <cfRule type="containsText" dxfId="181" priority="167" operator="containsText" text="Atendida">
      <formula>NOT(ISERROR(SEARCH("Atendida",K1298)))</formula>
    </cfRule>
    <cfRule type="containsText" dxfId="180" priority="168" operator="containsText" text="Reasignación">
      <formula>NOT(ISERROR(SEARCH("Reasignación",K1298)))</formula>
    </cfRule>
    <cfRule type="containsText" dxfId="179" priority="169" operator="containsText" text="RECHAZADA">
      <formula>NOT(ISERROR(SEARCH("RECHAZADA",K1298)))</formula>
    </cfRule>
    <cfRule type="containsText" dxfId="178" priority="170" operator="containsText" text="Atendida">
      <formula>NOT(ISERROR(SEARCH("Atendida",K1298)))</formula>
    </cfRule>
    <cfRule type="containsText" dxfId="177" priority="171" operator="containsText" text="Reasignación">
      <formula>NOT(ISERROR(SEARCH("Reasignación",K1298)))</formula>
    </cfRule>
    <cfRule type="containsText" dxfId="176" priority="172" operator="containsText" text="RECHAZADA">
      <formula>NOT(ISERROR(SEARCH("RECHAZADA",K1298)))</formula>
    </cfRule>
    <cfRule type="containsText" dxfId="175" priority="173" operator="containsText" text="Atendida">
      <formula>NOT(ISERROR(SEARCH("Atendida",K1298)))</formula>
    </cfRule>
    <cfRule type="containsText" dxfId="174" priority="174" operator="containsText" text="Reasignación">
      <formula>NOT(ISERROR(SEARCH("Reasignación",K1298)))</formula>
    </cfRule>
    <cfRule type="containsText" dxfId="173" priority="175" operator="containsText" text="RECHAZADA">
      <formula>NOT(ISERROR(SEARCH("RECHAZADA",K1298)))</formula>
    </cfRule>
    <cfRule type="containsText" dxfId="172" priority="176" operator="containsText" text="Atendida">
      <formula>NOT(ISERROR(SEARCH("Atendida",K1298)))</formula>
    </cfRule>
    <cfRule type="containsText" dxfId="171" priority="177" operator="containsText" text="Reasignación">
      <formula>NOT(ISERROR(SEARCH("Reasignación",K1298)))</formula>
    </cfRule>
    <cfRule type="containsText" dxfId="170" priority="178" operator="containsText" text="RECHAZADA">
      <formula>NOT(ISERROR(SEARCH("RECHAZADA",K1298)))</formula>
    </cfRule>
    <cfRule type="containsText" dxfId="169" priority="179" operator="containsText" text="Atendida">
      <formula>NOT(ISERROR(SEARCH("Atendida",K1298)))</formula>
    </cfRule>
    <cfRule type="containsText" dxfId="168" priority="180" operator="containsText" text="Reasignación">
      <formula>NOT(ISERROR(SEARCH("Reasignación",K1298)))</formula>
    </cfRule>
    <cfRule type="containsText" dxfId="167" priority="181" operator="containsText" text="RECHAZADA">
      <formula>NOT(ISERROR(SEARCH("RECHAZADA",K1298)))</formula>
    </cfRule>
    <cfRule type="containsText" dxfId="166" priority="182" operator="containsText" text="Atendida">
      <formula>NOT(ISERROR(SEARCH("Atendida",K1298)))</formula>
    </cfRule>
    <cfRule type="containsText" dxfId="165" priority="183" operator="containsText" text="Reasignación">
      <formula>NOT(ISERROR(SEARCH("Reasignación",K1298)))</formula>
    </cfRule>
    <cfRule type="containsText" dxfId="164" priority="184" operator="containsText" text="RECHAZADA">
      <formula>NOT(ISERROR(SEARCH("RECHAZADA",K1298)))</formula>
    </cfRule>
    <cfRule type="containsText" dxfId="163" priority="185" operator="containsText" text="Atendida">
      <formula>NOT(ISERROR(SEARCH("Atendida",K1298)))</formula>
    </cfRule>
    <cfRule type="containsText" dxfId="162" priority="186" operator="containsText" text="Reasignación">
      <formula>NOT(ISERROR(SEARCH("Reasignación",K1298)))</formula>
    </cfRule>
    <cfRule type="containsText" dxfId="161" priority="187" operator="containsText" text="RECHAZADA">
      <formula>NOT(ISERROR(SEARCH("RECHAZADA",K1298)))</formula>
    </cfRule>
    <cfRule type="containsText" dxfId="160" priority="188" operator="containsText" text="Atendida">
      <formula>NOT(ISERROR(SEARCH("Atendida",K1298)))</formula>
    </cfRule>
    <cfRule type="containsText" dxfId="159" priority="189" operator="containsText" text="Reasignación">
      <formula>NOT(ISERROR(SEARCH("Reasignación",K1298)))</formula>
    </cfRule>
    <cfRule type="containsText" dxfId="158" priority="190" operator="containsText" text="RECHAZADA">
      <formula>NOT(ISERROR(SEARCH("RECHAZADA",K1298)))</formula>
    </cfRule>
    <cfRule type="containsText" dxfId="157" priority="191" operator="containsText" text="Atendida">
      <formula>NOT(ISERROR(SEARCH("Atendida",K1298)))</formula>
    </cfRule>
  </conditionalFormatting>
  <conditionalFormatting sqref="K1299">
    <cfRule type="containsText" dxfId="156" priority="120" operator="containsText" text="Reasignación">
      <formula>NOT(ISERROR(SEARCH("Reasignación",K1299)))</formula>
    </cfRule>
    <cfRule type="containsText" dxfId="155" priority="121" operator="containsText" text="RECHAZADA">
      <formula>NOT(ISERROR(SEARCH("RECHAZADA",K1299)))</formula>
    </cfRule>
    <cfRule type="containsText" dxfId="154" priority="122" operator="containsText" text="Atendida">
      <formula>NOT(ISERROR(SEARCH("Atendida",K1299)))</formula>
    </cfRule>
    <cfRule type="containsText" dxfId="153" priority="123" operator="containsText" text="Reasignación">
      <formula>NOT(ISERROR(SEARCH("Reasignación",K1299)))</formula>
    </cfRule>
    <cfRule type="containsText" dxfId="152" priority="124" operator="containsText" text="RECHAZADA">
      <formula>NOT(ISERROR(SEARCH("RECHAZADA",K1299)))</formula>
    </cfRule>
    <cfRule type="containsText" dxfId="151" priority="125" operator="containsText" text="Atendida">
      <formula>NOT(ISERROR(SEARCH("Atendida",K1299)))</formula>
    </cfRule>
    <cfRule type="containsText" dxfId="150" priority="126" operator="containsText" text="Reasignación">
      <formula>NOT(ISERROR(SEARCH("Reasignación",K1299)))</formula>
    </cfRule>
    <cfRule type="containsText" dxfId="149" priority="127" operator="containsText" text="RECHAZADA">
      <formula>NOT(ISERROR(SEARCH("RECHAZADA",K1299)))</formula>
    </cfRule>
    <cfRule type="containsText" dxfId="148" priority="128" operator="containsText" text="Atendida">
      <formula>NOT(ISERROR(SEARCH("Atendida",K1299)))</formula>
    </cfRule>
    <cfRule type="containsText" dxfId="147" priority="129" operator="containsText" text="Reasignación">
      <formula>NOT(ISERROR(SEARCH("Reasignación",K1299)))</formula>
    </cfRule>
    <cfRule type="containsText" dxfId="146" priority="130" operator="containsText" text="RECHAZADA">
      <formula>NOT(ISERROR(SEARCH("RECHAZADA",K1299)))</formula>
    </cfRule>
    <cfRule type="containsText" dxfId="145" priority="131" operator="containsText" text="Atendida">
      <formula>NOT(ISERROR(SEARCH("Atendida",K1299)))</formula>
    </cfRule>
    <cfRule type="containsText" dxfId="144" priority="132" operator="containsText" text="Reasignación">
      <formula>NOT(ISERROR(SEARCH("Reasignación",K1299)))</formula>
    </cfRule>
    <cfRule type="containsText" dxfId="143" priority="133" operator="containsText" text="RECHAZADA">
      <formula>NOT(ISERROR(SEARCH("RECHAZADA",K1299)))</formula>
    </cfRule>
    <cfRule type="containsText" dxfId="142" priority="134" operator="containsText" text="Atendida">
      <formula>NOT(ISERROR(SEARCH("Atendida",K1299)))</formula>
    </cfRule>
    <cfRule type="containsText" dxfId="141" priority="135" operator="containsText" text="Reasignación">
      <formula>NOT(ISERROR(SEARCH("Reasignación",K1299)))</formula>
    </cfRule>
    <cfRule type="containsText" dxfId="140" priority="136" operator="containsText" text="RECHAZADA">
      <formula>NOT(ISERROR(SEARCH("RECHAZADA",K1299)))</formula>
    </cfRule>
    <cfRule type="containsText" dxfId="139" priority="137" operator="containsText" text="Atendida">
      <formula>NOT(ISERROR(SEARCH("Atendida",K1299)))</formula>
    </cfRule>
    <cfRule type="containsText" dxfId="138" priority="138" operator="containsText" text="Reasignación">
      <formula>NOT(ISERROR(SEARCH("Reasignación",K1299)))</formula>
    </cfRule>
    <cfRule type="containsText" dxfId="137" priority="139" operator="containsText" text="RECHAZADA">
      <formula>NOT(ISERROR(SEARCH("RECHAZADA",K1299)))</formula>
    </cfRule>
    <cfRule type="containsText" dxfId="136" priority="140" operator="containsText" text="Atendida">
      <formula>NOT(ISERROR(SEARCH("Atendida",K1299)))</formula>
    </cfRule>
    <cfRule type="containsText" dxfId="135" priority="141" operator="containsText" text="Reasignación">
      <formula>NOT(ISERROR(SEARCH("Reasignación",K1299)))</formula>
    </cfRule>
    <cfRule type="containsText" dxfId="134" priority="142" operator="containsText" text="RECHAZADA">
      <formula>NOT(ISERROR(SEARCH("RECHAZADA",K1299)))</formula>
    </cfRule>
    <cfRule type="containsText" dxfId="133" priority="143" operator="containsText" text="Atendida">
      <formula>NOT(ISERROR(SEARCH("Atendida",K1299)))</formula>
    </cfRule>
    <cfRule type="containsText" dxfId="132" priority="144" operator="containsText" text="Reasignación">
      <formula>NOT(ISERROR(SEARCH("Reasignación",K1299)))</formula>
    </cfRule>
    <cfRule type="containsText" dxfId="131" priority="145" operator="containsText" text="RECHAZADA">
      <formula>NOT(ISERROR(SEARCH("RECHAZADA",K1299)))</formula>
    </cfRule>
    <cfRule type="containsText" dxfId="130" priority="146" operator="containsText" text="Atendida">
      <formula>NOT(ISERROR(SEARCH("Atendida",K1299)))</formula>
    </cfRule>
    <cfRule type="containsText" dxfId="129" priority="147" operator="containsText" text="Reasignación">
      <formula>NOT(ISERROR(SEARCH("Reasignación",K1299)))</formula>
    </cfRule>
    <cfRule type="containsText" dxfId="128" priority="148" operator="containsText" text="RECHAZADA">
      <formula>NOT(ISERROR(SEARCH("RECHAZADA",K1299)))</formula>
    </cfRule>
    <cfRule type="containsText" dxfId="127" priority="149" operator="containsText" text="Atendida">
      <formula>NOT(ISERROR(SEARCH("Atendida",K1299)))</formula>
    </cfRule>
    <cfRule type="containsText" dxfId="126" priority="150" operator="containsText" text="Reasignación">
      <formula>NOT(ISERROR(SEARCH("Reasignación",K1299)))</formula>
    </cfRule>
    <cfRule type="containsText" dxfId="125" priority="151" operator="containsText" text="RECHAZADA">
      <formula>NOT(ISERROR(SEARCH("RECHAZADA",K1299)))</formula>
    </cfRule>
    <cfRule type="containsText" dxfId="124" priority="152" operator="containsText" text="Atendida">
      <formula>NOT(ISERROR(SEARCH("Atendida",K1299)))</formula>
    </cfRule>
    <cfRule type="containsText" dxfId="123" priority="153" operator="containsText" text="Reasignación">
      <formula>NOT(ISERROR(SEARCH("Reasignación",K1299)))</formula>
    </cfRule>
    <cfRule type="containsText" dxfId="122" priority="154" operator="containsText" text="RECHAZADA">
      <formula>NOT(ISERROR(SEARCH("RECHAZADA",K1299)))</formula>
    </cfRule>
    <cfRule type="containsText" dxfId="121" priority="155" operator="containsText" text="Atendida">
      <formula>NOT(ISERROR(SEARCH("Atendida",K1299)))</formula>
    </cfRule>
  </conditionalFormatting>
  <conditionalFormatting sqref="K1300">
    <cfRule type="containsText" dxfId="120" priority="84" operator="containsText" text="Reasignación">
      <formula>NOT(ISERROR(SEARCH("Reasignación",K1300)))</formula>
    </cfRule>
    <cfRule type="containsText" dxfId="119" priority="85" operator="containsText" text="RECHAZADA">
      <formula>NOT(ISERROR(SEARCH("RECHAZADA",K1300)))</formula>
    </cfRule>
    <cfRule type="containsText" dxfId="118" priority="86" operator="containsText" text="Atendida">
      <formula>NOT(ISERROR(SEARCH("Atendida",K1300)))</formula>
    </cfRule>
    <cfRule type="containsText" dxfId="117" priority="87" operator="containsText" text="Reasignación">
      <formula>NOT(ISERROR(SEARCH("Reasignación",K1300)))</formula>
    </cfRule>
    <cfRule type="containsText" dxfId="116" priority="88" operator="containsText" text="RECHAZADA">
      <formula>NOT(ISERROR(SEARCH("RECHAZADA",K1300)))</formula>
    </cfRule>
    <cfRule type="containsText" dxfId="115" priority="89" operator="containsText" text="Atendida">
      <formula>NOT(ISERROR(SEARCH("Atendida",K1300)))</formula>
    </cfRule>
    <cfRule type="containsText" dxfId="114" priority="90" operator="containsText" text="Reasignación">
      <formula>NOT(ISERROR(SEARCH("Reasignación",K1300)))</formula>
    </cfRule>
    <cfRule type="containsText" dxfId="113" priority="91" operator="containsText" text="RECHAZADA">
      <formula>NOT(ISERROR(SEARCH("RECHAZADA",K1300)))</formula>
    </cfRule>
    <cfRule type="containsText" dxfId="112" priority="92" operator="containsText" text="Atendida">
      <formula>NOT(ISERROR(SEARCH("Atendida",K1300)))</formula>
    </cfRule>
    <cfRule type="containsText" dxfId="111" priority="93" operator="containsText" text="Reasignación">
      <formula>NOT(ISERROR(SEARCH("Reasignación",K1300)))</formula>
    </cfRule>
    <cfRule type="containsText" dxfId="110" priority="94" operator="containsText" text="RECHAZADA">
      <formula>NOT(ISERROR(SEARCH("RECHAZADA",K1300)))</formula>
    </cfRule>
    <cfRule type="containsText" dxfId="109" priority="95" operator="containsText" text="Atendida">
      <formula>NOT(ISERROR(SEARCH("Atendida",K1300)))</formula>
    </cfRule>
    <cfRule type="containsText" dxfId="108" priority="96" operator="containsText" text="Reasignación">
      <formula>NOT(ISERROR(SEARCH("Reasignación",K1300)))</formula>
    </cfRule>
    <cfRule type="containsText" dxfId="107" priority="97" operator="containsText" text="RECHAZADA">
      <formula>NOT(ISERROR(SEARCH("RECHAZADA",K1300)))</formula>
    </cfRule>
    <cfRule type="containsText" dxfId="106" priority="98" operator="containsText" text="Atendida">
      <formula>NOT(ISERROR(SEARCH("Atendida",K1300)))</formula>
    </cfRule>
    <cfRule type="containsText" dxfId="105" priority="99" operator="containsText" text="Reasignación">
      <formula>NOT(ISERROR(SEARCH("Reasignación",K1300)))</formula>
    </cfRule>
    <cfRule type="containsText" dxfId="104" priority="100" operator="containsText" text="RECHAZADA">
      <formula>NOT(ISERROR(SEARCH("RECHAZADA",K1300)))</formula>
    </cfRule>
    <cfRule type="containsText" dxfId="103" priority="101" operator="containsText" text="Atendida">
      <formula>NOT(ISERROR(SEARCH("Atendida",K1300)))</formula>
    </cfRule>
    <cfRule type="containsText" dxfId="102" priority="102" operator="containsText" text="Reasignación">
      <formula>NOT(ISERROR(SEARCH("Reasignación",K1300)))</formula>
    </cfRule>
    <cfRule type="containsText" dxfId="101" priority="103" operator="containsText" text="RECHAZADA">
      <formula>NOT(ISERROR(SEARCH("RECHAZADA",K1300)))</formula>
    </cfRule>
    <cfRule type="containsText" dxfId="100" priority="104" operator="containsText" text="Atendida">
      <formula>NOT(ISERROR(SEARCH("Atendida",K1300)))</formula>
    </cfRule>
    <cfRule type="containsText" dxfId="99" priority="105" operator="containsText" text="Reasignación">
      <formula>NOT(ISERROR(SEARCH("Reasignación",K1300)))</formula>
    </cfRule>
    <cfRule type="containsText" dxfId="98" priority="106" operator="containsText" text="RECHAZADA">
      <formula>NOT(ISERROR(SEARCH("RECHAZADA",K1300)))</formula>
    </cfRule>
    <cfRule type="containsText" dxfId="97" priority="107" operator="containsText" text="Atendida">
      <formula>NOT(ISERROR(SEARCH("Atendida",K1300)))</formula>
    </cfRule>
    <cfRule type="containsText" dxfId="96" priority="108" operator="containsText" text="Reasignación">
      <formula>NOT(ISERROR(SEARCH("Reasignación",K1300)))</formula>
    </cfRule>
    <cfRule type="containsText" dxfId="95" priority="109" operator="containsText" text="RECHAZADA">
      <formula>NOT(ISERROR(SEARCH("RECHAZADA",K1300)))</formula>
    </cfRule>
    <cfRule type="containsText" dxfId="94" priority="110" operator="containsText" text="Atendida">
      <formula>NOT(ISERROR(SEARCH("Atendida",K1300)))</formula>
    </cfRule>
    <cfRule type="containsText" dxfId="93" priority="111" operator="containsText" text="Reasignación">
      <formula>NOT(ISERROR(SEARCH("Reasignación",K1300)))</formula>
    </cfRule>
    <cfRule type="containsText" dxfId="92" priority="112" operator="containsText" text="RECHAZADA">
      <formula>NOT(ISERROR(SEARCH("RECHAZADA",K1300)))</formula>
    </cfRule>
    <cfRule type="containsText" dxfId="91" priority="113" operator="containsText" text="Atendida">
      <formula>NOT(ISERROR(SEARCH("Atendida",K1300)))</formula>
    </cfRule>
    <cfRule type="containsText" dxfId="90" priority="114" operator="containsText" text="Reasignación">
      <formula>NOT(ISERROR(SEARCH("Reasignación",K1300)))</formula>
    </cfRule>
    <cfRule type="containsText" dxfId="89" priority="115" operator="containsText" text="RECHAZADA">
      <formula>NOT(ISERROR(SEARCH("RECHAZADA",K1300)))</formula>
    </cfRule>
    <cfRule type="containsText" dxfId="88" priority="116" operator="containsText" text="Atendida">
      <formula>NOT(ISERROR(SEARCH("Atendida",K1300)))</formula>
    </cfRule>
    <cfRule type="containsText" dxfId="87" priority="117" operator="containsText" text="Reasignación">
      <formula>NOT(ISERROR(SEARCH("Reasignación",K1300)))</formula>
    </cfRule>
    <cfRule type="containsText" dxfId="86" priority="118" operator="containsText" text="RECHAZADA">
      <formula>NOT(ISERROR(SEARCH("RECHAZADA",K1300)))</formula>
    </cfRule>
    <cfRule type="containsText" dxfId="85" priority="119" operator="containsText" text="Atendida">
      <formula>NOT(ISERROR(SEARCH("Atendida",K1300)))</formula>
    </cfRule>
  </conditionalFormatting>
  <conditionalFormatting sqref="K1301">
    <cfRule type="containsText" dxfId="84" priority="48" operator="containsText" text="Reasignación">
      <formula>NOT(ISERROR(SEARCH("Reasignación",K1301)))</formula>
    </cfRule>
    <cfRule type="containsText" dxfId="83" priority="49" operator="containsText" text="RECHAZADA">
      <formula>NOT(ISERROR(SEARCH("RECHAZADA",K1301)))</formula>
    </cfRule>
    <cfRule type="containsText" dxfId="82" priority="50" operator="containsText" text="Atendida">
      <formula>NOT(ISERROR(SEARCH("Atendida",K1301)))</formula>
    </cfRule>
    <cfRule type="containsText" dxfId="81" priority="51" operator="containsText" text="Reasignación">
      <formula>NOT(ISERROR(SEARCH("Reasignación",K1301)))</formula>
    </cfRule>
    <cfRule type="containsText" dxfId="80" priority="52" operator="containsText" text="RECHAZADA">
      <formula>NOT(ISERROR(SEARCH("RECHAZADA",K1301)))</formula>
    </cfRule>
    <cfRule type="containsText" dxfId="79" priority="53" operator="containsText" text="Atendida">
      <formula>NOT(ISERROR(SEARCH("Atendida",K1301)))</formula>
    </cfRule>
    <cfRule type="containsText" dxfId="78" priority="54" operator="containsText" text="Reasignación">
      <formula>NOT(ISERROR(SEARCH("Reasignación",K1301)))</formula>
    </cfRule>
    <cfRule type="containsText" dxfId="77" priority="55" operator="containsText" text="RECHAZADA">
      <formula>NOT(ISERROR(SEARCH("RECHAZADA",K1301)))</formula>
    </cfRule>
    <cfRule type="containsText" dxfId="76" priority="56" operator="containsText" text="Atendida">
      <formula>NOT(ISERROR(SEARCH("Atendida",K1301)))</formula>
    </cfRule>
    <cfRule type="containsText" dxfId="75" priority="57" operator="containsText" text="Reasignación">
      <formula>NOT(ISERROR(SEARCH("Reasignación",K1301)))</formula>
    </cfRule>
    <cfRule type="containsText" dxfId="74" priority="58" operator="containsText" text="RECHAZADA">
      <formula>NOT(ISERROR(SEARCH("RECHAZADA",K1301)))</formula>
    </cfRule>
    <cfRule type="containsText" dxfId="73" priority="59" operator="containsText" text="Atendida">
      <formula>NOT(ISERROR(SEARCH("Atendida",K1301)))</formula>
    </cfRule>
    <cfRule type="containsText" dxfId="72" priority="60" operator="containsText" text="Reasignación">
      <formula>NOT(ISERROR(SEARCH("Reasignación",K1301)))</formula>
    </cfRule>
    <cfRule type="containsText" dxfId="71" priority="61" operator="containsText" text="RECHAZADA">
      <formula>NOT(ISERROR(SEARCH("RECHAZADA",K1301)))</formula>
    </cfRule>
    <cfRule type="containsText" dxfId="70" priority="62" operator="containsText" text="Atendida">
      <formula>NOT(ISERROR(SEARCH("Atendida",K1301)))</formula>
    </cfRule>
    <cfRule type="containsText" dxfId="69" priority="63" operator="containsText" text="Reasignación">
      <formula>NOT(ISERROR(SEARCH("Reasignación",K1301)))</formula>
    </cfRule>
    <cfRule type="containsText" dxfId="68" priority="64" operator="containsText" text="RECHAZADA">
      <formula>NOT(ISERROR(SEARCH("RECHAZADA",K1301)))</formula>
    </cfRule>
    <cfRule type="containsText" dxfId="67" priority="65" operator="containsText" text="Atendida">
      <formula>NOT(ISERROR(SEARCH("Atendida",K1301)))</formula>
    </cfRule>
    <cfRule type="containsText" dxfId="66" priority="66" operator="containsText" text="Reasignación">
      <formula>NOT(ISERROR(SEARCH("Reasignación",K1301)))</formula>
    </cfRule>
    <cfRule type="containsText" dxfId="65" priority="67" operator="containsText" text="RECHAZADA">
      <formula>NOT(ISERROR(SEARCH("RECHAZADA",K1301)))</formula>
    </cfRule>
    <cfRule type="containsText" dxfId="64" priority="68" operator="containsText" text="Atendida">
      <formula>NOT(ISERROR(SEARCH("Atendida",K1301)))</formula>
    </cfRule>
    <cfRule type="containsText" dxfId="63" priority="69" operator="containsText" text="Reasignación">
      <formula>NOT(ISERROR(SEARCH("Reasignación",K1301)))</formula>
    </cfRule>
    <cfRule type="containsText" dxfId="62" priority="70" operator="containsText" text="RECHAZADA">
      <formula>NOT(ISERROR(SEARCH("RECHAZADA",K1301)))</formula>
    </cfRule>
    <cfRule type="containsText" dxfId="61" priority="71" operator="containsText" text="Atendida">
      <formula>NOT(ISERROR(SEARCH("Atendida",K1301)))</formula>
    </cfRule>
    <cfRule type="containsText" dxfId="60" priority="72" operator="containsText" text="Reasignación">
      <formula>NOT(ISERROR(SEARCH("Reasignación",K1301)))</formula>
    </cfRule>
    <cfRule type="containsText" dxfId="59" priority="73" operator="containsText" text="RECHAZADA">
      <formula>NOT(ISERROR(SEARCH("RECHAZADA",K1301)))</formula>
    </cfRule>
    <cfRule type="containsText" dxfId="58" priority="74" operator="containsText" text="Atendida">
      <formula>NOT(ISERROR(SEARCH("Atendida",K1301)))</formula>
    </cfRule>
    <cfRule type="containsText" dxfId="57" priority="75" operator="containsText" text="Reasignación">
      <formula>NOT(ISERROR(SEARCH("Reasignación",K1301)))</formula>
    </cfRule>
    <cfRule type="containsText" dxfId="56" priority="76" operator="containsText" text="RECHAZADA">
      <formula>NOT(ISERROR(SEARCH("RECHAZADA",K1301)))</formula>
    </cfRule>
    <cfRule type="containsText" dxfId="55" priority="77" operator="containsText" text="Atendida">
      <formula>NOT(ISERROR(SEARCH("Atendida",K1301)))</formula>
    </cfRule>
    <cfRule type="containsText" dxfId="54" priority="78" operator="containsText" text="Reasignación">
      <formula>NOT(ISERROR(SEARCH("Reasignación",K1301)))</formula>
    </cfRule>
    <cfRule type="containsText" dxfId="53" priority="79" operator="containsText" text="RECHAZADA">
      <formula>NOT(ISERROR(SEARCH("RECHAZADA",K1301)))</formula>
    </cfRule>
    <cfRule type="containsText" dxfId="52" priority="80" operator="containsText" text="Atendida">
      <formula>NOT(ISERROR(SEARCH("Atendida",K1301)))</formula>
    </cfRule>
    <cfRule type="containsText" dxfId="51" priority="81" operator="containsText" text="Reasignación">
      <formula>NOT(ISERROR(SEARCH("Reasignación",K1301)))</formula>
    </cfRule>
    <cfRule type="containsText" dxfId="50" priority="82" operator="containsText" text="RECHAZADA">
      <formula>NOT(ISERROR(SEARCH("RECHAZADA",K1301)))</formula>
    </cfRule>
    <cfRule type="containsText" dxfId="49" priority="83" operator="containsText" text="Atendida">
      <formula>NOT(ISERROR(SEARCH("Atendida",K1301)))</formula>
    </cfRule>
  </conditionalFormatting>
  <conditionalFormatting sqref="M1301">
    <cfRule type="containsText" dxfId="48" priority="44" operator="containsText" text="OBSERVADO">
      <formula>NOT(ISERROR(SEARCH("OBSERVADO",M1301)))</formula>
    </cfRule>
    <cfRule type="containsText" dxfId="47" priority="45" operator="containsText" text="CONFORME">
      <formula>NOT(ISERROR(SEARCH("CONFORME",M1301)))</formula>
    </cfRule>
    <cfRule type="containsText" dxfId="46" priority="46" operator="containsText" text="RECHAZADA">
      <formula>NOT(ISERROR(SEARCH("RECHAZADA",M1301)))</formula>
    </cfRule>
    <cfRule type="containsText" dxfId="45" priority="47" operator="containsText" text="Atendida">
      <formula>NOT(ISERROR(SEARCH("Atendida",M1301)))</formula>
    </cfRule>
  </conditionalFormatting>
  <conditionalFormatting sqref="K1302">
    <cfRule type="containsText" dxfId="44" priority="8" operator="containsText" text="Reasignación">
      <formula>NOT(ISERROR(SEARCH("Reasignación",K1302)))</formula>
    </cfRule>
    <cfRule type="containsText" dxfId="43" priority="9" operator="containsText" text="RECHAZADA">
      <formula>NOT(ISERROR(SEARCH("RECHAZADA",K1302)))</formula>
    </cfRule>
    <cfRule type="containsText" dxfId="42" priority="10" operator="containsText" text="Atendida">
      <formula>NOT(ISERROR(SEARCH("Atendida",K1302)))</formula>
    </cfRule>
    <cfRule type="containsText" dxfId="41" priority="11" operator="containsText" text="Reasignación">
      <formula>NOT(ISERROR(SEARCH("Reasignación",K1302)))</formula>
    </cfRule>
    <cfRule type="containsText" dxfId="40" priority="12" operator="containsText" text="RECHAZADA">
      <formula>NOT(ISERROR(SEARCH("RECHAZADA",K1302)))</formula>
    </cfRule>
    <cfRule type="containsText" dxfId="39" priority="13" operator="containsText" text="Atendida">
      <formula>NOT(ISERROR(SEARCH("Atendida",K1302)))</formula>
    </cfRule>
    <cfRule type="containsText" dxfId="38" priority="14" operator="containsText" text="Reasignación">
      <formula>NOT(ISERROR(SEARCH("Reasignación",K1302)))</formula>
    </cfRule>
    <cfRule type="containsText" dxfId="37" priority="15" operator="containsText" text="RECHAZADA">
      <formula>NOT(ISERROR(SEARCH("RECHAZADA",K1302)))</formula>
    </cfRule>
    <cfRule type="containsText" dxfId="36" priority="16" operator="containsText" text="Atendida">
      <formula>NOT(ISERROR(SEARCH("Atendida",K1302)))</formula>
    </cfRule>
    <cfRule type="containsText" dxfId="35" priority="17" operator="containsText" text="Reasignación">
      <formula>NOT(ISERROR(SEARCH("Reasignación",K1302)))</formula>
    </cfRule>
    <cfRule type="containsText" dxfId="34" priority="18" operator="containsText" text="RECHAZADA">
      <formula>NOT(ISERROR(SEARCH("RECHAZADA",K1302)))</formula>
    </cfRule>
    <cfRule type="containsText" dxfId="33" priority="19" operator="containsText" text="Atendida">
      <formula>NOT(ISERROR(SEARCH("Atendida",K1302)))</formula>
    </cfRule>
    <cfRule type="containsText" dxfId="32" priority="20" operator="containsText" text="Reasignación">
      <formula>NOT(ISERROR(SEARCH("Reasignación",K1302)))</formula>
    </cfRule>
    <cfRule type="containsText" dxfId="31" priority="21" operator="containsText" text="RECHAZADA">
      <formula>NOT(ISERROR(SEARCH("RECHAZADA",K1302)))</formula>
    </cfRule>
    <cfRule type="containsText" dxfId="30" priority="22" operator="containsText" text="Atendida">
      <formula>NOT(ISERROR(SEARCH("Atendida",K1302)))</formula>
    </cfRule>
    <cfRule type="containsText" dxfId="29" priority="23" operator="containsText" text="Reasignación">
      <formula>NOT(ISERROR(SEARCH("Reasignación",K1302)))</formula>
    </cfRule>
    <cfRule type="containsText" dxfId="28" priority="24" operator="containsText" text="RECHAZADA">
      <formula>NOT(ISERROR(SEARCH("RECHAZADA",K1302)))</formula>
    </cfRule>
    <cfRule type="containsText" dxfId="27" priority="25" operator="containsText" text="Atendida">
      <formula>NOT(ISERROR(SEARCH("Atendida",K1302)))</formula>
    </cfRule>
    <cfRule type="containsText" dxfId="26" priority="26" operator="containsText" text="Reasignación">
      <formula>NOT(ISERROR(SEARCH("Reasignación",K1302)))</formula>
    </cfRule>
    <cfRule type="containsText" dxfId="25" priority="27" operator="containsText" text="RECHAZADA">
      <formula>NOT(ISERROR(SEARCH("RECHAZADA",K1302)))</formula>
    </cfRule>
    <cfRule type="containsText" dxfId="24" priority="28" operator="containsText" text="Atendida">
      <formula>NOT(ISERROR(SEARCH("Atendida",K1302)))</formula>
    </cfRule>
    <cfRule type="containsText" dxfId="23" priority="29" operator="containsText" text="Reasignación">
      <formula>NOT(ISERROR(SEARCH("Reasignación",K1302)))</formula>
    </cfRule>
    <cfRule type="containsText" dxfId="22" priority="30" operator="containsText" text="RECHAZADA">
      <formula>NOT(ISERROR(SEARCH("RECHAZADA",K1302)))</formula>
    </cfRule>
    <cfRule type="containsText" dxfId="21" priority="31" operator="containsText" text="Atendida">
      <formula>NOT(ISERROR(SEARCH("Atendida",K1302)))</formula>
    </cfRule>
    <cfRule type="containsText" dxfId="20" priority="32" operator="containsText" text="Reasignación">
      <formula>NOT(ISERROR(SEARCH("Reasignación",K1302)))</formula>
    </cfRule>
    <cfRule type="containsText" dxfId="19" priority="33" operator="containsText" text="RECHAZADA">
      <formula>NOT(ISERROR(SEARCH("RECHAZADA",K1302)))</formula>
    </cfRule>
    <cfRule type="containsText" dxfId="18" priority="34" operator="containsText" text="Atendida">
      <formula>NOT(ISERROR(SEARCH("Atendida",K1302)))</formula>
    </cfRule>
    <cfRule type="containsText" dxfId="17" priority="35" operator="containsText" text="Reasignación">
      <formula>NOT(ISERROR(SEARCH("Reasignación",K1302)))</formula>
    </cfRule>
    <cfRule type="containsText" dxfId="16" priority="36" operator="containsText" text="RECHAZADA">
      <formula>NOT(ISERROR(SEARCH("RECHAZADA",K1302)))</formula>
    </cfRule>
    <cfRule type="containsText" dxfId="15" priority="37" operator="containsText" text="Atendida">
      <formula>NOT(ISERROR(SEARCH("Atendida",K1302)))</formula>
    </cfRule>
    <cfRule type="containsText" dxfId="14" priority="38" operator="containsText" text="Reasignación">
      <formula>NOT(ISERROR(SEARCH("Reasignación",K1302)))</formula>
    </cfRule>
    <cfRule type="containsText" dxfId="13" priority="39" operator="containsText" text="RECHAZADA">
      <formula>NOT(ISERROR(SEARCH("RECHAZADA",K1302)))</formula>
    </cfRule>
    <cfRule type="containsText" dxfId="12" priority="40" operator="containsText" text="Atendida">
      <formula>NOT(ISERROR(SEARCH("Atendida",K1302)))</formula>
    </cfRule>
    <cfRule type="containsText" dxfId="11" priority="41" operator="containsText" text="Reasignación">
      <formula>NOT(ISERROR(SEARCH("Reasignación",K1302)))</formula>
    </cfRule>
    <cfRule type="containsText" dxfId="10" priority="42" operator="containsText" text="RECHAZADA">
      <formula>NOT(ISERROR(SEARCH("RECHAZADA",K1302)))</formula>
    </cfRule>
    <cfRule type="containsText" dxfId="9" priority="43" operator="containsText" text="Atendida">
      <formula>NOT(ISERROR(SEARCH("Atendida",K1302)))</formula>
    </cfRule>
  </conditionalFormatting>
  <conditionalFormatting sqref="M1302">
    <cfRule type="containsText" dxfId="8" priority="4" operator="containsText" text="OBSERVADO">
      <formula>NOT(ISERROR(SEARCH("OBSERVADO",M1302)))</formula>
    </cfRule>
    <cfRule type="containsText" dxfId="7" priority="5" operator="containsText" text="CONFORME">
      <formula>NOT(ISERROR(SEARCH("CONFORME",M1302)))</formula>
    </cfRule>
    <cfRule type="containsText" dxfId="6" priority="6" operator="containsText" text="RECHAZADA">
      <formula>NOT(ISERROR(SEARCH("RECHAZADA",M1302)))</formula>
    </cfRule>
    <cfRule type="containsText" dxfId="5" priority="7" operator="containsText" text="Atendida">
      <formula>NOT(ISERROR(SEARCH("Atendida",M1302)))</formula>
    </cfRule>
  </conditionalFormatting>
  <conditionalFormatting sqref="K1303">
    <cfRule type="containsText" dxfId="4" priority="2" operator="containsText" text="RECHAZADA">
      <formula>NOT(ISERROR(SEARCH("RECHAZADA",K1303)))</formula>
    </cfRule>
  </conditionalFormatting>
  <conditionalFormatting sqref="K1303">
    <cfRule type="containsText" dxfId="3" priority="3" operator="containsText" text="Atendida">
      <formula>NOT(ISERROR(SEARCH("Atendida",K1303)))</formula>
    </cfRule>
  </conditionalFormatting>
  <conditionalFormatting sqref="K1303">
    <cfRule type="containsText" dxfId="2" priority="1" operator="containsText" text="Reasignación">
      <formula>NOT(ISERROR(SEARCH("Reasignación",K1303)))</formula>
    </cfRule>
  </conditionalFormatting>
  <pageMargins left="0.7" right="0.7" top="0.75" bottom="0.75" header="0" footer="0"/>
  <pageSetup orientation="landscape"/>
  <ignoredErrors>
    <ignoredError sqref="S15" formula="1"/>
  </ignoredErrors>
  <extLst>
    <ext xmlns:x14="http://schemas.microsoft.com/office/spreadsheetml/2009/9/main" uri="{CCE6A557-97BC-4b89-ADB6-D9C93CAAB3DF}">
      <x14:dataValidations xmlns:xm="http://schemas.microsoft.com/office/excel/2006/main" disablePrompts="1" count="6">
        <x14:dataValidation type="list" allowBlank="1" showErrorMessage="1" xr:uid="{00000000-0002-0000-0500-000000000000}">
          <x14:formula1>
            <xm:f>OBSERVACIÓN!$A$2:$A$5</xm:f>
          </x14:formula1>
          <xm:sqref>M2</xm:sqref>
        </x14:dataValidation>
        <x14:dataValidation type="list" allowBlank="1" showErrorMessage="1" xr:uid="{00000000-0002-0000-0500-000001000000}">
          <x14:formula1>
            <xm:f>OBSERVACIÓN!$A$2:$A$6</xm:f>
          </x14:formula1>
          <xm:sqref>M262 M3:M9 O8:O9 K2:K920 L877:L896 K1260:K1290 J1291:K1291 K1292:K1302</xm:sqref>
        </x14:dataValidation>
        <x14:dataValidation type="list" allowBlank="1" showErrorMessage="1" xr:uid="{00000000-0002-0000-0500-000002000000}">
          <x14:formula1>
            <xm:f>OBSERVACIÓN!$A$13:$A$14</xm:f>
          </x14:formula1>
          <xm:sqref>M10:M95 M97:M181 M183:M261 O262 M264:M306 M308:M876 N877:N884 M888:M896 N887 M898:M920 M1260:M1302</xm:sqref>
        </x14:dataValidation>
        <x14:dataValidation type="list" allowBlank="1" showInputMessage="1" showErrorMessage="1" xr:uid="{320C30C2-9BE7-4735-9CF2-913D388898D1}">
          <x14:formula1>
            <xm:f>OBSERVACIÓN!$A$20</xm:f>
          </x14:formula1>
          <xm:sqref>N251:N261 N264:N306 N308:N876 O877:O884 N888:N896 O887 N898:N920 N1260:N1303</xm:sqref>
        </x14:dataValidation>
        <x14:dataValidation type="list" allowBlank="1" showInputMessage="1" showErrorMessage="1" xr:uid="{671DC4B8-2296-4DDA-AEF4-C51DF2CF2DAC}">
          <x14:formula1>
            <xm:f>OBSERVACIÓN!$A$24:$A$25</xm:f>
          </x14:formula1>
          <xm:sqref>Z430:Z438 Z778 Z784:Z788 Z790:Z791 Z794:Z795 Z811:Z814 Z818 Z823 Z825 Z827 Z829:Z830 Z835:Z837 Z840:Z841 Z844:Z847 Z849:Z850 Z854:Z855 Z859:Z860 Z866:Z869 Z871 Z874 Z876:Z878 AA877:AA878 Z880:AA884 Z888:AA896 Z898:Z920 Z1260:Z1302</xm:sqref>
        </x14:dataValidation>
        <x14:dataValidation type="list" allowBlank="1" showInputMessage="1" showErrorMessage="1" xr:uid="{2D7DC581-47B3-4D5D-B00D-36DD9B3F3067}">
          <x14:formula1>
            <xm:f>OBSERVACIÓN!$A$31:$A$32</xm:f>
          </x14:formula1>
          <xm:sqref>AA1291:AA1302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OBSERVACIÓN</vt:lpstr>
      <vt:lpstr>BASE DE VENTAS</vt:lpstr>
      <vt:lpstr>EJECUCION</vt:lpstr>
      <vt:lpstr>VENTAS PERDIDAS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Ronaldo Renato Manay Coronado</dc:creator>
  <cp:lastModifiedBy>Ronaldo Renato Manay Coronado</cp:lastModifiedBy>
  <dcterms:created xsi:type="dcterms:W3CDTF">2024-07-22T22:44:24Z</dcterms:created>
  <dcterms:modified xsi:type="dcterms:W3CDTF">2026-01-25T14:36:47Z</dcterms:modified>
</cp:coreProperties>
</file>